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SJ Usero\SEPTIC TANK PM\"/>
    </mc:Choice>
  </mc:AlternateContent>
  <xr:revisionPtr revIDLastSave="0" documentId="13_ncr:1_{FBE37DDB-562B-4166-A2F3-91F0654EEA12}" xr6:coauthVersionLast="47" xr6:coauthVersionMax="47" xr10:uidLastSave="{00000000-0000-0000-0000-000000000000}"/>
  <bookViews>
    <workbookView xWindow="-120" yWindow="-120" windowWidth="29040" windowHeight="15720" tabRatio="929" firstSheet="12" activeTab="12" xr2:uid="{00000000-000D-0000-FFFF-FFFF00000000}"/>
  </bookViews>
  <sheets>
    <sheet name="PROJECT DETAILS" sheetId="2" state="hidden" r:id="rId1"/>
    <sheet name="ESTIMATES" sheetId="1" state="hidden" r:id="rId2"/>
    <sheet name="SUMMARIZE QUANTITY" sheetId="6" state="hidden" r:id="rId3"/>
    <sheet name="materials" sheetId="3" state="hidden" r:id="rId4"/>
    <sheet name="OBR " sheetId="33" state="hidden" r:id="rId5"/>
    <sheet name="BACKUP" sheetId="30" state="hidden" r:id="rId6"/>
    <sheet name="BOM" sheetId="31" state="hidden" r:id="rId7"/>
    <sheet name="SUMARRY" sheetId="36" state="hidden" r:id="rId8"/>
    <sheet name="PR" sheetId="35" state="hidden" r:id="rId9"/>
    <sheet name="BADAC" sheetId="34" state="hidden" r:id="rId10"/>
    <sheet name="SAN FRAN BO4" sheetId="37" state="hidden" r:id="rId11"/>
    <sheet name="BAGONG LIP." sheetId="40" state="hidden" r:id="rId12"/>
    <sheet name="MPDP" sheetId="41" r:id="rId13"/>
    <sheet name="POW COVER" sheetId="5" state="hidden" r:id="rId14"/>
    <sheet name="ITEM 1" sheetId="4" state="hidden" r:id="rId15"/>
    <sheet name="ITEM 2" sheetId="7" state="hidden" r:id="rId16"/>
    <sheet name="ITEM 3" sheetId="8" state="hidden" r:id="rId17"/>
    <sheet name="ITEM 4" sheetId="10" state="hidden" r:id="rId18"/>
    <sheet name="ITEM 5" sheetId="11" state="hidden" r:id="rId19"/>
    <sheet name="ITEM 6" sheetId="12" state="hidden" r:id="rId20"/>
    <sheet name="ITEM 7" sheetId="25" state="hidden" r:id="rId21"/>
    <sheet name="ITEM 8" sheetId="26" state="hidden" r:id="rId22"/>
    <sheet name="ITEM 9" sheetId="27" state="hidden" r:id="rId23"/>
    <sheet name="ITEM 10" sheetId="28" state="hidden" r:id="rId24"/>
    <sheet name="ITEM 11" sheetId="29" state="hidden" r:id="rId25"/>
  </sheets>
  <externalReferences>
    <externalReference r:id="rId26"/>
    <externalReference r:id="rId27"/>
    <externalReference r:id="rId28"/>
    <externalReference r:id="rId29"/>
  </externalReferences>
  <definedNames>
    <definedName name="_xlnm.Print_Area" localSheetId="12">MPDP!$A$1:$G$206</definedName>
    <definedName name="_xlnm.Print_Area" localSheetId="8">PR!$A$1:$G$654</definedName>
    <definedName name="_xlnm.Print_Area" localSheetId="7">SUMARRY!$C$1:$Q$206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4" i="41" l="1"/>
  <c r="G80" i="41"/>
  <c r="G141" i="41"/>
  <c r="G142" i="41" s="1"/>
  <c r="G136" i="41"/>
  <c r="G135" i="41"/>
  <c r="G134" i="41"/>
  <c r="G137" i="41" l="1"/>
  <c r="G144" i="41" l="1"/>
  <c r="G145" i="41" s="1"/>
  <c r="I97" i="41" l="1"/>
  <c r="G119" i="41"/>
  <c r="G120" i="41"/>
  <c r="G121" i="41"/>
  <c r="G122" i="41"/>
  <c r="G123" i="41"/>
  <c r="G118" i="41"/>
  <c r="G117" i="41"/>
  <c r="G116" i="41"/>
  <c r="G115" i="41"/>
  <c r="G110" i="41"/>
  <c r="G108" i="41"/>
  <c r="G97" i="41"/>
  <c r="G78" i="41"/>
  <c r="G79" i="41"/>
  <c r="G77" i="41"/>
  <c r="G76" i="41"/>
  <c r="G75" i="41"/>
  <c r="G70" i="41"/>
  <c r="G68" i="41"/>
  <c r="G56" i="41"/>
  <c r="G55" i="41"/>
  <c r="G54" i="41"/>
  <c r="G33" i="41"/>
  <c r="G32" i="41"/>
  <c r="G31" i="41"/>
  <c r="G125" i="41" l="1"/>
  <c r="G109" i="41"/>
  <c r="G111" i="41" s="1"/>
  <c r="G69" i="41"/>
  <c r="G71" i="41" s="1"/>
  <c r="G34" i="41"/>
  <c r="G36" i="41" s="1"/>
  <c r="G127" i="41" l="1"/>
  <c r="G128" i="41" s="1"/>
  <c r="G82" i="41"/>
  <c r="G83" i="41" s="1"/>
  <c r="G37" i="41"/>
  <c r="G157" i="41"/>
  <c r="G158" i="41" s="1"/>
  <c r="E152" i="41"/>
  <c r="B9" i="41" s="1"/>
  <c r="G151" i="41"/>
  <c r="G99" i="41"/>
  <c r="G98" i="41"/>
  <c r="G96" i="41"/>
  <c r="G92" i="41"/>
  <c r="L90" i="41"/>
  <c r="M90" i="41" s="1"/>
  <c r="G90" i="41"/>
  <c r="G58" i="41"/>
  <c r="G57" i="41"/>
  <c r="G53" i="41"/>
  <c r="G52" i="41"/>
  <c r="G51" i="41"/>
  <c r="G50" i="41"/>
  <c r="G44" i="41"/>
  <c r="G43" i="41"/>
  <c r="G21" i="41"/>
  <c r="G20" i="41"/>
  <c r="M19" i="41"/>
  <c r="N19" i="41" s="1"/>
  <c r="O19" i="41" s="1"/>
  <c r="G19" i="41"/>
  <c r="G152" i="41" l="1"/>
  <c r="G153" i="41" s="1"/>
  <c r="I153" i="41" s="1"/>
  <c r="G59" i="41"/>
  <c r="G100" i="41"/>
  <c r="H93" i="41" s="1"/>
  <c r="G45" i="41"/>
  <c r="G46" i="41" s="1"/>
  <c r="G22" i="41"/>
  <c r="G24" i="41" s="1"/>
  <c r="G25" i="41" s="1"/>
  <c r="H153" i="41"/>
  <c r="G91" i="41"/>
  <c r="G93" i="41" s="1"/>
  <c r="H22" i="41"/>
  <c r="L4" i="41"/>
  <c r="N4" i="41"/>
  <c r="O3" i="41"/>
  <c r="G163" i="41" l="1"/>
  <c r="G164" i="41"/>
  <c r="H46" i="41"/>
  <c r="G160" i="41"/>
  <c r="G161" i="41" s="1"/>
  <c r="G61" i="41"/>
  <c r="G62" i="41" s="1"/>
  <c r="I22" i="41"/>
  <c r="L5" i="41"/>
  <c r="I93" i="41"/>
  <c r="G102" i="41"/>
  <c r="G103" i="41" s="1"/>
  <c r="H164" i="41" l="1"/>
  <c r="G165" i="41"/>
  <c r="B8" i="41" s="1"/>
  <c r="F89" i="35"/>
  <c r="F163" i="35" s="1"/>
  <c r="F237" i="35" s="1"/>
  <c r="F310" i="35" s="1"/>
  <c r="F382" i="35" s="1"/>
  <c r="F454" i="35" s="1"/>
  <c r="F526" i="35" s="1"/>
  <c r="F598" i="35" s="1"/>
  <c r="L125" i="36"/>
  <c r="L124" i="36"/>
  <c r="L123" i="36"/>
  <c r="L122" i="36"/>
  <c r="L121" i="36"/>
  <c r="L120" i="36"/>
  <c r="L119" i="36"/>
  <c r="L118" i="36"/>
  <c r="L117" i="36"/>
  <c r="J125" i="36"/>
  <c r="J124" i="36"/>
  <c r="J123" i="36"/>
  <c r="J122" i="36"/>
  <c r="J121" i="36"/>
  <c r="J120" i="36"/>
  <c r="J119" i="36"/>
  <c r="J118" i="36"/>
  <c r="J117" i="36"/>
  <c r="F125" i="36"/>
  <c r="F124" i="36"/>
  <c r="F123" i="36"/>
  <c r="F122" i="36"/>
  <c r="F121" i="36"/>
  <c r="F120" i="36"/>
  <c r="F119" i="36"/>
  <c r="F118" i="36"/>
  <c r="D125" i="36"/>
  <c r="D124" i="36"/>
  <c r="D123" i="36"/>
  <c r="D122" i="36"/>
  <c r="D121" i="36"/>
  <c r="D120" i="36"/>
  <c r="D119" i="36"/>
  <c r="D118" i="36"/>
  <c r="A125" i="36"/>
  <c r="A124" i="36"/>
  <c r="A123" i="36"/>
  <c r="A122" i="36"/>
  <c r="A121" i="36"/>
  <c r="A120" i="36"/>
  <c r="A119" i="36"/>
  <c r="A118" i="36"/>
  <c r="L114" i="36"/>
  <c r="J114" i="36"/>
  <c r="L113" i="36"/>
  <c r="J113" i="36"/>
  <c r="L112" i="36"/>
  <c r="J112" i="36"/>
  <c r="L111" i="36"/>
  <c r="J111" i="36"/>
  <c r="L110" i="36"/>
  <c r="J110" i="36"/>
  <c r="L109" i="36"/>
  <c r="J109" i="36"/>
  <c r="L108" i="36"/>
  <c r="L107" i="36"/>
  <c r="F114" i="36"/>
  <c r="F58" i="36" s="1"/>
  <c r="F113" i="36"/>
  <c r="F57" i="36" s="1"/>
  <c r="F111" i="36"/>
  <c r="F110" i="36"/>
  <c r="F109" i="36"/>
  <c r="F108" i="36"/>
  <c r="F107" i="36"/>
  <c r="F112" i="36"/>
  <c r="F56" i="36" s="1"/>
  <c r="D114" i="36"/>
  <c r="D58" i="36" s="1"/>
  <c r="D113" i="36"/>
  <c r="D57" i="36" s="1"/>
  <c r="D112" i="36"/>
  <c r="D56" i="36" s="1"/>
  <c r="D111" i="36"/>
  <c r="D110" i="36"/>
  <c r="D109" i="36"/>
  <c r="D108" i="36"/>
  <c r="D107" i="36"/>
  <c r="A114" i="36"/>
  <c r="A113" i="36"/>
  <c r="A112" i="36"/>
  <c r="A111" i="36"/>
  <c r="A110" i="36"/>
  <c r="A109" i="36"/>
  <c r="A108" i="36"/>
  <c r="A107" i="36"/>
  <c r="L100" i="36"/>
  <c r="J100" i="36"/>
  <c r="F100" i="36"/>
  <c r="F44" i="36" s="1"/>
  <c r="D100" i="36"/>
  <c r="D44" i="36" s="1"/>
  <c r="A100" i="36"/>
  <c r="L99" i="36"/>
  <c r="J99" i="36"/>
  <c r="F99" i="36"/>
  <c r="D99" i="36"/>
  <c r="L98" i="36"/>
  <c r="J98" i="36"/>
  <c r="F98" i="36"/>
  <c r="D98" i="36"/>
  <c r="L97" i="36"/>
  <c r="J97" i="36"/>
  <c r="F97" i="36"/>
  <c r="D97" i="36"/>
  <c r="L94" i="36"/>
  <c r="L95" i="36"/>
  <c r="F95" i="36"/>
  <c r="D95" i="36"/>
  <c r="L87" i="36"/>
  <c r="J87" i="36"/>
  <c r="F87" i="36"/>
  <c r="F31" i="36" s="1"/>
  <c r="D87" i="36"/>
  <c r="D31" i="36" s="1"/>
  <c r="A87" i="36"/>
  <c r="L86" i="36"/>
  <c r="J86" i="36"/>
  <c r="F86" i="36"/>
  <c r="F30" i="36" s="1"/>
  <c r="D86" i="36"/>
  <c r="D30" i="36" s="1"/>
  <c r="A86" i="36"/>
  <c r="D35" i="34"/>
  <c r="F635" i="35"/>
  <c r="E635" i="35"/>
  <c r="C635" i="35"/>
  <c r="B635" i="35"/>
  <c r="F634" i="35"/>
  <c r="E634" i="35"/>
  <c r="C634" i="35"/>
  <c r="B634" i="35"/>
  <c r="F633" i="35"/>
  <c r="E633" i="35"/>
  <c r="C633" i="35"/>
  <c r="B633" i="35"/>
  <c r="F632" i="35"/>
  <c r="E632" i="35"/>
  <c r="C632" i="35"/>
  <c r="B632" i="35"/>
  <c r="F631" i="35"/>
  <c r="E631" i="35"/>
  <c r="C631" i="35"/>
  <c r="B631" i="35"/>
  <c r="F630" i="35"/>
  <c r="E630" i="35"/>
  <c r="C630" i="35"/>
  <c r="B630" i="35"/>
  <c r="F629" i="35"/>
  <c r="E629" i="35"/>
  <c r="C629" i="35"/>
  <c r="B629" i="35"/>
  <c r="F628" i="35"/>
  <c r="E628" i="35"/>
  <c r="C628" i="35"/>
  <c r="B628" i="35"/>
  <c r="F627" i="35"/>
  <c r="E627" i="35"/>
  <c r="C627" i="35"/>
  <c r="B627" i="35"/>
  <c r="F626" i="35"/>
  <c r="E626" i="35"/>
  <c r="C626" i="35"/>
  <c r="B626" i="35"/>
  <c r="F625" i="35"/>
  <c r="E625" i="35"/>
  <c r="C625" i="35"/>
  <c r="B625" i="35"/>
  <c r="F624" i="35"/>
  <c r="E624" i="35"/>
  <c r="C624" i="35"/>
  <c r="B624" i="35"/>
  <c r="F623" i="35"/>
  <c r="E623" i="35"/>
  <c r="C623" i="35"/>
  <c r="B623" i="35"/>
  <c r="F622" i="35"/>
  <c r="E622" i="35"/>
  <c r="C622" i="35"/>
  <c r="B622" i="35"/>
  <c r="F621" i="35"/>
  <c r="E621" i="35"/>
  <c r="C621" i="35"/>
  <c r="B621" i="35"/>
  <c r="F620" i="35"/>
  <c r="E620" i="35"/>
  <c r="C620" i="35"/>
  <c r="B620" i="35"/>
  <c r="F619" i="35"/>
  <c r="E619" i="35"/>
  <c r="C619" i="35"/>
  <c r="B619" i="35"/>
  <c r="F618" i="35"/>
  <c r="E618" i="35"/>
  <c r="C618" i="35"/>
  <c r="B618" i="35"/>
  <c r="F617" i="35"/>
  <c r="E617" i="35"/>
  <c r="C617" i="35"/>
  <c r="B617" i="35"/>
  <c r="F616" i="35"/>
  <c r="E616" i="35"/>
  <c r="C616" i="35"/>
  <c r="B616" i="35"/>
  <c r="B610" i="35"/>
  <c r="B612" i="35"/>
  <c r="B614" i="35"/>
  <c r="F614" i="35"/>
  <c r="E614" i="35"/>
  <c r="C614" i="35"/>
  <c r="F612" i="35"/>
  <c r="E612" i="35"/>
  <c r="C612" i="35"/>
  <c r="F610" i="35"/>
  <c r="E610" i="35"/>
  <c r="C610" i="35"/>
  <c r="F608" i="35"/>
  <c r="E608" i="35"/>
  <c r="C608" i="35"/>
  <c r="B608" i="35"/>
  <c r="F607" i="35"/>
  <c r="E607" i="35"/>
  <c r="C607" i="35"/>
  <c r="B607" i="35"/>
  <c r="F606" i="35"/>
  <c r="E606" i="35"/>
  <c r="C606" i="35"/>
  <c r="B606" i="35"/>
  <c r="F605" i="35"/>
  <c r="E605" i="35"/>
  <c r="C605" i="35"/>
  <c r="B605" i="35"/>
  <c r="F604" i="35"/>
  <c r="E604" i="35"/>
  <c r="C604" i="35"/>
  <c r="B604" i="35"/>
  <c r="F603" i="35"/>
  <c r="E603" i="35"/>
  <c r="C603" i="35"/>
  <c r="B603" i="35"/>
  <c r="F602" i="35"/>
  <c r="E602" i="35"/>
  <c r="C602" i="35"/>
  <c r="B602" i="35"/>
  <c r="F572" i="35"/>
  <c r="E572" i="35"/>
  <c r="C572" i="35"/>
  <c r="B572" i="35"/>
  <c r="F571" i="35"/>
  <c r="E571" i="35"/>
  <c r="C571" i="35"/>
  <c r="B571" i="35"/>
  <c r="F570" i="35"/>
  <c r="E570" i="35"/>
  <c r="C570" i="35"/>
  <c r="B570" i="35"/>
  <c r="F569" i="35"/>
  <c r="E569" i="35"/>
  <c r="C569" i="35"/>
  <c r="B569" i="35"/>
  <c r="F568" i="35"/>
  <c r="E568" i="35"/>
  <c r="C568" i="35"/>
  <c r="B568" i="35"/>
  <c r="F567" i="35"/>
  <c r="E567" i="35"/>
  <c r="C567" i="35"/>
  <c r="B567" i="35"/>
  <c r="F566" i="35"/>
  <c r="E566" i="35"/>
  <c r="C566" i="35"/>
  <c r="B566" i="35"/>
  <c r="F565" i="35"/>
  <c r="E565" i="35"/>
  <c r="C565" i="35"/>
  <c r="B565" i="35"/>
  <c r="F564" i="35"/>
  <c r="E564" i="35"/>
  <c r="C564" i="35"/>
  <c r="B564" i="35"/>
  <c r="F563" i="35"/>
  <c r="E563" i="35"/>
  <c r="C563" i="35"/>
  <c r="B563" i="35"/>
  <c r="F562" i="35"/>
  <c r="E562" i="35"/>
  <c r="C562" i="35"/>
  <c r="B562" i="35"/>
  <c r="F561" i="35"/>
  <c r="E561" i="35"/>
  <c r="C561" i="35"/>
  <c r="B561" i="35"/>
  <c r="F560" i="35"/>
  <c r="E560" i="35"/>
  <c r="C560" i="35"/>
  <c r="B560" i="35"/>
  <c r="F559" i="35"/>
  <c r="E559" i="35"/>
  <c r="C559" i="35"/>
  <c r="B559" i="35"/>
  <c r="F558" i="35"/>
  <c r="E558" i="35"/>
  <c r="C558" i="35"/>
  <c r="B558" i="35"/>
  <c r="F557" i="35"/>
  <c r="E557" i="35"/>
  <c r="C557" i="35"/>
  <c r="B557" i="35"/>
  <c r="F556" i="35"/>
  <c r="E556" i="35"/>
  <c r="C556" i="35"/>
  <c r="B556" i="35"/>
  <c r="F555" i="35"/>
  <c r="E555" i="35"/>
  <c r="C555" i="35"/>
  <c r="B555" i="35"/>
  <c r="F554" i="35"/>
  <c r="E554" i="35"/>
  <c r="C554" i="35"/>
  <c r="B554" i="35"/>
  <c r="F553" i="35"/>
  <c r="E553" i="35"/>
  <c r="C553" i="35"/>
  <c r="B553" i="35"/>
  <c r="F552" i="35"/>
  <c r="E552" i="35"/>
  <c r="C552" i="35"/>
  <c r="B552" i="35"/>
  <c r="F551" i="35"/>
  <c r="E551" i="35"/>
  <c r="C551" i="35"/>
  <c r="B551" i="35"/>
  <c r="F550" i="35"/>
  <c r="E550" i="35"/>
  <c r="C550" i="35"/>
  <c r="B550" i="35"/>
  <c r="F549" i="35"/>
  <c r="E549" i="35"/>
  <c r="C549" i="35"/>
  <c r="B549" i="35"/>
  <c r="F548" i="35"/>
  <c r="E548" i="35"/>
  <c r="C548" i="35"/>
  <c r="B548" i="35"/>
  <c r="F547" i="35"/>
  <c r="E547" i="35"/>
  <c r="C547" i="35"/>
  <c r="B547" i="35"/>
  <c r="F546" i="35"/>
  <c r="E546" i="35"/>
  <c r="C546" i="35"/>
  <c r="B546" i="35"/>
  <c r="F545" i="35"/>
  <c r="E545" i="35"/>
  <c r="C545" i="35"/>
  <c r="B545" i="35"/>
  <c r="F544" i="35"/>
  <c r="E544" i="35"/>
  <c r="C544" i="35"/>
  <c r="B544" i="35"/>
  <c r="F543" i="35"/>
  <c r="E543" i="35"/>
  <c r="C543" i="35"/>
  <c r="B543" i="35"/>
  <c r="F542" i="35"/>
  <c r="C542" i="35"/>
  <c r="B542" i="35"/>
  <c r="F541" i="35"/>
  <c r="E541" i="35"/>
  <c r="C541" i="35"/>
  <c r="B541" i="35"/>
  <c r="F540" i="35"/>
  <c r="E540" i="35"/>
  <c r="C540" i="35"/>
  <c r="B540" i="35"/>
  <c r="F539" i="35"/>
  <c r="E539" i="35"/>
  <c r="C539" i="35"/>
  <c r="B539" i="35"/>
  <c r="F538" i="35"/>
  <c r="E538" i="35"/>
  <c r="C538" i="35"/>
  <c r="B538" i="35"/>
  <c r="F537" i="35"/>
  <c r="C537" i="35"/>
  <c r="B537" i="35"/>
  <c r="F536" i="35"/>
  <c r="E536" i="35"/>
  <c r="C536" i="35"/>
  <c r="B536" i="35"/>
  <c r="F535" i="35"/>
  <c r="E535" i="35"/>
  <c r="C535" i="35"/>
  <c r="B535" i="35"/>
  <c r="F534" i="35"/>
  <c r="E534" i="35"/>
  <c r="C534" i="35"/>
  <c r="B534" i="35"/>
  <c r="F533" i="35"/>
  <c r="E533" i="35"/>
  <c r="C533" i="35"/>
  <c r="B533" i="35"/>
  <c r="F532" i="35"/>
  <c r="E532" i="35"/>
  <c r="C532" i="35"/>
  <c r="B532" i="35"/>
  <c r="F531" i="35"/>
  <c r="E531" i="35"/>
  <c r="C531" i="35"/>
  <c r="B531" i="35"/>
  <c r="F530" i="35"/>
  <c r="E530" i="35"/>
  <c r="C530" i="35"/>
  <c r="B530" i="35"/>
  <c r="F500" i="35"/>
  <c r="E500" i="35"/>
  <c r="C500" i="35"/>
  <c r="B500" i="35"/>
  <c r="F499" i="35"/>
  <c r="E499" i="35"/>
  <c r="C499" i="35"/>
  <c r="B499" i="35"/>
  <c r="F498" i="35"/>
  <c r="E498" i="35"/>
  <c r="C498" i="35"/>
  <c r="B498" i="35"/>
  <c r="E497" i="35"/>
  <c r="F497" i="35"/>
  <c r="C497" i="35"/>
  <c r="B497" i="35"/>
  <c r="A496" i="35"/>
  <c r="F495" i="35"/>
  <c r="E495" i="35"/>
  <c r="C495" i="35"/>
  <c r="B495" i="35"/>
  <c r="F494" i="35"/>
  <c r="E494" i="35"/>
  <c r="C494" i="35"/>
  <c r="B494" i="35"/>
  <c r="F493" i="35"/>
  <c r="E493" i="35"/>
  <c r="C493" i="35"/>
  <c r="B493" i="35"/>
  <c r="E492" i="35"/>
  <c r="C492" i="35"/>
  <c r="B492" i="35"/>
  <c r="E491" i="35"/>
  <c r="C491" i="35"/>
  <c r="B491" i="35"/>
  <c r="F490" i="35"/>
  <c r="E490" i="35"/>
  <c r="C490" i="35"/>
  <c r="B490" i="35"/>
  <c r="F489" i="35"/>
  <c r="E489" i="35"/>
  <c r="C489" i="35"/>
  <c r="B489" i="35"/>
  <c r="F488" i="35"/>
  <c r="E488" i="35"/>
  <c r="C488" i="35"/>
  <c r="B488" i="35"/>
  <c r="F487" i="35"/>
  <c r="E487" i="35"/>
  <c r="C487" i="35"/>
  <c r="B487" i="35"/>
  <c r="F486" i="35"/>
  <c r="E486" i="35"/>
  <c r="C486" i="35"/>
  <c r="B486" i="35"/>
  <c r="F485" i="35"/>
  <c r="E485" i="35"/>
  <c r="C485" i="35"/>
  <c r="B485" i="35"/>
  <c r="F484" i="35"/>
  <c r="E484" i="35"/>
  <c r="C484" i="35"/>
  <c r="B484" i="35"/>
  <c r="F483" i="35"/>
  <c r="E483" i="35"/>
  <c r="C483" i="35"/>
  <c r="B483" i="35"/>
  <c r="F482" i="35"/>
  <c r="E482" i="35"/>
  <c r="C482" i="35"/>
  <c r="B482" i="35"/>
  <c r="F481" i="35"/>
  <c r="E481" i="35"/>
  <c r="C481" i="35"/>
  <c r="B481" i="35"/>
  <c r="F480" i="35"/>
  <c r="E480" i="35"/>
  <c r="C480" i="35"/>
  <c r="B480" i="35"/>
  <c r="F479" i="35"/>
  <c r="E479" i="35"/>
  <c r="C479" i="35"/>
  <c r="B479" i="35"/>
  <c r="F478" i="35"/>
  <c r="E478" i="35"/>
  <c r="C478" i="35"/>
  <c r="B478" i="35"/>
  <c r="F477" i="35"/>
  <c r="E477" i="35"/>
  <c r="C477" i="35"/>
  <c r="B477" i="35"/>
  <c r="F476" i="35"/>
  <c r="E476" i="35"/>
  <c r="C476" i="35"/>
  <c r="B476" i="35"/>
  <c r="F475" i="35"/>
  <c r="E475" i="35"/>
  <c r="C475" i="35"/>
  <c r="B475" i="35"/>
  <c r="F474" i="35"/>
  <c r="E474" i="35"/>
  <c r="C474" i="35"/>
  <c r="B474" i="35"/>
  <c r="F473" i="35"/>
  <c r="E473" i="35"/>
  <c r="C473" i="35"/>
  <c r="B473" i="35"/>
  <c r="F472" i="35"/>
  <c r="E472" i="35"/>
  <c r="C472" i="35"/>
  <c r="B472" i="35"/>
  <c r="F471" i="35"/>
  <c r="E471" i="35"/>
  <c r="C471" i="35"/>
  <c r="B471" i="35"/>
  <c r="F470" i="35"/>
  <c r="E470" i="35"/>
  <c r="C470" i="35"/>
  <c r="B470" i="35"/>
  <c r="F469" i="35"/>
  <c r="E469" i="35"/>
  <c r="C469" i="35"/>
  <c r="B469" i="35"/>
  <c r="F468" i="35"/>
  <c r="E468" i="35"/>
  <c r="C468" i="35"/>
  <c r="B468" i="35"/>
  <c r="F467" i="35"/>
  <c r="E467" i="35"/>
  <c r="C467" i="35"/>
  <c r="B467" i="35"/>
  <c r="F466" i="35"/>
  <c r="E466" i="35"/>
  <c r="C466" i="35"/>
  <c r="B466" i="35"/>
  <c r="F465" i="35"/>
  <c r="E465" i="35"/>
  <c r="C465" i="35"/>
  <c r="B465" i="35"/>
  <c r="F464" i="35"/>
  <c r="E464" i="35"/>
  <c r="C464" i="35"/>
  <c r="B464" i="35"/>
  <c r="F462" i="35"/>
  <c r="E462" i="35"/>
  <c r="C462" i="35"/>
  <c r="B462" i="35"/>
  <c r="F460" i="35"/>
  <c r="E460" i="35"/>
  <c r="C460" i="35"/>
  <c r="B460" i="35"/>
  <c r="F458" i="35"/>
  <c r="E458" i="35"/>
  <c r="C458" i="35"/>
  <c r="B458" i="35"/>
  <c r="F427" i="35"/>
  <c r="E427" i="35"/>
  <c r="C427" i="35"/>
  <c r="B427" i="35"/>
  <c r="F426" i="35"/>
  <c r="E426" i="35"/>
  <c r="C426" i="35"/>
  <c r="B426" i="35"/>
  <c r="F425" i="35"/>
  <c r="E425" i="35"/>
  <c r="C425" i="35"/>
  <c r="B425" i="35"/>
  <c r="F424" i="35"/>
  <c r="E424" i="35"/>
  <c r="C424" i="35"/>
  <c r="B424" i="35"/>
  <c r="F423" i="35"/>
  <c r="E423" i="35"/>
  <c r="C423" i="35"/>
  <c r="B423" i="35"/>
  <c r="F422" i="35"/>
  <c r="E422" i="35"/>
  <c r="C422" i="35"/>
  <c r="B422" i="35"/>
  <c r="F421" i="35"/>
  <c r="E421" i="35"/>
  <c r="C421" i="35"/>
  <c r="B421" i="35"/>
  <c r="F420" i="35"/>
  <c r="E420" i="35"/>
  <c r="C420" i="35"/>
  <c r="B420" i="35"/>
  <c r="F419" i="35"/>
  <c r="E419" i="35"/>
  <c r="C419" i="35"/>
  <c r="B419" i="35"/>
  <c r="F418" i="35"/>
  <c r="E418" i="35"/>
  <c r="C418" i="35"/>
  <c r="B418" i="35"/>
  <c r="F417" i="35"/>
  <c r="E417" i="35"/>
  <c r="C417" i="35"/>
  <c r="B417" i="35"/>
  <c r="F416" i="35"/>
  <c r="E416" i="35"/>
  <c r="C416" i="35"/>
  <c r="B416" i="35"/>
  <c r="F415" i="35"/>
  <c r="E415" i="35"/>
  <c r="C415" i="35"/>
  <c r="B415" i="35"/>
  <c r="F414" i="35"/>
  <c r="E414" i="35"/>
  <c r="C414" i="35"/>
  <c r="B414" i="35"/>
  <c r="F413" i="35"/>
  <c r="E413" i="35"/>
  <c r="C413" i="35"/>
  <c r="B413" i="35"/>
  <c r="F412" i="35"/>
  <c r="E412" i="35"/>
  <c r="C412" i="35"/>
  <c r="B412" i="35"/>
  <c r="F411" i="35"/>
  <c r="E411" i="35"/>
  <c r="C411" i="35"/>
  <c r="B411" i="35"/>
  <c r="F410" i="35"/>
  <c r="E410" i="35"/>
  <c r="C410" i="35"/>
  <c r="B410" i="35"/>
  <c r="F409" i="35"/>
  <c r="E409" i="35"/>
  <c r="C409" i="35"/>
  <c r="B409" i="35"/>
  <c r="F408" i="35"/>
  <c r="C408" i="35"/>
  <c r="B408" i="35"/>
  <c r="F407" i="35"/>
  <c r="E407" i="35"/>
  <c r="C407" i="35"/>
  <c r="B407" i="35"/>
  <c r="F406" i="35"/>
  <c r="E406" i="35"/>
  <c r="C406" i="35"/>
  <c r="B406" i="35"/>
  <c r="F405" i="35"/>
  <c r="E405" i="35"/>
  <c r="C405" i="35"/>
  <c r="B405" i="35"/>
  <c r="F404" i="35"/>
  <c r="E404" i="35"/>
  <c r="C404" i="35"/>
  <c r="B404" i="35"/>
  <c r="F403" i="35"/>
  <c r="E403" i="35"/>
  <c r="C403" i="35"/>
  <c r="B403" i="35"/>
  <c r="F402" i="35"/>
  <c r="E402" i="35"/>
  <c r="C402" i="35"/>
  <c r="B402" i="35"/>
  <c r="F401" i="35"/>
  <c r="E401" i="35"/>
  <c r="C401" i="35"/>
  <c r="B401" i="35"/>
  <c r="F400" i="35"/>
  <c r="E400" i="35"/>
  <c r="C400" i="35"/>
  <c r="B400" i="35"/>
  <c r="F399" i="35"/>
  <c r="E399" i="35"/>
  <c r="C399" i="35"/>
  <c r="B399" i="35"/>
  <c r="F398" i="35"/>
  <c r="E398" i="35"/>
  <c r="C398" i="35"/>
  <c r="B398" i="35"/>
  <c r="F397" i="35"/>
  <c r="E397" i="35"/>
  <c r="C397" i="35"/>
  <c r="B397" i="35"/>
  <c r="F396" i="35"/>
  <c r="E396" i="35"/>
  <c r="C396" i="35"/>
  <c r="B396" i="35"/>
  <c r="F395" i="35"/>
  <c r="E395" i="35"/>
  <c r="C395" i="35"/>
  <c r="B395" i="35"/>
  <c r="F394" i="35"/>
  <c r="E394" i="35"/>
  <c r="C394" i="35"/>
  <c r="B394" i="35"/>
  <c r="F393" i="35"/>
  <c r="E393" i="35"/>
  <c r="C393" i="35"/>
  <c r="B393" i="35"/>
  <c r="F392" i="35"/>
  <c r="E392" i="35"/>
  <c r="C392" i="35"/>
  <c r="B392" i="35"/>
  <c r="F391" i="35"/>
  <c r="E391" i="35"/>
  <c r="C391" i="35"/>
  <c r="B391" i="35"/>
  <c r="F390" i="35"/>
  <c r="E390" i="35"/>
  <c r="C390" i="35"/>
  <c r="B390" i="35"/>
  <c r="F389" i="35"/>
  <c r="E389" i="35"/>
  <c r="C389" i="35"/>
  <c r="B389" i="35"/>
  <c r="F388" i="35"/>
  <c r="E388" i="35"/>
  <c r="C388" i="35"/>
  <c r="B388" i="35"/>
  <c r="F387" i="35"/>
  <c r="E387" i="35"/>
  <c r="C387" i="35"/>
  <c r="B387" i="35"/>
  <c r="F386" i="35"/>
  <c r="C386" i="35"/>
  <c r="B386" i="35"/>
  <c r="F356" i="35"/>
  <c r="C356" i="35"/>
  <c r="B356" i="35"/>
  <c r="F355" i="35"/>
  <c r="E355" i="35"/>
  <c r="C355" i="35"/>
  <c r="B355" i="35"/>
  <c r="F354" i="35"/>
  <c r="E354" i="35"/>
  <c r="C354" i="35"/>
  <c r="B354" i="35"/>
  <c r="F353" i="35"/>
  <c r="C353" i="35"/>
  <c r="B353" i="35"/>
  <c r="F352" i="35"/>
  <c r="E352" i="35"/>
  <c r="C352" i="35"/>
  <c r="B352" i="35"/>
  <c r="F351" i="35"/>
  <c r="E351" i="35"/>
  <c r="C351" i="35"/>
  <c r="B351" i="35"/>
  <c r="F350" i="35"/>
  <c r="E350" i="35"/>
  <c r="C350" i="35"/>
  <c r="B350" i="35"/>
  <c r="F349" i="35"/>
  <c r="E349" i="35"/>
  <c r="C349" i="35"/>
  <c r="B349" i="35"/>
  <c r="F348" i="35"/>
  <c r="E348" i="35"/>
  <c r="C348" i="35"/>
  <c r="B348" i="35"/>
  <c r="F347" i="35"/>
  <c r="E347" i="35"/>
  <c r="C347" i="35"/>
  <c r="B347" i="35"/>
  <c r="F346" i="35"/>
  <c r="E346" i="35"/>
  <c r="C346" i="35"/>
  <c r="B346" i="35"/>
  <c r="F345" i="35"/>
  <c r="C345" i="35"/>
  <c r="B345" i="35"/>
  <c r="F344" i="35"/>
  <c r="C344" i="35"/>
  <c r="B344" i="35"/>
  <c r="F343" i="35"/>
  <c r="E343" i="35"/>
  <c r="C343" i="35"/>
  <c r="B343" i="35"/>
  <c r="F342" i="35"/>
  <c r="E342" i="35"/>
  <c r="C342" i="35"/>
  <c r="B342" i="35"/>
  <c r="F341" i="35"/>
  <c r="E341" i="35"/>
  <c r="C341" i="35"/>
  <c r="B341" i="35"/>
  <c r="F340" i="35"/>
  <c r="E340" i="35"/>
  <c r="C340" i="35"/>
  <c r="B340" i="35"/>
  <c r="F339" i="35"/>
  <c r="E339" i="35"/>
  <c r="C339" i="35"/>
  <c r="B339" i="35"/>
  <c r="F338" i="35"/>
  <c r="E338" i="35"/>
  <c r="C338" i="35"/>
  <c r="B338" i="35"/>
  <c r="F337" i="35"/>
  <c r="C337" i="35"/>
  <c r="B337" i="35"/>
  <c r="A336" i="35"/>
  <c r="F335" i="35"/>
  <c r="E335" i="35"/>
  <c r="C335" i="35"/>
  <c r="B335" i="35"/>
  <c r="F334" i="35"/>
  <c r="E334" i="35"/>
  <c r="C334" i="35"/>
  <c r="B334" i="35"/>
  <c r="F333" i="35"/>
  <c r="E333" i="35"/>
  <c r="C333" i="35"/>
  <c r="B333" i="35"/>
  <c r="F332" i="35"/>
  <c r="E332" i="35"/>
  <c r="C332" i="35"/>
  <c r="B332" i="35"/>
  <c r="F331" i="35"/>
  <c r="E331" i="35"/>
  <c r="C331" i="35"/>
  <c r="B331" i="35"/>
  <c r="F330" i="35"/>
  <c r="E330" i="35"/>
  <c r="C330" i="35"/>
  <c r="B330" i="35"/>
  <c r="B329" i="35"/>
  <c r="C329" i="35"/>
  <c r="E329" i="35"/>
  <c r="F329" i="35"/>
  <c r="F328" i="35"/>
  <c r="E328" i="35"/>
  <c r="C328" i="35"/>
  <c r="B328" i="35"/>
  <c r="F327" i="35"/>
  <c r="E327" i="35"/>
  <c r="C327" i="35"/>
  <c r="B327" i="35"/>
  <c r="F326" i="35"/>
  <c r="E326" i="35"/>
  <c r="C326" i="35"/>
  <c r="B326" i="35"/>
  <c r="F325" i="35"/>
  <c r="E325" i="35"/>
  <c r="C325" i="35"/>
  <c r="B325" i="35"/>
  <c r="F324" i="35"/>
  <c r="E324" i="35"/>
  <c r="C324" i="35"/>
  <c r="B324" i="35"/>
  <c r="F323" i="35"/>
  <c r="E323" i="35"/>
  <c r="C323" i="35"/>
  <c r="B323" i="35"/>
  <c r="F322" i="35"/>
  <c r="E322" i="35"/>
  <c r="C322" i="35"/>
  <c r="B322" i="35"/>
  <c r="F321" i="35"/>
  <c r="E321" i="35"/>
  <c r="C321" i="35"/>
  <c r="B321" i="35"/>
  <c r="F320" i="35"/>
  <c r="E320" i="35"/>
  <c r="C320" i="35"/>
  <c r="B320" i="35"/>
  <c r="F319" i="35"/>
  <c r="E319" i="35"/>
  <c r="C319" i="35"/>
  <c r="B319" i="35"/>
  <c r="F318" i="35"/>
  <c r="E318" i="35"/>
  <c r="C318" i="35"/>
  <c r="B318" i="35"/>
  <c r="F317" i="35"/>
  <c r="E317" i="35"/>
  <c r="C317" i="35"/>
  <c r="B317" i="35"/>
  <c r="F316" i="35"/>
  <c r="E316" i="35"/>
  <c r="C316" i="35"/>
  <c r="B316" i="35"/>
  <c r="F315" i="35"/>
  <c r="E315" i="35"/>
  <c r="C315" i="35"/>
  <c r="B315" i="35"/>
  <c r="F314" i="35"/>
  <c r="E314" i="35"/>
  <c r="C314" i="35"/>
  <c r="B314" i="35"/>
  <c r="F283" i="35"/>
  <c r="E283" i="35"/>
  <c r="C283" i="35"/>
  <c r="B283" i="35"/>
  <c r="F282" i="35"/>
  <c r="E282" i="35"/>
  <c r="C282" i="35"/>
  <c r="B282" i="35"/>
  <c r="F281" i="35"/>
  <c r="E281" i="35"/>
  <c r="C281" i="35"/>
  <c r="B281" i="35"/>
  <c r="C280" i="35"/>
  <c r="F280" i="35"/>
  <c r="E280" i="35"/>
  <c r="E278" i="35"/>
  <c r="F278" i="35"/>
  <c r="B280" i="35"/>
  <c r="C278" i="35"/>
  <c r="B278" i="35"/>
  <c r="F276" i="35"/>
  <c r="E276" i="35"/>
  <c r="C276" i="35"/>
  <c r="B276" i="35"/>
  <c r="F274" i="35"/>
  <c r="E274" i="35"/>
  <c r="C274" i="35"/>
  <c r="B274" i="35"/>
  <c r="F273" i="35"/>
  <c r="E273" i="35"/>
  <c r="C273" i="35"/>
  <c r="B273" i="35"/>
  <c r="F272" i="35"/>
  <c r="E272" i="35"/>
  <c r="C272" i="35"/>
  <c r="B272" i="35"/>
  <c r="F271" i="35"/>
  <c r="E271" i="35"/>
  <c r="C271" i="35"/>
  <c r="B271" i="35"/>
  <c r="F270" i="35"/>
  <c r="E270" i="35"/>
  <c r="C270" i="35"/>
  <c r="B270" i="35"/>
  <c r="F269" i="35"/>
  <c r="E269" i="35"/>
  <c r="C269" i="35"/>
  <c r="B269" i="35"/>
  <c r="F268" i="35"/>
  <c r="E268" i="35"/>
  <c r="C268" i="35"/>
  <c r="B268" i="35"/>
  <c r="F267" i="35"/>
  <c r="E267" i="35"/>
  <c r="C267" i="35"/>
  <c r="B267" i="35"/>
  <c r="F266" i="35"/>
  <c r="E266" i="35"/>
  <c r="C266" i="35"/>
  <c r="B266" i="35"/>
  <c r="F265" i="35"/>
  <c r="E265" i="35"/>
  <c r="C265" i="35"/>
  <c r="B265" i="35"/>
  <c r="F264" i="35"/>
  <c r="E264" i="35"/>
  <c r="C264" i="35"/>
  <c r="B264" i="35"/>
  <c r="F263" i="35"/>
  <c r="E263" i="35"/>
  <c r="C263" i="35"/>
  <c r="B263" i="35"/>
  <c r="F262" i="35"/>
  <c r="E262" i="35"/>
  <c r="C262" i="35"/>
  <c r="B262" i="35"/>
  <c r="F261" i="35"/>
  <c r="E261" i="35"/>
  <c r="C261" i="35"/>
  <c r="B261" i="35"/>
  <c r="F260" i="35"/>
  <c r="E260" i="35"/>
  <c r="C260" i="35"/>
  <c r="B260" i="35"/>
  <c r="F259" i="35"/>
  <c r="E259" i="35"/>
  <c r="C259" i="35"/>
  <c r="B259" i="35"/>
  <c r="F258" i="35"/>
  <c r="E258" i="35"/>
  <c r="C258" i="35"/>
  <c r="B258" i="35"/>
  <c r="F257" i="35"/>
  <c r="E257" i="35"/>
  <c r="C257" i="35"/>
  <c r="B257" i="35"/>
  <c r="F256" i="35"/>
  <c r="E256" i="35"/>
  <c r="C256" i="35"/>
  <c r="B256" i="35"/>
  <c r="F255" i="35"/>
  <c r="C255" i="35"/>
  <c r="B255" i="35"/>
  <c r="F254" i="35"/>
  <c r="E254" i="35"/>
  <c r="C254" i="35"/>
  <c r="B254" i="35"/>
  <c r="F253" i="35"/>
  <c r="E253" i="35"/>
  <c r="C253" i="35"/>
  <c r="B253" i="35"/>
  <c r="F252" i="35"/>
  <c r="E252" i="35"/>
  <c r="C252" i="35"/>
  <c r="B252" i="35"/>
  <c r="F251" i="35"/>
  <c r="E251" i="35"/>
  <c r="C251" i="35"/>
  <c r="B251" i="35"/>
  <c r="F250" i="35"/>
  <c r="E250" i="35"/>
  <c r="C250" i="35"/>
  <c r="B250" i="35"/>
  <c r="F249" i="35"/>
  <c r="E249" i="35"/>
  <c r="C249" i="35"/>
  <c r="B249" i="35"/>
  <c r="F248" i="35"/>
  <c r="E248" i="35"/>
  <c r="C248" i="35"/>
  <c r="B248" i="35"/>
  <c r="F247" i="35"/>
  <c r="E247" i="35"/>
  <c r="C247" i="35"/>
  <c r="B247" i="35"/>
  <c r="F246" i="35"/>
  <c r="E246" i="35"/>
  <c r="C246" i="35"/>
  <c r="B246" i="35"/>
  <c r="F245" i="35"/>
  <c r="E245" i="35"/>
  <c r="C245" i="35"/>
  <c r="B245" i="35"/>
  <c r="F244" i="35"/>
  <c r="E244" i="35"/>
  <c r="C244" i="35"/>
  <c r="B244" i="35"/>
  <c r="F243" i="35"/>
  <c r="E243" i="35"/>
  <c r="C243" i="35"/>
  <c r="B243" i="35"/>
  <c r="F242" i="35"/>
  <c r="E242" i="35"/>
  <c r="C242" i="35"/>
  <c r="B242" i="35"/>
  <c r="F241" i="35"/>
  <c r="E241" i="35"/>
  <c r="C241" i="35"/>
  <c r="B241" i="35"/>
  <c r="F210" i="35"/>
  <c r="E210" i="35"/>
  <c r="C210" i="35"/>
  <c r="B210" i="35"/>
  <c r="F209" i="35"/>
  <c r="E209" i="35"/>
  <c r="C209" i="35"/>
  <c r="B209" i="35"/>
  <c r="F208" i="35"/>
  <c r="E208" i="35"/>
  <c r="C208" i="35"/>
  <c r="B208" i="35"/>
  <c r="F207" i="35"/>
  <c r="E207" i="35"/>
  <c r="C207" i="35"/>
  <c r="B207" i="35"/>
  <c r="F206" i="35"/>
  <c r="E206" i="35"/>
  <c r="C206" i="35"/>
  <c r="B206" i="35"/>
  <c r="F205" i="35"/>
  <c r="E205" i="35"/>
  <c r="C205" i="35"/>
  <c r="B205" i="35"/>
  <c r="F204" i="35"/>
  <c r="E204" i="35"/>
  <c r="C204" i="35"/>
  <c r="B204" i="35"/>
  <c r="F203" i="35"/>
  <c r="C203" i="35"/>
  <c r="B203" i="35"/>
  <c r="F202" i="35"/>
  <c r="C202" i="35"/>
  <c r="B202" i="35"/>
  <c r="F201" i="35"/>
  <c r="E201" i="35"/>
  <c r="C201" i="35"/>
  <c r="B201" i="35"/>
  <c r="F200" i="35"/>
  <c r="E200" i="35"/>
  <c r="C200" i="35"/>
  <c r="B200" i="35"/>
  <c r="F199" i="35"/>
  <c r="C199" i="35"/>
  <c r="B199" i="35"/>
  <c r="F198" i="35"/>
  <c r="E198" i="35"/>
  <c r="C198" i="35"/>
  <c r="B198" i="35"/>
  <c r="F197" i="35"/>
  <c r="E197" i="35"/>
  <c r="C197" i="35"/>
  <c r="B197" i="35"/>
  <c r="F196" i="35"/>
  <c r="E196" i="35"/>
  <c r="C196" i="35"/>
  <c r="B196" i="35"/>
  <c r="F195" i="35"/>
  <c r="E195" i="35"/>
  <c r="C195" i="35"/>
  <c r="B195" i="35"/>
  <c r="F194" i="35"/>
  <c r="E194" i="35"/>
  <c r="C194" i="35"/>
  <c r="B194" i="35"/>
  <c r="F193" i="35"/>
  <c r="E193" i="35"/>
  <c r="C193" i="35"/>
  <c r="B193" i="35"/>
  <c r="F192" i="35"/>
  <c r="E192" i="35"/>
  <c r="C192" i="35"/>
  <c r="B192" i="35"/>
  <c r="F191" i="35"/>
  <c r="C191" i="35"/>
  <c r="B191" i="35"/>
  <c r="F190" i="35"/>
  <c r="C190" i="35"/>
  <c r="B190" i="35"/>
  <c r="F189" i="35"/>
  <c r="E189" i="35"/>
  <c r="C189" i="35"/>
  <c r="B189" i="35"/>
  <c r="F188" i="35"/>
  <c r="E188" i="35"/>
  <c r="C188" i="35"/>
  <c r="B188" i="35"/>
  <c r="F187" i="35"/>
  <c r="E187" i="35"/>
  <c r="C187" i="35"/>
  <c r="B187" i="35"/>
  <c r="F186" i="35"/>
  <c r="E186" i="35"/>
  <c r="C186" i="35"/>
  <c r="B186" i="35"/>
  <c r="F185" i="35"/>
  <c r="E185" i="35"/>
  <c r="C185" i="35"/>
  <c r="B185" i="35"/>
  <c r="F184" i="35"/>
  <c r="E184" i="35"/>
  <c r="C184" i="35"/>
  <c r="B184" i="35"/>
  <c r="F183" i="35"/>
  <c r="C183" i="35"/>
  <c r="B183" i="35"/>
  <c r="A182" i="35"/>
  <c r="A168" i="35"/>
  <c r="A169" i="35" s="1"/>
  <c r="A170" i="35" s="1"/>
  <c r="A171" i="35" s="1"/>
  <c r="A172" i="35" s="1"/>
  <c r="A121" i="35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94" i="35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1" i="35" s="1"/>
  <c r="A22" i="35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F181" i="35"/>
  <c r="E181" i="35"/>
  <c r="C181" i="35"/>
  <c r="B181" i="35"/>
  <c r="F180" i="35"/>
  <c r="E180" i="35"/>
  <c r="C180" i="35"/>
  <c r="B180" i="35"/>
  <c r="F179" i="35"/>
  <c r="E179" i="35"/>
  <c r="C179" i="35"/>
  <c r="B179" i="35"/>
  <c r="E178" i="35"/>
  <c r="C178" i="35"/>
  <c r="B178" i="35"/>
  <c r="E177" i="35"/>
  <c r="C177" i="35"/>
  <c r="B177" i="35"/>
  <c r="F176" i="35"/>
  <c r="E176" i="35"/>
  <c r="C176" i="35"/>
  <c r="B176" i="35"/>
  <c r="F175" i="35"/>
  <c r="E175" i="35"/>
  <c r="C175" i="35"/>
  <c r="B175" i="35"/>
  <c r="F174" i="35"/>
  <c r="E174" i="35"/>
  <c r="C174" i="35"/>
  <c r="B174" i="35"/>
  <c r="F173" i="35"/>
  <c r="E173" i="35"/>
  <c r="C173" i="35"/>
  <c r="B173" i="35"/>
  <c r="F172" i="35"/>
  <c r="E172" i="35"/>
  <c r="C172" i="35"/>
  <c r="B172" i="35"/>
  <c r="F171" i="35"/>
  <c r="E171" i="35"/>
  <c r="C171" i="35"/>
  <c r="B171" i="35"/>
  <c r="F170" i="35"/>
  <c r="E170" i="35"/>
  <c r="C170" i="35"/>
  <c r="B170" i="35"/>
  <c r="F169" i="35"/>
  <c r="E169" i="35"/>
  <c r="C169" i="35"/>
  <c r="B169" i="35"/>
  <c r="F168" i="35"/>
  <c r="E168" i="35"/>
  <c r="C168" i="35"/>
  <c r="B168" i="35"/>
  <c r="F167" i="35"/>
  <c r="E167" i="35"/>
  <c r="C167" i="35"/>
  <c r="B167" i="35"/>
  <c r="F136" i="35"/>
  <c r="E136" i="35"/>
  <c r="C136" i="35"/>
  <c r="B136" i="35"/>
  <c r="F135" i="35"/>
  <c r="E135" i="35"/>
  <c r="C135" i="35"/>
  <c r="B135" i="35"/>
  <c r="F134" i="35"/>
  <c r="E134" i="35"/>
  <c r="C134" i="35"/>
  <c r="B134" i="35"/>
  <c r="F133" i="35"/>
  <c r="E133" i="35"/>
  <c r="C133" i="35"/>
  <c r="B133" i="35"/>
  <c r="F132" i="35"/>
  <c r="E132" i="35"/>
  <c r="C132" i="35"/>
  <c r="B132" i="35"/>
  <c r="F131" i="35"/>
  <c r="E131" i="35"/>
  <c r="C131" i="35"/>
  <c r="B131" i="35"/>
  <c r="F130" i="35"/>
  <c r="E130" i="35"/>
  <c r="C130" i="35"/>
  <c r="B130" i="35"/>
  <c r="F129" i="35"/>
  <c r="E129" i="35"/>
  <c r="C129" i="35"/>
  <c r="B129" i="35"/>
  <c r="F128" i="35"/>
  <c r="E128" i="35"/>
  <c r="C128" i="35"/>
  <c r="B128" i="35"/>
  <c r="F127" i="35"/>
  <c r="E127" i="35"/>
  <c r="C127" i="35"/>
  <c r="B127" i="35"/>
  <c r="F126" i="35"/>
  <c r="E126" i="35"/>
  <c r="C126" i="35"/>
  <c r="B126" i="35"/>
  <c r="F125" i="35"/>
  <c r="E125" i="35"/>
  <c r="C125" i="35"/>
  <c r="B125" i="35"/>
  <c r="F124" i="35"/>
  <c r="E124" i="35"/>
  <c r="C124" i="35"/>
  <c r="B124" i="35"/>
  <c r="F123" i="35"/>
  <c r="E123" i="35"/>
  <c r="C123" i="35"/>
  <c r="B123" i="35"/>
  <c r="F122" i="35"/>
  <c r="E122" i="35"/>
  <c r="C122" i="35"/>
  <c r="B122" i="35"/>
  <c r="F121" i="35"/>
  <c r="E121" i="35"/>
  <c r="C121" i="35"/>
  <c r="B121" i="35"/>
  <c r="F120" i="35"/>
  <c r="E120" i="35"/>
  <c r="C120" i="35"/>
  <c r="B120" i="35"/>
  <c r="F118" i="35"/>
  <c r="E118" i="35"/>
  <c r="C118" i="35"/>
  <c r="B118" i="35"/>
  <c r="B116" i="35"/>
  <c r="C116" i="35"/>
  <c r="C114" i="35"/>
  <c r="E114" i="35"/>
  <c r="F114" i="35"/>
  <c r="F116" i="35"/>
  <c r="E116" i="35"/>
  <c r="B114" i="35"/>
  <c r="F112" i="35"/>
  <c r="E112" i="35"/>
  <c r="C112" i="35"/>
  <c r="B112" i="35"/>
  <c r="F111" i="35"/>
  <c r="E111" i="35"/>
  <c r="C111" i="35"/>
  <c r="B111" i="35"/>
  <c r="F110" i="35"/>
  <c r="E110" i="35"/>
  <c r="C110" i="35"/>
  <c r="B110" i="35"/>
  <c r="F109" i="35"/>
  <c r="E109" i="35"/>
  <c r="C109" i="35"/>
  <c r="B109" i="35"/>
  <c r="F108" i="35"/>
  <c r="E108" i="35"/>
  <c r="C108" i="35"/>
  <c r="B108" i="35"/>
  <c r="F107" i="35"/>
  <c r="E107" i="35"/>
  <c r="C107" i="35"/>
  <c r="B107" i="35"/>
  <c r="F106" i="35"/>
  <c r="E106" i="35"/>
  <c r="C106" i="35"/>
  <c r="B106" i="35"/>
  <c r="F105" i="35"/>
  <c r="E105" i="35"/>
  <c r="C105" i="35"/>
  <c r="B105" i="35"/>
  <c r="F104" i="35"/>
  <c r="E104" i="35"/>
  <c r="C104" i="35"/>
  <c r="B104" i="35"/>
  <c r="F103" i="35"/>
  <c r="E103" i="35"/>
  <c r="C103" i="35"/>
  <c r="B103" i="35"/>
  <c r="F102" i="35"/>
  <c r="E102" i="35"/>
  <c r="C102" i="35"/>
  <c r="B102" i="35"/>
  <c r="F101" i="35"/>
  <c r="E101" i="35"/>
  <c r="C101" i="35"/>
  <c r="B101" i="35"/>
  <c r="F100" i="35"/>
  <c r="E100" i="35"/>
  <c r="C100" i="35"/>
  <c r="B100" i="35"/>
  <c r="F99" i="35"/>
  <c r="E99" i="35"/>
  <c r="C99" i="35"/>
  <c r="B99" i="35"/>
  <c r="F98" i="35"/>
  <c r="E98" i="35"/>
  <c r="C98" i="35"/>
  <c r="B98" i="35"/>
  <c r="F97" i="35"/>
  <c r="E97" i="35"/>
  <c r="C97" i="35"/>
  <c r="B97" i="35"/>
  <c r="F96" i="35"/>
  <c r="E96" i="35"/>
  <c r="C96" i="35"/>
  <c r="B96" i="35"/>
  <c r="F95" i="35"/>
  <c r="E95" i="35"/>
  <c r="C95" i="35"/>
  <c r="B95" i="35"/>
  <c r="F94" i="35"/>
  <c r="E94" i="35"/>
  <c r="C94" i="35"/>
  <c r="B94" i="35"/>
  <c r="F93" i="35"/>
  <c r="C93" i="35"/>
  <c r="B93" i="35"/>
  <c r="F62" i="35"/>
  <c r="E62" i="35"/>
  <c r="C62" i="35"/>
  <c r="B62" i="35"/>
  <c r="F61" i="35"/>
  <c r="E61" i="35"/>
  <c r="C61" i="35"/>
  <c r="B61" i="35"/>
  <c r="F60" i="35"/>
  <c r="E60" i="35"/>
  <c r="C60" i="35"/>
  <c r="B60" i="35"/>
  <c r="F59" i="35"/>
  <c r="E59" i="35"/>
  <c r="C59" i="35"/>
  <c r="B59" i="35"/>
  <c r="F58" i="35"/>
  <c r="E58" i="35"/>
  <c r="C58" i="35"/>
  <c r="B58" i="35"/>
  <c r="F57" i="35"/>
  <c r="E57" i="35"/>
  <c r="C57" i="35"/>
  <c r="B57" i="35"/>
  <c r="F56" i="35"/>
  <c r="E56" i="35"/>
  <c r="C56" i="35"/>
  <c r="B56" i="35"/>
  <c r="F55" i="35"/>
  <c r="E55" i="35"/>
  <c r="C55" i="35"/>
  <c r="B55" i="35"/>
  <c r="F54" i="35"/>
  <c r="E54" i="35"/>
  <c r="C54" i="35"/>
  <c r="B54" i="35"/>
  <c r="F53" i="35"/>
  <c r="E53" i="35"/>
  <c r="C53" i="35"/>
  <c r="B53" i="35"/>
  <c r="F52" i="35"/>
  <c r="E52" i="35"/>
  <c r="C52" i="35"/>
  <c r="B52" i="35"/>
  <c r="F51" i="35"/>
  <c r="E51" i="35"/>
  <c r="C51" i="35"/>
  <c r="B51" i="35"/>
  <c r="F50" i="35"/>
  <c r="E50" i="35"/>
  <c r="C50" i="35"/>
  <c r="B50" i="35"/>
  <c r="F49" i="35"/>
  <c r="E49" i="35"/>
  <c r="C49" i="35"/>
  <c r="B49" i="35"/>
  <c r="F48" i="35"/>
  <c r="E48" i="35"/>
  <c r="C48" i="35"/>
  <c r="B48" i="35"/>
  <c r="F47" i="35"/>
  <c r="E47" i="35"/>
  <c r="C47" i="35"/>
  <c r="B47" i="35"/>
  <c r="F46" i="35"/>
  <c r="E46" i="35"/>
  <c r="C46" i="35"/>
  <c r="B46" i="35"/>
  <c r="F45" i="35"/>
  <c r="E45" i="35"/>
  <c r="C45" i="35"/>
  <c r="B45" i="35"/>
  <c r="F44" i="35"/>
  <c r="E44" i="35"/>
  <c r="C44" i="35"/>
  <c r="B44" i="35"/>
  <c r="F43" i="35"/>
  <c r="E43" i="35"/>
  <c r="C43" i="35"/>
  <c r="B43" i="35"/>
  <c r="F42" i="35"/>
  <c r="E42" i="35"/>
  <c r="C42" i="35"/>
  <c r="B42" i="35"/>
  <c r="F41" i="35"/>
  <c r="C41" i="35"/>
  <c r="B41" i="35"/>
  <c r="F40" i="35"/>
  <c r="C40" i="35"/>
  <c r="B40" i="35"/>
  <c r="F39" i="35"/>
  <c r="E39" i="35"/>
  <c r="C39" i="35"/>
  <c r="B39" i="35"/>
  <c r="F38" i="35"/>
  <c r="E38" i="35"/>
  <c r="C38" i="35"/>
  <c r="B38" i="35"/>
  <c r="F37" i="35"/>
  <c r="C37" i="35"/>
  <c r="B37" i="35"/>
  <c r="F36" i="35"/>
  <c r="E36" i="35"/>
  <c r="C36" i="35"/>
  <c r="B36" i="35"/>
  <c r="F35" i="35"/>
  <c r="E35" i="35"/>
  <c r="C35" i="35"/>
  <c r="B35" i="35"/>
  <c r="F34" i="35"/>
  <c r="E34" i="35"/>
  <c r="C34" i="35"/>
  <c r="B34" i="35"/>
  <c r="F33" i="35"/>
  <c r="E33" i="35"/>
  <c r="C33" i="35"/>
  <c r="B33" i="35"/>
  <c r="F32" i="35"/>
  <c r="E32" i="35"/>
  <c r="C32" i="35"/>
  <c r="B32" i="35"/>
  <c r="F31" i="35"/>
  <c r="E31" i="35"/>
  <c r="C31" i="35"/>
  <c r="B31" i="35"/>
  <c r="F30" i="35"/>
  <c r="E30" i="35"/>
  <c r="C30" i="35"/>
  <c r="B30" i="35"/>
  <c r="F29" i="35"/>
  <c r="C29" i="35"/>
  <c r="B29" i="35"/>
  <c r="F28" i="35"/>
  <c r="C28" i="35"/>
  <c r="B28" i="35"/>
  <c r="F27" i="35"/>
  <c r="E27" i="35"/>
  <c r="C27" i="35"/>
  <c r="B27" i="35"/>
  <c r="F26" i="35"/>
  <c r="E26" i="35"/>
  <c r="C26" i="35"/>
  <c r="B26" i="35"/>
  <c r="F25" i="35"/>
  <c r="E25" i="35"/>
  <c r="C25" i="35"/>
  <c r="B25" i="35"/>
  <c r="F24" i="35"/>
  <c r="E24" i="35"/>
  <c r="C24" i="35"/>
  <c r="B24" i="35"/>
  <c r="F23" i="35"/>
  <c r="E23" i="35"/>
  <c r="C23" i="35"/>
  <c r="B23" i="35"/>
  <c r="F22" i="35"/>
  <c r="E22" i="35"/>
  <c r="C22" i="35"/>
  <c r="B22" i="35"/>
  <c r="F21" i="35"/>
  <c r="C21" i="35"/>
  <c r="B21" i="35"/>
  <c r="A20" i="35"/>
  <c r="E542" i="35"/>
  <c r="G569" i="35" l="1"/>
  <c r="G633" i="35"/>
  <c r="G635" i="35"/>
  <c r="E537" i="35"/>
  <c r="G537" i="35" s="1"/>
  <c r="G565" i="35"/>
  <c r="G631" i="35"/>
  <c r="G564" i="35"/>
  <c r="G570" i="35"/>
  <c r="G621" i="35"/>
  <c r="G547" i="35"/>
  <c r="G562" i="35"/>
  <c r="G606" i="35"/>
  <c r="G552" i="35"/>
  <c r="G555" i="35"/>
  <c r="G605" i="35"/>
  <c r="G630" i="35"/>
  <c r="G634" i="35"/>
  <c r="G610" i="35"/>
  <c r="G616" i="35"/>
  <c r="G619" i="35"/>
  <c r="G612" i="35"/>
  <c r="G614" i="35"/>
  <c r="G620" i="35"/>
  <c r="G623" i="35"/>
  <c r="G626" i="35"/>
  <c r="G629" i="35"/>
  <c r="G530" i="35"/>
  <c r="G632" i="35"/>
  <c r="G572" i="35"/>
  <c r="G603" i="35"/>
  <c r="G618" i="35"/>
  <c r="G627" i="35"/>
  <c r="G624" i="35"/>
  <c r="G607" i="35"/>
  <c r="G622" i="35"/>
  <c r="G625" i="35"/>
  <c r="G628" i="35"/>
  <c r="G617" i="35"/>
  <c r="G567" i="35"/>
  <c r="G568" i="35"/>
  <c r="G571" i="35"/>
  <c r="G608" i="35"/>
  <c r="G566" i="35"/>
  <c r="G604" i="35"/>
  <c r="G602" i="35"/>
  <c r="G554" i="35"/>
  <c r="G558" i="35"/>
  <c r="G563" i="35"/>
  <c r="G539" i="35"/>
  <c r="G551" i="35"/>
  <c r="G557" i="35"/>
  <c r="G560" i="35"/>
  <c r="G540" i="35"/>
  <c r="G546" i="35"/>
  <c r="G549" i="35"/>
  <c r="G550" i="35"/>
  <c r="G556" i="35"/>
  <c r="G545" i="35"/>
  <c r="G548" i="35"/>
  <c r="G559" i="35"/>
  <c r="G543" i="35"/>
  <c r="G544" i="35"/>
  <c r="G553" i="35"/>
  <c r="G561" i="35"/>
  <c r="G497" i="35"/>
  <c r="G494" i="35"/>
  <c r="G531" i="35"/>
  <c r="G538" i="35"/>
  <c r="G541" i="35"/>
  <c r="G542" i="35"/>
  <c r="G536" i="35"/>
  <c r="G534" i="35"/>
  <c r="G532" i="35"/>
  <c r="G535" i="35"/>
  <c r="G533" i="35"/>
  <c r="G490" i="35"/>
  <c r="G495" i="35"/>
  <c r="G499" i="35"/>
  <c r="G500" i="35"/>
  <c r="G498" i="35"/>
  <c r="G489" i="35"/>
  <c r="G493" i="35"/>
  <c r="G464" i="35"/>
  <c r="G485" i="35"/>
  <c r="G412" i="35"/>
  <c r="G424" i="35"/>
  <c r="G481" i="35"/>
  <c r="G484" i="35"/>
  <c r="G487" i="35"/>
  <c r="G480" i="35"/>
  <c r="G483" i="35"/>
  <c r="G486" i="35"/>
  <c r="G422" i="35"/>
  <c r="G475" i="35"/>
  <c r="G478" i="35"/>
  <c r="G414" i="35"/>
  <c r="G417" i="35"/>
  <c r="G426" i="35"/>
  <c r="G488" i="35"/>
  <c r="G394" i="35"/>
  <c r="G418" i="35"/>
  <c r="G460" i="35"/>
  <c r="G468" i="35"/>
  <c r="G471" i="35"/>
  <c r="G474" i="35"/>
  <c r="G355" i="35"/>
  <c r="G389" i="35"/>
  <c r="G392" i="35"/>
  <c r="G395" i="35"/>
  <c r="G401" i="35"/>
  <c r="G413" i="35"/>
  <c r="G425" i="35"/>
  <c r="G466" i="35"/>
  <c r="G421" i="35"/>
  <c r="G423" i="35"/>
  <c r="G415" i="35"/>
  <c r="G467" i="35"/>
  <c r="G470" i="35"/>
  <c r="G473" i="35"/>
  <c r="G390" i="35"/>
  <c r="G393" i="35"/>
  <c r="G405" i="35"/>
  <c r="G420" i="35"/>
  <c r="G477" i="35"/>
  <c r="G462" i="35"/>
  <c r="G469" i="35"/>
  <c r="G472" i="35"/>
  <c r="G409" i="35"/>
  <c r="G458" i="35"/>
  <c r="G476" i="35"/>
  <c r="G416" i="35"/>
  <c r="G419" i="35"/>
  <c r="G465" i="35"/>
  <c r="G479" i="35"/>
  <c r="G482" i="35"/>
  <c r="G427" i="35"/>
  <c r="G407" i="35"/>
  <c r="G387" i="35"/>
  <c r="G396" i="35"/>
  <c r="G410" i="35"/>
  <c r="G411" i="35"/>
  <c r="G399" i="35"/>
  <c r="G402" i="35"/>
  <c r="G397" i="35"/>
  <c r="G400" i="35"/>
  <c r="G403" i="35"/>
  <c r="G406" i="35"/>
  <c r="G388" i="35"/>
  <c r="G391" i="35"/>
  <c r="G398" i="35"/>
  <c r="G404" i="35"/>
  <c r="G354" i="35"/>
  <c r="G346" i="35"/>
  <c r="G348" i="35"/>
  <c r="G350" i="35"/>
  <c r="G351" i="35"/>
  <c r="G327" i="35"/>
  <c r="G352" i="35"/>
  <c r="G343" i="35"/>
  <c r="G349" i="35"/>
  <c r="G260" i="35"/>
  <c r="G263" i="35"/>
  <c r="G341" i="35"/>
  <c r="G347" i="35"/>
  <c r="G314" i="35"/>
  <c r="G326" i="35"/>
  <c r="G342" i="35"/>
  <c r="G319" i="35"/>
  <c r="G331" i="35"/>
  <c r="G334" i="35"/>
  <c r="G338" i="35"/>
  <c r="G273" i="35"/>
  <c r="G282" i="35"/>
  <c r="G324" i="35"/>
  <c r="G330" i="35"/>
  <c r="G339" i="35"/>
  <c r="G259" i="35"/>
  <c r="G262" i="35"/>
  <c r="G271" i="35"/>
  <c r="G274" i="35"/>
  <c r="G323" i="35"/>
  <c r="G335" i="35"/>
  <c r="G340" i="35"/>
  <c r="G333" i="35"/>
  <c r="G316" i="35"/>
  <c r="G329" i="35"/>
  <c r="G283" i="35"/>
  <c r="G332" i="35"/>
  <c r="G328" i="35"/>
  <c r="G317" i="35"/>
  <c r="G320" i="35"/>
  <c r="G315" i="35"/>
  <c r="G318" i="35"/>
  <c r="G321" i="35"/>
  <c r="G276" i="35"/>
  <c r="G281" i="35"/>
  <c r="G325" i="35"/>
  <c r="G261" i="35"/>
  <c r="G322" i="35"/>
  <c r="G280" i="35"/>
  <c r="G278" i="35"/>
  <c r="G269" i="35"/>
  <c r="G268" i="35"/>
  <c r="G251" i="35"/>
  <c r="G254" i="35"/>
  <c r="G257" i="35"/>
  <c r="G266" i="35"/>
  <c r="G272" i="35"/>
  <c r="G258" i="35"/>
  <c r="G267" i="35"/>
  <c r="G270" i="35"/>
  <c r="G265" i="35"/>
  <c r="G264" i="35"/>
  <c r="G256" i="35"/>
  <c r="G252" i="35"/>
  <c r="G253" i="35"/>
  <c r="G247" i="35"/>
  <c r="G242" i="35"/>
  <c r="G245" i="35"/>
  <c r="G243" i="35"/>
  <c r="G249" i="35"/>
  <c r="G241" i="35"/>
  <c r="G250" i="35"/>
  <c r="G201" i="35"/>
  <c r="G204" i="35"/>
  <c r="G248" i="35"/>
  <c r="G246" i="35"/>
  <c r="G206" i="35"/>
  <c r="G244" i="35"/>
  <c r="G209" i="35"/>
  <c r="G208" i="35"/>
  <c r="G207" i="35"/>
  <c r="G210" i="35"/>
  <c r="G205" i="35"/>
  <c r="G186" i="35"/>
  <c r="G195" i="35"/>
  <c r="G198" i="35"/>
  <c r="G200" i="35"/>
  <c r="G194" i="35"/>
  <c r="G196" i="35"/>
  <c r="G197" i="35"/>
  <c r="G189" i="35"/>
  <c r="G184" i="35"/>
  <c r="G185" i="35"/>
  <c r="G192" i="35"/>
  <c r="G193" i="35"/>
  <c r="G188" i="35"/>
  <c r="G187" i="35"/>
  <c r="A173" i="35"/>
  <c r="A174" i="35" s="1"/>
  <c r="A175" i="35" s="1"/>
  <c r="A176" i="35" s="1"/>
  <c r="A177" i="35" s="1"/>
  <c r="A178" i="35" s="1"/>
  <c r="A179" i="35" s="1"/>
  <c r="A180" i="35" s="1"/>
  <c r="A181" i="35" s="1"/>
  <c r="G181" i="35"/>
  <c r="G174" i="35"/>
  <c r="G180" i="35"/>
  <c r="G176" i="35"/>
  <c r="G179" i="35"/>
  <c r="G112" i="35"/>
  <c r="G175" i="35"/>
  <c r="G173" i="35"/>
  <c r="G105" i="35"/>
  <c r="G120" i="35"/>
  <c r="G169" i="35"/>
  <c r="H169" i="35" s="1"/>
  <c r="G172" i="35"/>
  <c r="G167" i="35"/>
  <c r="G98" i="35"/>
  <c r="G170" i="35"/>
  <c r="G99" i="35"/>
  <c r="G97" i="35"/>
  <c r="G132" i="35"/>
  <c r="G59" i="35"/>
  <c r="G101" i="35"/>
  <c r="G123" i="35"/>
  <c r="G129" i="35"/>
  <c r="G135" i="35"/>
  <c r="G116" i="35"/>
  <c r="G55" i="35"/>
  <c r="G96" i="35"/>
  <c r="G95" i="35"/>
  <c r="G102" i="35"/>
  <c r="G124" i="35"/>
  <c r="G126" i="35"/>
  <c r="G134" i="35"/>
  <c r="G103" i="35"/>
  <c r="G57" i="35"/>
  <c r="G56" i="35"/>
  <c r="G171" i="35"/>
  <c r="G52" i="35"/>
  <c r="G110" i="35"/>
  <c r="G136" i="35"/>
  <c r="G121" i="35"/>
  <c r="G168" i="35"/>
  <c r="G108" i="35"/>
  <c r="G125" i="35"/>
  <c r="G127" i="35"/>
  <c r="G50" i="35"/>
  <c r="G58" i="35"/>
  <c r="G106" i="35"/>
  <c r="G131" i="35"/>
  <c r="G104" i="35"/>
  <c r="G111" i="35"/>
  <c r="G133" i="35"/>
  <c r="G100" i="35"/>
  <c r="G109" i="35"/>
  <c r="G122" i="35"/>
  <c r="G107" i="35"/>
  <c r="G128" i="35"/>
  <c r="G130" i="35"/>
  <c r="G118" i="35"/>
  <c r="G114" i="35"/>
  <c r="G62" i="35"/>
  <c r="G60" i="35"/>
  <c r="G53" i="35"/>
  <c r="G51" i="35"/>
  <c r="G61" i="35"/>
  <c r="G94" i="35"/>
  <c r="G49" i="35"/>
  <c r="G23" i="35"/>
  <c r="G47" i="35"/>
  <c r="G45" i="35"/>
  <c r="G48" i="35"/>
  <c r="G43" i="35"/>
  <c r="G44" i="35"/>
  <c r="G39" i="35"/>
  <c r="G42" i="35"/>
  <c r="G46" i="35"/>
  <c r="G30" i="35"/>
  <c r="G33" i="35"/>
  <c r="G36" i="35"/>
  <c r="G38" i="35"/>
  <c r="G31" i="35"/>
  <c r="G34" i="35"/>
  <c r="G25" i="35"/>
  <c r="G32" i="35"/>
  <c r="G35" i="35"/>
  <c r="G27" i="35"/>
  <c r="G26" i="35"/>
  <c r="G22" i="35"/>
  <c r="G24" i="35"/>
  <c r="G645" i="35" l="1"/>
  <c r="G573" i="35"/>
  <c r="H119" i="35"/>
  <c r="H175" i="35"/>
  <c r="H27" i="35"/>
  <c r="H168" i="35"/>
  <c r="J351" i="40" l="1"/>
  <c r="G344" i="40"/>
  <c r="G343" i="40"/>
  <c r="G342" i="40"/>
  <c r="F341" i="40"/>
  <c r="F340" i="40"/>
  <c r="G339" i="40"/>
  <c r="E333" i="40"/>
  <c r="G333" i="40" s="1"/>
  <c r="G332" i="40"/>
  <c r="G288" i="40"/>
  <c r="G287" i="40"/>
  <c r="G286" i="40"/>
  <c r="G285" i="40"/>
  <c r="G284" i="40"/>
  <c r="G283" i="40"/>
  <c r="E277" i="40"/>
  <c r="E278" i="40" s="1"/>
  <c r="G278" i="40" s="1"/>
  <c r="G276" i="40"/>
  <c r="G265" i="40"/>
  <c r="G266" i="40" s="1"/>
  <c r="E260" i="40"/>
  <c r="G260" i="40" s="1"/>
  <c r="G259" i="40"/>
  <c r="G249" i="40"/>
  <c r="G248" i="40"/>
  <c r="G247" i="40"/>
  <c r="G246" i="40"/>
  <c r="G245" i="40"/>
  <c r="G244" i="40"/>
  <c r="G243" i="40"/>
  <c r="G242" i="40"/>
  <c r="G241" i="40"/>
  <c r="G240" i="40"/>
  <c r="G239" i="40"/>
  <c r="G238" i="40"/>
  <c r="G237" i="40"/>
  <c r="G236" i="40"/>
  <c r="G235" i="40"/>
  <c r="G234" i="40"/>
  <c r="G233" i="40"/>
  <c r="G232" i="40"/>
  <c r="G231" i="40"/>
  <c r="E226" i="40"/>
  <c r="G226" i="40" s="1"/>
  <c r="G225" i="40"/>
  <c r="H214" i="40"/>
  <c r="G213" i="40"/>
  <c r="G211" i="40"/>
  <c r="G209" i="40"/>
  <c r="G207" i="40"/>
  <c r="E201" i="40"/>
  <c r="E202" i="40" s="1"/>
  <c r="G202" i="40" s="1"/>
  <c r="G200" i="40"/>
  <c r="G189" i="40"/>
  <c r="G188" i="40"/>
  <c r="G187" i="40"/>
  <c r="G186" i="40"/>
  <c r="G185" i="40"/>
  <c r="G184" i="40"/>
  <c r="G183" i="40"/>
  <c r="G182" i="40"/>
  <c r="G181" i="40"/>
  <c r="G180" i="40"/>
  <c r="G179" i="40"/>
  <c r="G178" i="40"/>
  <c r="G177" i="40"/>
  <c r="G176" i="40"/>
  <c r="G175" i="40"/>
  <c r="G174" i="40"/>
  <c r="G173" i="40"/>
  <c r="G172" i="40"/>
  <c r="D171" i="40"/>
  <c r="G170" i="40"/>
  <c r="E164" i="40"/>
  <c r="E165" i="40" s="1"/>
  <c r="G165" i="40" s="1"/>
  <c r="G163" i="40"/>
  <c r="G152" i="40"/>
  <c r="G151" i="40"/>
  <c r="G150" i="40"/>
  <c r="G149" i="40"/>
  <c r="G148" i="40"/>
  <c r="G147" i="40"/>
  <c r="G146" i="40"/>
  <c r="G145" i="40"/>
  <c r="G144" i="40"/>
  <c r="G143" i="40"/>
  <c r="G142" i="40"/>
  <c r="G141" i="40"/>
  <c r="G140" i="40"/>
  <c r="E134" i="40"/>
  <c r="E135" i="40" s="1"/>
  <c r="G135" i="40" s="1"/>
  <c r="G133" i="40"/>
  <c r="D128" i="40"/>
  <c r="J108" i="36" s="1"/>
  <c r="J121" i="40"/>
  <c r="G121" i="40"/>
  <c r="J120" i="40"/>
  <c r="G120" i="40"/>
  <c r="J119" i="40"/>
  <c r="G119" i="40"/>
  <c r="J118" i="40"/>
  <c r="G118" i="40"/>
  <c r="J117" i="40"/>
  <c r="G117" i="40"/>
  <c r="J116" i="40"/>
  <c r="G116" i="40"/>
  <c r="J115" i="40"/>
  <c r="G115" i="40"/>
  <c r="J113" i="40"/>
  <c r="E108" i="40"/>
  <c r="E109" i="40" s="1"/>
  <c r="G109" i="40" s="1"/>
  <c r="G107" i="40"/>
  <c r="D102" i="40"/>
  <c r="K99" i="40"/>
  <c r="J97" i="40"/>
  <c r="D96" i="40"/>
  <c r="G95" i="40"/>
  <c r="J94" i="40"/>
  <c r="L94" i="40" s="1"/>
  <c r="G94" i="40"/>
  <c r="D93" i="40"/>
  <c r="E87" i="40"/>
  <c r="E88" i="40" s="1"/>
  <c r="G88" i="40" s="1"/>
  <c r="G86" i="40"/>
  <c r="J75" i="40"/>
  <c r="G75" i="40"/>
  <c r="J74" i="40"/>
  <c r="G74" i="40"/>
  <c r="J73" i="40"/>
  <c r="G73" i="40"/>
  <c r="J72" i="40"/>
  <c r="G72" i="40"/>
  <c r="J71" i="40"/>
  <c r="G71" i="40"/>
  <c r="J70" i="40"/>
  <c r="G70" i="40"/>
  <c r="J69" i="40"/>
  <c r="G69" i="40"/>
  <c r="D68" i="40"/>
  <c r="D67" i="40"/>
  <c r="E60" i="40"/>
  <c r="G60" i="40" s="1"/>
  <c r="G59" i="40"/>
  <c r="K50" i="40"/>
  <c r="G49" i="40"/>
  <c r="G48" i="40"/>
  <c r="G47" i="40"/>
  <c r="G46" i="40"/>
  <c r="L44" i="40"/>
  <c r="H44" i="40"/>
  <c r="H45" i="40" s="1"/>
  <c r="L40" i="40"/>
  <c r="E40" i="40"/>
  <c r="E41" i="40" s="1"/>
  <c r="G41" i="40" s="1"/>
  <c r="G39" i="40"/>
  <c r="K37" i="40"/>
  <c r="L37" i="40" s="1"/>
  <c r="G29" i="40"/>
  <c r="G28" i="40"/>
  <c r="H25" i="40"/>
  <c r="H26" i="40" s="1"/>
  <c r="N20" i="40"/>
  <c r="E20" i="40"/>
  <c r="G20" i="40" s="1"/>
  <c r="G19" i="40"/>
  <c r="N18" i="40"/>
  <c r="N16" i="40"/>
  <c r="D35" i="37"/>
  <c r="J294" i="37"/>
  <c r="G286" i="37"/>
  <c r="G285" i="37"/>
  <c r="G284" i="37"/>
  <c r="G283" i="37"/>
  <c r="G282" i="37"/>
  <c r="G281" i="37"/>
  <c r="E275" i="37"/>
  <c r="E276" i="37" s="1"/>
  <c r="G276" i="37" s="1"/>
  <c r="G274" i="37"/>
  <c r="G263" i="37"/>
  <c r="G264" i="37" s="1"/>
  <c r="E258" i="37"/>
  <c r="G258" i="37" s="1"/>
  <c r="G257" i="37"/>
  <c r="G247" i="37"/>
  <c r="G246" i="37"/>
  <c r="G245" i="37"/>
  <c r="G244" i="37"/>
  <c r="G243" i="37"/>
  <c r="G242" i="37"/>
  <c r="G241" i="37"/>
  <c r="G240" i="37"/>
  <c r="G239" i="37"/>
  <c r="G238" i="37"/>
  <c r="G237" i="37"/>
  <c r="G236" i="37"/>
  <c r="G235" i="37"/>
  <c r="G234" i="37"/>
  <c r="G233" i="37"/>
  <c r="G232" i="37"/>
  <c r="G231" i="37"/>
  <c r="G230" i="37"/>
  <c r="G229" i="37"/>
  <c r="E224" i="37"/>
  <c r="G224" i="37" s="1"/>
  <c r="G223" i="37"/>
  <c r="G225" i="37" s="1"/>
  <c r="H212" i="37"/>
  <c r="G211" i="37"/>
  <c r="G209" i="37"/>
  <c r="G207" i="37"/>
  <c r="E201" i="37"/>
  <c r="E202" i="37" s="1"/>
  <c r="G202" i="37" s="1"/>
  <c r="G200" i="37"/>
  <c r="G189" i="37"/>
  <c r="G188" i="37"/>
  <c r="G187" i="37"/>
  <c r="G186" i="37"/>
  <c r="G185" i="37"/>
  <c r="G184" i="37"/>
  <c r="G183" i="37"/>
  <c r="G182" i="37"/>
  <c r="G181" i="37"/>
  <c r="G180" i="37"/>
  <c r="G179" i="37"/>
  <c r="G178" i="37"/>
  <c r="G177" i="37"/>
  <c r="G176" i="37"/>
  <c r="G175" i="37"/>
  <c r="G174" i="37"/>
  <c r="G173" i="37"/>
  <c r="G172" i="37"/>
  <c r="D171" i="37"/>
  <c r="G170" i="37"/>
  <c r="E164" i="37"/>
  <c r="E165" i="37" s="1"/>
  <c r="G165" i="37" s="1"/>
  <c r="G163" i="37"/>
  <c r="J96" i="36"/>
  <c r="G152" i="37"/>
  <c r="G151" i="37"/>
  <c r="G150" i="37"/>
  <c r="G149" i="37"/>
  <c r="G148" i="37"/>
  <c r="G147" i="37"/>
  <c r="G146" i="37"/>
  <c r="G145" i="37"/>
  <c r="G144" i="37"/>
  <c r="G143" i="37"/>
  <c r="G142" i="37"/>
  <c r="G141" i="37"/>
  <c r="G140" i="37"/>
  <c r="E134" i="37"/>
  <c r="E135" i="37" s="1"/>
  <c r="G135" i="37" s="1"/>
  <c r="G133" i="37"/>
  <c r="D128" i="37"/>
  <c r="J95" i="36" s="1"/>
  <c r="J121" i="37"/>
  <c r="G121" i="37"/>
  <c r="J120" i="37"/>
  <c r="G120" i="37"/>
  <c r="J119" i="37"/>
  <c r="G119" i="37"/>
  <c r="J118" i="37"/>
  <c r="G118" i="37"/>
  <c r="J117" i="37"/>
  <c r="G117" i="37"/>
  <c r="J116" i="37"/>
  <c r="G116" i="37"/>
  <c r="J115" i="37"/>
  <c r="G115" i="37"/>
  <c r="J113" i="37"/>
  <c r="E108" i="37"/>
  <c r="E109" i="37" s="1"/>
  <c r="G109" i="37" s="1"/>
  <c r="G107" i="37"/>
  <c r="D102" i="37"/>
  <c r="K99" i="37"/>
  <c r="J97" i="37"/>
  <c r="D96" i="37"/>
  <c r="G95" i="37"/>
  <c r="J94" i="37"/>
  <c r="L94" i="37" s="1"/>
  <c r="G94" i="37"/>
  <c r="D93" i="37"/>
  <c r="E87" i="37"/>
  <c r="E88" i="37" s="1"/>
  <c r="G88" i="37" s="1"/>
  <c r="G86" i="37"/>
  <c r="J75" i="37"/>
  <c r="G75" i="37"/>
  <c r="J74" i="37"/>
  <c r="G74" i="37"/>
  <c r="J73" i="37"/>
  <c r="G73" i="37"/>
  <c r="J72" i="37"/>
  <c r="G72" i="37"/>
  <c r="J71" i="37"/>
  <c r="G71" i="37"/>
  <c r="J70" i="37"/>
  <c r="G70" i="37"/>
  <c r="J69" i="37"/>
  <c r="G69" i="37"/>
  <c r="D68" i="37"/>
  <c r="D67" i="37"/>
  <c r="E60" i="37"/>
  <c r="E61" i="37" s="1"/>
  <c r="G61" i="37" s="1"/>
  <c r="G59" i="37"/>
  <c r="K50" i="37"/>
  <c r="G49" i="37"/>
  <c r="G48" i="37"/>
  <c r="G47" i="37"/>
  <c r="G46" i="37"/>
  <c r="L44" i="37"/>
  <c r="H44" i="37"/>
  <c r="H45" i="37" s="1"/>
  <c r="L40" i="37"/>
  <c r="E40" i="37"/>
  <c r="E41" i="37" s="1"/>
  <c r="G41" i="37" s="1"/>
  <c r="G39" i="37"/>
  <c r="K37" i="37"/>
  <c r="L37" i="37" s="1"/>
  <c r="G29" i="37"/>
  <c r="G28" i="37"/>
  <c r="H25" i="37"/>
  <c r="H26" i="37" s="1"/>
  <c r="N20" i="37"/>
  <c r="E20" i="37"/>
  <c r="G20" i="37" s="1"/>
  <c r="G19" i="37"/>
  <c r="N18" i="37"/>
  <c r="N16" i="37"/>
  <c r="D15" i="37" s="1"/>
  <c r="D27" i="37" s="1"/>
  <c r="E183" i="35" s="1"/>
  <c r="G183" i="35" s="1"/>
  <c r="X32" i="29"/>
  <c r="X31" i="29"/>
  <c r="X30" i="29"/>
  <c r="X34" i="29" s="1"/>
  <c r="X35" i="29" s="1"/>
  <c r="X29" i="29"/>
  <c r="X28" i="29"/>
  <c r="X27" i="29"/>
  <c r="X26" i="29"/>
  <c r="X25" i="29"/>
  <c r="X21" i="29"/>
  <c r="X14" i="29"/>
  <c r="X13" i="29"/>
  <c r="X12" i="29"/>
  <c r="X16" i="29" s="1"/>
  <c r="AF9" i="29"/>
  <c r="F3" i="29"/>
  <c r="X32" i="28"/>
  <c r="X31" i="28"/>
  <c r="X30" i="28"/>
  <c r="X29" i="28"/>
  <c r="X28" i="28"/>
  <c r="X27" i="28"/>
  <c r="X26" i="28"/>
  <c r="X34" i="28" s="1"/>
  <c r="X25" i="28"/>
  <c r="X21" i="28"/>
  <c r="X14" i="28"/>
  <c r="X13" i="28"/>
  <c r="X12" i="28"/>
  <c r="X16" i="28" s="1"/>
  <c r="AF9" i="28"/>
  <c r="G6" i="28"/>
  <c r="G7" i="28" s="1"/>
  <c r="F3" i="28"/>
  <c r="X32" i="27"/>
  <c r="X31" i="27"/>
  <c r="X30" i="27"/>
  <c r="X29" i="27"/>
  <c r="X28" i="27"/>
  <c r="X27" i="27"/>
  <c r="X26" i="27"/>
  <c r="X25" i="27"/>
  <c r="X34" i="27" s="1"/>
  <c r="X35" i="27" s="1"/>
  <c r="X21" i="27"/>
  <c r="X14" i="27"/>
  <c r="X13" i="27"/>
  <c r="X12" i="27"/>
  <c r="X16" i="27" s="1"/>
  <c r="AF9" i="27"/>
  <c r="G6" i="27"/>
  <c r="G7" i="27" s="1"/>
  <c r="F6" i="27"/>
  <c r="F4" i="27"/>
  <c r="F3" i="27"/>
  <c r="X34" i="26"/>
  <c r="X35" i="26" s="1"/>
  <c r="X32" i="26"/>
  <c r="X31" i="26"/>
  <c r="X30" i="26"/>
  <c r="X29" i="26"/>
  <c r="X28" i="26"/>
  <c r="X27" i="26"/>
  <c r="X26" i="26"/>
  <c r="X25" i="26"/>
  <c r="X21" i="26"/>
  <c r="X16" i="26"/>
  <c r="X14" i="26"/>
  <c r="X13" i="26"/>
  <c r="X12" i="26"/>
  <c r="AF9" i="26"/>
  <c r="G6" i="26"/>
  <c r="G7" i="26" s="1"/>
  <c r="F6" i="26"/>
  <c r="F3" i="26"/>
  <c r="X32" i="25"/>
  <c r="X31" i="25"/>
  <c r="X30" i="25"/>
  <c r="X29" i="25"/>
  <c r="X28" i="25"/>
  <c r="X27" i="25"/>
  <c r="X26" i="25"/>
  <c r="X25" i="25"/>
  <c r="X21" i="25"/>
  <c r="X14" i="25"/>
  <c r="X13" i="25"/>
  <c r="X12" i="25"/>
  <c r="X16" i="25" s="1"/>
  <c r="AF9" i="25"/>
  <c r="G7" i="25"/>
  <c r="G6" i="25"/>
  <c r="F6" i="25"/>
  <c r="F3" i="25"/>
  <c r="X32" i="12"/>
  <c r="X31" i="12"/>
  <c r="X30" i="12"/>
  <c r="X29" i="12"/>
  <c r="X28" i="12"/>
  <c r="X27" i="12"/>
  <c r="X26" i="12"/>
  <c r="X25" i="12"/>
  <c r="X21" i="12"/>
  <c r="X14" i="12"/>
  <c r="X13" i="12"/>
  <c r="X12" i="12"/>
  <c r="X16" i="12" s="1"/>
  <c r="H45" i="5" s="1"/>
  <c r="AF9" i="12"/>
  <c r="G6" i="12"/>
  <c r="G7" i="12" s="1"/>
  <c r="F6" i="12"/>
  <c r="F5" i="12"/>
  <c r="F3" i="12"/>
  <c r="X34" i="11"/>
  <c r="X33" i="11"/>
  <c r="X32" i="11"/>
  <c r="X31" i="11"/>
  <c r="X30" i="11"/>
  <c r="X29" i="11"/>
  <c r="X28" i="11"/>
  <c r="X36" i="11" s="1"/>
  <c r="X22" i="11"/>
  <c r="X24" i="11" s="1"/>
  <c r="X21" i="11"/>
  <c r="X20" i="11"/>
  <c r="X15" i="11"/>
  <c r="X14" i="11"/>
  <c r="X13" i="11"/>
  <c r="X12" i="11"/>
  <c r="X16" i="11" s="1"/>
  <c r="H44" i="5" s="1"/>
  <c r="AF9" i="11"/>
  <c r="G6" i="11"/>
  <c r="G7" i="11" s="1"/>
  <c r="F6" i="11"/>
  <c r="F3" i="11"/>
  <c r="X34" i="10"/>
  <c r="X33" i="10"/>
  <c r="X32" i="10"/>
  <c r="X31" i="10"/>
  <c r="X30" i="10"/>
  <c r="X29" i="10"/>
  <c r="X28" i="10"/>
  <c r="X27" i="10"/>
  <c r="X23" i="10"/>
  <c r="X21" i="10"/>
  <c r="X20" i="10"/>
  <c r="X15" i="10"/>
  <c r="X14" i="10"/>
  <c r="X13" i="10"/>
  <c r="X12" i="10"/>
  <c r="X16" i="10" s="1"/>
  <c r="H43" i="5" s="1"/>
  <c r="AF9" i="10"/>
  <c r="G6" i="10"/>
  <c r="G7" i="10" s="1"/>
  <c r="F6" i="10"/>
  <c r="F5" i="10"/>
  <c r="F3" i="10"/>
  <c r="X36" i="8"/>
  <c r="X35" i="8"/>
  <c r="X34" i="8"/>
  <c r="X33" i="8"/>
  <c r="X32" i="8"/>
  <c r="Q31" i="8"/>
  <c r="X31" i="8" s="1"/>
  <c r="X30" i="8"/>
  <c r="X29" i="8"/>
  <c r="X28" i="8"/>
  <c r="X38" i="8" s="1"/>
  <c r="X24" i="8"/>
  <c r="X22" i="8"/>
  <c r="X21" i="8"/>
  <c r="X20" i="8"/>
  <c r="X14" i="8"/>
  <c r="X13" i="8"/>
  <c r="X12" i="8"/>
  <c r="X16" i="8" s="1"/>
  <c r="H39" i="5" s="1"/>
  <c r="AF9" i="8"/>
  <c r="G6" i="8"/>
  <c r="G7" i="8" s="1"/>
  <c r="F6" i="8"/>
  <c r="F3" i="8"/>
  <c r="X32" i="7"/>
  <c r="X31" i="7"/>
  <c r="X30" i="7"/>
  <c r="X29" i="7"/>
  <c r="X28" i="7"/>
  <c r="X27" i="7"/>
  <c r="X26" i="7"/>
  <c r="X25" i="7"/>
  <c r="X21" i="7"/>
  <c r="X15" i="7"/>
  <c r="X14" i="7"/>
  <c r="X13" i="7"/>
  <c r="X12" i="7"/>
  <c r="X16" i="7" s="1"/>
  <c r="H38" i="5" s="1"/>
  <c r="AF9" i="7"/>
  <c r="G7" i="7"/>
  <c r="F6" i="7"/>
  <c r="F5" i="7"/>
  <c r="F4" i="7"/>
  <c r="F3" i="7"/>
  <c r="X26" i="4"/>
  <c r="X21" i="4"/>
  <c r="X14" i="4"/>
  <c r="X13" i="4"/>
  <c r="X12" i="4"/>
  <c r="X16" i="4" s="1"/>
  <c r="H37" i="5" s="1"/>
  <c r="AF9" i="4"/>
  <c r="G7" i="4"/>
  <c r="F7" i="4"/>
  <c r="G6" i="4"/>
  <c r="F6" i="4"/>
  <c r="F3" i="4"/>
  <c r="G1886" i="5"/>
  <c r="Z170" i="5"/>
  <c r="Z158" i="5"/>
  <c r="Y158" i="5"/>
  <c r="Z157" i="5"/>
  <c r="Y157" i="5"/>
  <c r="Z156" i="5"/>
  <c r="Y156" i="5"/>
  <c r="Z155" i="5"/>
  <c r="Y155" i="5"/>
  <c r="Z154" i="5"/>
  <c r="Y154" i="5"/>
  <c r="T97" i="5"/>
  <c r="Q97" i="5"/>
  <c r="S55" i="5"/>
  <c r="Z176" i="5" s="1"/>
  <c r="F49" i="5"/>
  <c r="R47" i="5"/>
  <c r="T47" i="5" s="1"/>
  <c r="Q47" i="5"/>
  <c r="O47" i="5"/>
  <c r="G6" i="29" s="1"/>
  <c r="G7" i="29" s="1"/>
  <c r="L47" i="5"/>
  <c r="K47" i="5"/>
  <c r="J47" i="5"/>
  <c r="I47" i="5"/>
  <c r="H47" i="5"/>
  <c r="D47" i="5"/>
  <c r="F5" i="29" s="1"/>
  <c r="B47" i="5"/>
  <c r="F4" i="29" s="1"/>
  <c r="R46" i="5"/>
  <c r="Q46" i="5"/>
  <c r="L46" i="5"/>
  <c r="K46" i="5"/>
  <c r="J46" i="5"/>
  <c r="I46" i="5"/>
  <c r="H46" i="5"/>
  <c r="D46" i="5"/>
  <c r="F5" i="28" s="1"/>
  <c r="B46" i="5"/>
  <c r="F4" i="28" s="1"/>
  <c r="D45" i="5"/>
  <c r="F5" i="27" s="1"/>
  <c r="B45" i="5"/>
  <c r="D44" i="5"/>
  <c r="F5" i="26" s="1"/>
  <c r="B44" i="5"/>
  <c r="F4" i="26" s="1"/>
  <c r="D43" i="5"/>
  <c r="F5" i="25" s="1"/>
  <c r="B43" i="5"/>
  <c r="F4" i="25" s="1"/>
  <c r="T42" i="5"/>
  <c r="N25" i="5" s="1"/>
  <c r="D42" i="5"/>
  <c r="B42" i="5"/>
  <c r="F4" i="12" s="1"/>
  <c r="T41" i="5"/>
  <c r="N24" i="5" s="1"/>
  <c r="D41" i="5"/>
  <c r="F5" i="11" s="1"/>
  <c r="B41" i="5"/>
  <c r="F4" i="11" s="1"/>
  <c r="T40" i="5"/>
  <c r="D40" i="5"/>
  <c r="B40" i="5"/>
  <c r="F4" i="10" s="1"/>
  <c r="O39" i="5"/>
  <c r="D39" i="5"/>
  <c r="F5" i="8" s="1"/>
  <c r="B39" i="5"/>
  <c r="F4" i="8" s="1"/>
  <c r="D38" i="5"/>
  <c r="B38" i="5"/>
  <c r="O37" i="5"/>
  <c r="I37" i="5"/>
  <c r="D37" i="5"/>
  <c r="F5" i="4" s="1"/>
  <c r="B37" i="5"/>
  <c r="F4" i="4" s="1"/>
  <c r="V31" i="5"/>
  <c r="N31" i="5"/>
  <c r="N30" i="5"/>
  <c r="V29" i="5"/>
  <c r="V28" i="5"/>
  <c r="S28" i="5"/>
  <c r="V27" i="5"/>
  <c r="S27" i="5"/>
  <c r="V24" i="5"/>
  <c r="N23" i="5"/>
  <c r="V22" i="5"/>
  <c r="S22" i="5"/>
  <c r="V21" i="5"/>
  <c r="S21" i="5"/>
  <c r="V20" i="5"/>
  <c r="S20" i="5"/>
  <c r="E14" i="5"/>
  <c r="T13" i="5"/>
  <c r="E13" i="5"/>
  <c r="J351" i="34"/>
  <c r="G344" i="34"/>
  <c r="G343" i="34"/>
  <c r="G342" i="34"/>
  <c r="F341" i="34"/>
  <c r="F178" i="35" s="1"/>
  <c r="G178" i="35" s="1"/>
  <c r="F340" i="34"/>
  <c r="F177" i="35" s="1"/>
  <c r="G177" i="35" s="1"/>
  <c r="G339" i="34"/>
  <c r="E333" i="34"/>
  <c r="G333" i="34" s="1"/>
  <c r="G332" i="34"/>
  <c r="G288" i="34"/>
  <c r="G287" i="34"/>
  <c r="G286" i="34"/>
  <c r="G285" i="34"/>
  <c r="G284" i="34"/>
  <c r="G283" i="34"/>
  <c r="E277" i="34"/>
  <c r="G277" i="34" s="1"/>
  <c r="G276" i="34"/>
  <c r="G265" i="34"/>
  <c r="G266" i="34" s="1"/>
  <c r="E260" i="34"/>
  <c r="G260" i="34" s="1"/>
  <c r="G259" i="34"/>
  <c r="G249" i="34"/>
  <c r="G248" i="34"/>
  <c r="G247" i="34"/>
  <c r="G246" i="34"/>
  <c r="G245" i="34"/>
  <c r="G244" i="34"/>
  <c r="G243" i="34"/>
  <c r="G242" i="34"/>
  <c r="G241" i="34"/>
  <c r="G240" i="34"/>
  <c r="G239" i="34"/>
  <c r="G238" i="34"/>
  <c r="G237" i="34"/>
  <c r="G236" i="34"/>
  <c r="G235" i="34"/>
  <c r="G234" i="34"/>
  <c r="G233" i="34"/>
  <c r="G232" i="34"/>
  <c r="G231" i="34"/>
  <c r="E226" i="34"/>
  <c r="G226" i="34" s="1"/>
  <c r="G225" i="34"/>
  <c r="H214" i="34"/>
  <c r="G213" i="34"/>
  <c r="G211" i="34"/>
  <c r="G209" i="34"/>
  <c r="G207" i="34"/>
  <c r="E201" i="34"/>
  <c r="E202" i="34" s="1"/>
  <c r="G202" i="34" s="1"/>
  <c r="G20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D171" i="34"/>
  <c r="E93" i="35" s="1"/>
  <c r="G93" i="35" s="1"/>
  <c r="G170" i="34"/>
  <c r="E164" i="34"/>
  <c r="G164" i="34" s="1"/>
  <c r="G16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E134" i="34"/>
  <c r="G134" i="34" s="1"/>
  <c r="G133" i="34"/>
  <c r="D128" i="34"/>
  <c r="J121" i="34"/>
  <c r="G121" i="34"/>
  <c r="J120" i="34"/>
  <c r="G120" i="34"/>
  <c r="J119" i="34"/>
  <c r="G119" i="34"/>
  <c r="J118" i="34"/>
  <c r="G118" i="34"/>
  <c r="J117" i="34"/>
  <c r="G117" i="34"/>
  <c r="J116" i="34"/>
  <c r="G116" i="34"/>
  <c r="J115" i="34"/>
  <c r="G115" i="34"/>
  <c r="J113" i="34"/>
  <c r="E108" i="34"/>
  <c r="G108" i="34" s="1"/>
  <c r="G107" i="34"/>
  <c r="D102" i="34"/>
  <c r="D114" i="34" s="1"/>
  <c r="K99" i="34"/>
  <c r="J97" i="34"/>
  <c r="D96" i="34"/>
  <c r="E40" i="35" s="1"/>
  <c r="G40" i="35" s="1"/>
  <c r="G95" i="34"/>
  <c r="J94" i="34"/>
  <c r="L94" i="34" s="1"/>
  <c r="G94" i="34"/>
  <c r="D93" i="34"/>
  <c r="E37" i="35" s="1"/>
  <c r="G37" i="35" s="1"/>
  <c r="E87" i="34"/>
  <c r="E88" i="34" s="1"/>
  <c r="G88" i="34" s="1"/>
  <c r="G86" i="34"/>
  <c r="J75" i="34"/>
  <c r="G75" i="34"/>
  <c r="J74" i="34"/>
  <c r="G74" i="34"/>
  <c r="J73" i="34"/>
  <c r="G73" i="34"/>
  <c r="J72" i="34"/>
  <c r="G72" i="34"/>
  <c r="J71" i="34"/>
  <c r="G71" i="34"/>
  <c r="J70" i="34"/>
  <c r="G70" i="34"/>
  <c r="J69" i="34"/>
  <c r="G69" i="34"/>
  <c r="D68" i="34"/>
  <c r="E29" i="35" s="1"/>
  <c r="G29" i="35" s="1"/>
  <c r="D67" i="34"/>
  <c r="E28" i="35" s="1"/>
  <c r="G28" i="35" s="1"/>
  <c r="E60" i="34"/>
  <c r="G60" i="34" s="1"/>
  <c r="G59" i="34"/>
  <c r="K50" i="34"/>
  <c r="G49" i="34"/>
  <c r="G48" i="34"/>
  <c r="G47" i="34"/>
  <c r="G46" i="34"/>
  <c r="L44" i="34"/>
  <c r="H44" i="34"/>
  <c r="H45" i="34" s="1"/>
  <c r="L40" i="34"/>
  <c r="E40" i="34"/>
  <c r="E41" i="34" s="1"/>
  <c r="G41" i="34" s="1"/>
  <c r="G39" i="34"/>
  <c r="L37" i="34"/>
  <c r="K37" i="34"/>
  <c r="G29" i="34"/>
  <c r="G28" i="34"/>
  <c r="H25" i="34"/>
  <c r="H26" i="34" s="1"/>
  <c r="N20" i="34"/>
  <c r="E20" i="34"/>
  <c r="G20" i="34" s="1"/>
  <c r="G19" i="34"/>
  <c r="N18" i="34"/>
  <c r="N16" i="34"/>
  <c r="C212" i="35"/>
  <c r="C285" i="35" s="1"/>
  <c r="C358" i="35" s="1"/>
  <c r="G54" i="35"/>
  <c r="H61" i="35" s="1"/>
  <c r="E9" i="35"/>
  <c r="E80" i="35" s="1"/>
  <c r="E154" i="35" s="1"/>
  <c r="E228" i="35" s="1"/>
  <c r="E301" i="35" s="1"/>
  <c r="E373" i="35" s="1"/>
  <c r="E445" i="35" s="1"/>
  <c r="E517" i="35" s="1"/>
  <c r="E589" i="35" s="1"/>
  <c r="E7" i="35"/>
  <c r="E78" i="35" s="1"/>
  <c r="E152" i="35" s="1"/>
  <c r="E226" i="35" s="1"/>
  <c r="E299" i="35" s="1"/>
  <c r="E371" i="35" s="1"/>
  <c r="E443" i="35" s="1"/>
  <c r="E515" i="35" s="1"/>
  <c r="E587" i="35" s="1"/>
  <c r="E4" i="35"/>
  <c r="E75" i="35" s="1"/>
  <c r="E149" i="35" s="1"/>
  <c r="E223" i="35" s="1"/>
  <c r="E296" i="35" s="1"/>
  <c r="E368" i="35" s="1"/>
  <c r="E440" i="35" s="1"/>
  <c r="E512" i="35" s="1"/>
  <c r="E584" i="35" s="1"/>
  <c r="Q137" i="36"/>
  <c r="Q131" i="36"/>
  <c r="Q129" i="36"/>
  <c r="A126" i="36"/>
  <c r="F69" i="36"/>
  <c r="D69" i="36"/>
  <c r="F68" i="36"/>
  <c r="D68" i="36"/>
  <c r="F67" i="36"/>
  <c r="D67" i="36"/>
  <c r="F66" i="36"/>
  <c r="D66" i="36"/>
  <c r="F65" i="36"/>
  <c r="D65" i="36"/>
  <c r="F64" i="36"/>
  <c r="D64" i="36"/>
  <c r="F63" i="36"/>
  <c r="D63" i="36"/>
  <c r="F62" i="36"/>
  <c r="D62" i="36"/>
  <c r="F117" i="36"/>
  <c r="F61" i="36" s="1"/>
  <c r="D117" i="36"/>
  <c r="D61" i="36" s="1"/>
  <c r="A117" i="36"/>
  <c r="Q116" i="36"/>
  <c r="D116" i="36"/>
  <c r="D60" i="36" s="1"/>
  <c r="A115" i="36"/>
  <c r="F55" i="36"/>
  <c r="F54" i="36"/>
  <c r="F53" i="36"/>
  <c r="D53" i="36"/>
  <c r="F52" i="36"/>
  <c r="F51" i="36"/>
  <c r="D51" i="36"/>
  <c r="L106" i="36"/>
  <c r="J106" i="36"/>
  <c r="F106" i="36"/>
  <c r="F50" i="36" s="1"/>
  <c r="D106" i="36"/>
  <c r="D50" i="36" s="1"/>
  <c r="A106" i="36"/>
  <c r="L105" i="36"/>
  <c r="J105" i="36"/>
  <c r="F105" i="36"/>
  <c r="F49" i="36" s="1"/>
  <c r="D105" i="36"/>
  <c r="D49" i="36" s="1"/>
  <c r="A105" i="36"/>
  <c r="L104" i="36"/>
  <c r="F104" i="36"/>
  <c r="F48" i="36" s="1"/>
  <c r="D104" i="36"/>
  <c r="D48" i="36" s="1"/>
  <c r="A104" i="36"/>
  <c r="L103" i="36"/>
  <c r="F103" i="36"/>
  <c r="F47" i="36" s="1"/>
  <c r="D103" i="36"/>
  <c r="D47" i="36" s="1"/>
  <c r="A103" i="36"/>
  <c r="Q102" i="36"/>
  <c r="D102" i="36"/>
  <c r="D46" i="36" s="1"/>
  <c r="A101" i="36"/>
  <c r="F43" i="36"/>
  <c r="D43" i="36"/>
  <c r="A99" i="36"/>
  <c r="D42" i="36"/>
  <c r="A98" i="36"/>
  <c r="D41" i="36"/>
  <c r="A97" i="36"/>
  <c r="L96" i="36"/>
  <c r="F96" i="36"/>
  <c r="F40" i="36" s="1"/>
  <c r="D96" i="36"/>
  <c r="A96" i="36"/>
  <c r="F39" i="36"/>
  <c r="D39" i="36"/>
  <c r="A95" i="36"/>
  <c r="F94" i="36"/>
  <c r="F38" i="36" s="1"/>
  <c r="D94" i="36"/>
  <c r="D38" i="36" s="1"/>
  <c r="A94" i="36"/>
  <c r="L93" i="36"/>
  <c r="J93" i="36"/>
  <c r="F93" i="36"/>
  <c r="F37" i="36" s="1"/>
  <c r="D93" i="36"/>
  <c r="D37" i="36" s="1"/>
  <c r="A93" i="36"/>
  <c r="L92" i="36"/>
  <c r="J92" i="36"/>
  <c r="F92" i="36"/>
  <c r="F36" i="36" s="1"/>
  <c r="D92" i="36"/>
  <c r="D36" i="36" s="1"/>
  <c r="A92" i="36"/>
  <c r="L91" i="36"/>
  <c r="F91" i="36"/>
  <c r="F35" i="36" s="1"/>
  <c r="D91" i="36"/>
  <c r="D35" i="36" s="1"/>
  <c r="A91" i="36"/>
  <c r="L90" i="36"/>
  <c r="F90" i="36"/>
  <c r="F34" i="36" s="1"/>
  <c r="D90" i="36"/>
  <c r="D34" i="36" s="1"/>
  <c r="A90" i="36"/>
  <c r="Q89" i="36"/>
  <c r="D89" i="36"/>
  <c r="D33" i="36" s="1"/>
  <c r="A88" i="36"/>
  <c r="L85" i="36"/>
  <c r="J85" i="36"/>
  <c r="F85" i="36"/>
  <c r="F29" i="36" s="1"/>
  <c r="D85" i="36"/>
  <c r="D29" i="36" s="1"/>
  <c r="A85" i="36"/>
  <c r="L84" i="36"/>
  <c r="J84" i="36"/>
  <c r="F84" i="36"/>
  <c r="F28" i="36" s="1"/>
  <c r="D84" i="36"/>
  <c r="D28" i="36" s="1"/>
  <c r="A84" i="36"/>
  <c r="L83" i="36"/>
  <c r="J83" i="36"/>
  <c r="F83" i="36"/>
  <c r="F27" i="36" s="1"/>
  <c r="D83" i="36"/>
  <c r="D27" i="36" s="1"/>
  <c r="A83" i="36"/>
  <c r="L82" i="36"/>
  <c r="J82" i="36"/>
  <c r="F82" i="36"/>
  <c r="F26" i="36" s="1"/>
  <c r="D82" i="36"/>
  <c r="D26" i="36" s="1"/>
  <c r="A82" i="36"/>
  <c r="L81" i="36"/>
  <c r="J81" i="36"/>
  <c r="F81" i="36"/>
  <c r="F25" i="36" s="1"/>
  <c r="D81" i="36"/>
  <c r="D25" i="36" s="1"/>
  <c r="A81" i="36"/>
  <c r="L80" i="36"/>
  <c r="F80" i="36"/>
  <c r="F24" i="36" s="1"/>
  <c r="D80" i="36"/>
  <c r="D24" i="36" s="1"/>
  <c r="A80" i="36"/>
  <c r="L79" i="36"/>
  <c r="J79" i="36"/>
  <c r="F79" i="36"/>
  <c r="F23" i="36" s="1"/>
  <c r="D79" i="36"/>
  <c r="D23" i="36" s="1"/>
  <c r="A79" i="36"/>
  <c r="L78" i="36"/>
  <c r="J78" i="36"/>
  <c r="F78" i="36"/>
  <c r="F22" i="36" s="1"/>
  <c r="D78" i="36"/>
  <c r="D22" i="36" s="1"/>
  <c r="A78" i="36"/>
  <c r="L77" i="36"/>
  <c r="J77" i="36"/>
  <c r="F77" i="36"/>
  <c r="F21" i="36" s="1"/>
  <c r="D77" i="36"/>
  <c r="D21" i="36" s="1"/>
  <c r="A77" i="36"/>
  <c r="L76" i="36"/>
  <c r="F76" i="36"/>
  <c r="F20" i="36" s="1"/>
  <c r="D76" i="36"/>
  <c r="D20" i="36" s="1"/>
  <c r="A76" i="36"/>
  <c r="Q75" i="36"/>
  <c r="D75" i="36"/>
  <c r="D19" i="36" s="1"/>
  <c r="Q71" i="36"/>
  <c r="D70" i="36"/>
  <c r="D59" i="36"/>
  <c r="D55" i="36"/>
  <c r="D54" i="36"/>
  <c r="D52" i="36"/>
  <c r="D45" i="36"/>
  <c r="F42" i="36"/>
  <c r="F41" i="36"/>
  <c r="D40" i="36"/>
  <c r="D32" i="36"/>
  <c r="I248" i="31"/>
  <c r="I246" i="31"/>
  <c r="O237" i="31"/>
  <c r="G234" i="31"/>
  <c r="I233" i="31"/>
  <c r="J233" i="31" s="1"/>
  <c r="J234" i="31" s="1"/>
  <c r="D233" i="31" s="1"/>
  <c r="G233" i="31" s="1"/>
  <c r="K230" i="31"/>
  <c r="G230" i="31"/>
  <c r="D230" i="31"/>
  <c r="G228" i="31"/>
  <c r="F228" i="31"/>
  <c r="D228" i="31"/>
  <c r="F227" i="31"/>
  <c r="G227" i="31" s="1"/>
  <c r="D227" i="31"/>
  <c r="F226" i="31"/>
  <c r="G226" i="31" s="1"/>
  <c r="D226" i="31"/>
  <c r="G215" i="31"/>
  <c r="F215" i="31"/>
  <c r="F214" i="31"/>
  <c r="E214" i="31"/>
  <c r="D214" i="31"/>
  <c r="G205" i="31"/>
  <c r="G206" i="31" s="1"/>
  <c r="G203" i="31"/>
  <c r="G201" i="31"/>
  <c r="F201" i="31"/>
  <c r="D201" i="31"/>
  <c r="D196" i="31"/>
  <c r="I192" i="31"/>
  <c r="G190" i="31"/>
  <c r="D189" i="31"/>
  <c r="G189" i="31" s="1"/>
  <c r="D188" i="31"/>
  <c r="G188" i="31" s="1"/>
  <c r="K186" i="31"/>
  <c r="D187" i="31" s="1"/>
  <c r="G187" i="31" s="1"/>
  <c r="D185" i="31"/>
  <c r="G185" i="31" s="1"/>
  <c r="G191" i="31" s="1"/>
  <c r="D180" i="31"/>
  <c r="I186" i="31" s="1"/>
  <c r="D186" i="31" s="1"/>
  <c r="G186" i="31" s="1"/>
  <c r="G178" i="31"/>
  <c r="G174" i="31"/>
  <c r="G173" i="31"/>
  <c r="G172" i="31"/>
  <c r="G171" i="31"/>
  <c r="G170" i="31"/>
  <c r="G169" i="31"/>
  <c r="G168" i="31"/>
  <c r="G167" i="31"/>
  <c r="G175" i="31" s="1"/>
  <c r="G177" i="31" s="1"/>
  <c r="F167" i="31"/>
  <c r="G156" i="31"/>
  <c r="G155" i="31"/>
  <c r="G154" i="31"/>
  <c r="G132" i="31"/>
  <c r="G131" i="31"/>
  <c r="D130" i="31"/>
  <c r="K155" i="31" s="1"/>
  <c r="L155" i="31" s="1"/>
  <c r="D129" i="31"/>
  <c r="G129" i="31" s="1"/>
  <c r="G128" i="31"/>
  <c r="D128" i="31"/>
  <c r="K126" i="31"/>
  <c r="J123" i="31"/>
  <c r="K123" i="31" s="1"/>
  <c r="D123" i="31"/>
  <c r="I111" i="31"/>
  <c r="D111" i="31" s="1"/>
  <c r="K109" i="31"/>
  <c r="J106" i="31"/>
  <c r="K106" i="31" s="1"/>
  <c r="D100" i="31"/>
  <c r="I94" i="31"/>
  <c r="D94" i="31" s="1"/>
  <c r="J89" i="31"/>
  <c r="K89" i="31" s="1"/>
  <c r="G83" i="31"/>
  <c r="G84" i="31" s="1"/>
  <c r="G82" i="31"/>
  <c r="I80" i="31"/>
  <c r="E77" i="31"/>
  <c r="D77" i="31"/>
  <c r="I76" i="31"/>
  <c r="G76" i="31"/>
  <c r="K75" i="31"/>
  <c r="I75" i="31"/>
  <c r="I74" i="31"/>
  <c r="I73" i="31"/>
  <c r="D68" i="31"/>
  <c r="D76" i="31" s="1"/>
  <c r="G62" i="31"/>
  <c r="G61" i="31"/>
  <c r="G60" i="31"/>
  <c r="G59" i="31"/>
  <c r="G58" i="31"/>
  <c r="G57" i="31"/>
  <c r="G56" i="31"/>
  <c r="G63" i="31" s="1"/>
  <c r="G65" i="31" s="1"/>
  <c r="G55" i="31"/>
  <c r="K50" i="31"/>
  <c r="J50" i="31"/>
  <c r="A50" i="31"/>
  <c r="G45" i="31"/>
  <c r="G47" i="31" s="1"/>
  <c r="G48" i="31" s="1"/>
  <c r="G18" i="31"/>
  <c r="F1685" i="33"/>
  <c r="F1684" i="33"/>
  <c r="F1683" i="33"/>
  <c r="F1642" i="33"/>
  <c r="F1641" i="33"/>
  <c r="F1640" i="33"/>
  <c r="F1599" i="33"/>
  <c r="F1598" i="33"/>
  <c r="F1597" i="33"/>
  <c r="F1556" i="33"/>
  <c r="F1555" i="33"/>
  <c r="F1554" i="33"/>
  <c r="F1513" i="33"/>
  <c r="F1512" i="33"/>
  <c r="F1511" i="33"/>
  <c r="F1470" i="33"/>
  <c r="F1469" i="33"/>
  <c r="F1468" i="33"/>
  <c r="F1428" i="33"/>
  <c r="F1426" i="33"/>
  <c r="F1425" i="33"/>
  <c r="F1384" i="33"/>
  <c r="F1383" i="33"/>
  <c r="F1382" i="33"/>
  <c r="F1341" i="33"/>
  <c r="F1340" i="33"/>
  <c r="F1339" i="33"/>
  <c r="F1297" i="33"/>
  <c r="F1296" i="33"/>
  <c r="F1254" i="33"/>
  <c r="F1253" i="33"/>
  <c r="F1252" i="33"/>
  <c r="F1209" i="33"/>
  <c r="F1221" i="33" s="1"/>
  <c r="F1166" i="33"/>
  <c r="F1178" i="33" s="1"/>
  <c r="F1125" i="33"/>
  <c r="F1124" i="33"/>
  <c r="F1123" i="33"/>
  <c r="F1080" i="33"/>
  <c r="F1092" i="33" s="1"/>
  <c r="F1039" i="33"/>
  <c r="F1038" i="33"/>
  <c r="F1037" i="33"/>
  <c r="F996" i="33"/>
  <c r="F995" i="33"/>
  <c r="I994" i="33"/>
  <c r="F994" i="33"/>
  <c r="F963" i="33"/>
  <c r="F918" i="33"/>
  <c r="F870" i="33"/>
  <c r="F780" i="33"/>
  <c r="F726" i="33"/>
  <c r="F725" i="33"/>
  <c r="F724" i="33"/>
  <c r="F681" i="33"/>
  <c r="F680" i="33"/>
  <c r="F679" i="33"/>
  <c r="F678" i="33"/>
  <c r="F629" i="33"/>
  <c r="F637" i="33" s="1"/>
  <c r="F590" i="33"/>
  <c r="F583" i="33"/>
  <c r="F537" i="33"/>
  <c r="H536" i="33"/>
  <c r="F536" i="33" s="1"/>
  <c r="F543" i="33" s="1"/>
  <c r="F535" i="33"/>
  <c r="F495" i="33"/>
  <c r="F447" i="33"/>
  <c r="F401" i="33"/>
  <c r="F394" i="33"/>
  <c r="F354" i="33"/>
  <c r="F347" i="33"/>
  <c r="F298" i="33"/>
  <c r="F305" i="33" s="1"/>
  <c r="K538" i="33" s="1"/>
  <c r="F254" i="33"/>
  <c r="F253" i="33"/>
  <c r="F205" i="33"/>
  <c r="F204" i="33"/>
  <c r="F160" i="33"/>
  <c r="F159" i="33"/>
  <c r="F158" i="33"/>
  <c r="F157" i="33"/>
  <c r="F165" i="33" s="1"/>
  <c r="F112" i="33"/>
  <c r="F111" i="33"/>
  <c r="F110" i="33"/>
  <c r="F66" i="33"/>
  <c r="F65" i="33"/>
  <c r="F64" i="33"/>
  <c r="F63" i="33"/>
  <c r="B18" i="33"/>
  <c r="B17" i="33"/>
  <c r="X785" i="3"/>
  <c r="X16" i="3"/>
  <c r="B41" i="6"/>
  <c r="B40" i="6"/>
  <c r="M47" i="5" s="1"/>
  <c r="F6" i="29" s="1"/>
  <c r="B39" i="6"/>
  <c r="B38" i="6"/>
  <c r="B37" i="6"/>
  <c r="M46" i="5" s="1"/>
  <c r="F6" i="28" s="1"/>
  <c r="B35" i="6"/>
  <c r="B34" i="6"/>
  <c r="B33" i="6"/>
  <c r="B32" i="6"/>
  <c r="B31" i="6"/>
  <c r="B25" i="6"/>
  <c r="B24" i="6"/>
  <c r="E23" i="6"/>
  <c r="E22" i="6"/>
  <c r="E21" i="6"/>
  <c r="B20" i="6"/>
  <c r="B18" i="6"/>
  <c r="E17" i="6"/>
  <c r="B17" i="6"/>
  <c r="E16" i="6"/>
  <c r="B16" i="6"/>
  <c r="B15" i="6"/>
  <c r="B14" i="6"/>
  <c r="E13" i="6"/>
  <c r="B13" i="6"/>
  <c r="B12" i="6"/>
  <c r="E11" i="6"/>
  <c r="B11" i="6"/>
  <c r="E10" i="6"/>
  <c r="B10" i="6"/>
  <c r="B287" i="1"/>
  <c r="B275" i="1"/>
  <c r="L273" i="1"/>
  <c r="E27" i="6" s="1"/>
  <c r="I273" i="1"/>
  <c r="E18" i="6" s="1"/>
  <c r="E273" i="1"/>
  <c r="B27" i="6" s="1"/>
  <c r="L272" i="1"/>
  <c r="E26" i="6" s="1"/>
  <c r="I272" i="1"/>
  <c r="E272" i="1"/>
  <c r="B26" i="6" s="1"/>
  <c r="L271" i="1"/>
  <c r="E25" i="6" s="1"/>
  <c r="I271" i="1"/>
  <c r="E271" i="1"/>
  <c r="L270" i="1"/>
  <c r="E24" i="6" s="1"/>
  <c r="I270" i="1"/>
  <c r="E15" i="6" s="1"/>
  <c r="E270" i="1"/>
  <c r="L269" i="1"/>
  <c r="I269" i="1"/>
  <c r="E14" i="6" s="1"/>
  <c r="E269" i="1"/>
  <c r="B23" i="6" s="1"/>
  <c r="L268" i="1"/>
  <c r="I268" i="1"/>
  <c r="E268" i="1"/>
  <c r="B22" i="6" s="1"/>
  <c r="L267" i="1"/>
  <c r="I267" i="1"/>
  <c r="E12" i="6" s="1"/>
  <c r="E267" i="1"/>
  <c r="B21" i="6" s="1"/>
  <c r="L266" i="1"/>
  <c r="E20" i="6" s="1"/>
  <c r="I266" i="1"/>
  <c r="E266" i="1"/>
  <c r="L265" i="1"/>
  <c r="E19" i="6" s="1"/>
  <c r="I265" i="1"/>
  <c r="E265" i="1"/>
  <c r="B19" i="6" s="1"/>
  <c r="C260" i="1"/>
  <c r="C257" i="1"/>
  <c r="C256" i="1"/>
  <c r="C255" i="1"/>
  <c r="C254" i="1"/>
  <c r="B28" i="6" s="1"/>
  <c r="N250" i="1"/>
  <c r="F250" i="1"/>
  <c r="C250" i="1"/>
  <c r="N249" i="1"/>
  <c r="J249" i="1"/>
  <c r="F249" i="1"/>
  <c r="F246" i="1"/>
  <c r="G245" i="1"/>
  <c r="F236" i="1"/>
  <c r="C236" i="1"/>
  <c r="F235" i="1"/>
  <c r="F234" i="1"/>
  <c r="C234" i="1"/>
  <c r="B228" i="1"/>
  <c r="B227" i="1"/>
  <c r="B222" i="1"/>
  <c r="S214" i="1"/>
  <c r="N214" i="1"/>
  <c r="I214" i="1"/>
  <c r="D214" i="1"/>
  <c r="S213" i="1"/>
  <c r="Q213" i="1"/>
  <c r="N213" i="1"/>
  <c r="L213" i="1"/>
  <c r="I213" i="1"/>
  <c r="G213" i="1"/>
  <c r="D213" i="1"/>
  <c r="B213" i="1"/>
  <c r="S212" i="1"/>
  <c r="Q212" i="1"/>
  <c r="N212" i="1"/>
  <c r="L212" i="1"/>
  <c r="I212" i="1"/>
  <c r="G212" i="1"/>
  <c r="D212" i="1"/>
  <c r="B212" i="1"/>
  <c r="S211" i="1"/>
  <c r="Q211" i="1"/>
  <c r="N211" i="1"/>
  <c r="L211" i="1"/>
  <c r="I211" i="1"/>
  <c r="G211" i="1"/>
  <c r="D211" i="1"/>
  <c r="B211" i="1"/>
  <c r="S210" i="1"/>
  <c r="Q210" i="1"/>
  <c r="N210" i="1"/>
  <c r="L210" i="1"/>
  <c r="I210" i="1"/>
  <c r="G210" i="1"/>
  <c r="D210" i="1"/>
  <c r="B210" i="1"/>
  <c r="Q208" i="1"/>
  <c r="R216" i="1" s="1"/>
  <c r="L208" i="1"/>
  <c r="M216" i="1" s="1"/>
  <c r="G208" i="1"/>
  <c r="H216" i="1" s="1"/>
  <c r="B208" i="1"/>
  <c r="C216" i="1" s="1"/>
  <c r="G200" i="1"/>
  <c r="Q199" i="1"/>
  <c r="Q200" i="1" s="1"/>
  <c r="R202" i="1" s="1"/>
  <c r="L199" i="1"/>
  <c r="L200" i="1" s="1"/>
  <c r="M201" i="1" s="1"/>
  <c r="G199" i="1"/>
  <c r="B199" i="1"/>
  <c r="B200" i="1" s="1"/>
  <c r="R194" i="1"/>
  <c r="M194" i="1"/>
  <c r="H194" i="1"/>
  <c r="C194" i="1"/>
  <c r="M193" i="1"/>
  <c r="M195" i="1" s="1"/>
  <c r="L192" i="1"/>
  <c r="Q191" i="1"/>
  <c r="Q192" i="1" s="1"/>
  <c r="R193" i="1" s="1"/>
  <c r="L191" i="1"/>
  <c r="G191" i="1"/>
  <c r="G192" i="1" s="1"/>
  <c r="H193" i="1" s="1"/>
  <c r="B191" i="1"/>
  <c r="B192" i="1" s="1"/>
  <c r="C193" i="1" s="1"/>
  <c r="S182" i="1"/>
  <c r="N182" i="1"/>
  <c r="I182" i="1"/>
  <c r="D182" i="1"/>
  <c r="S181" i="1"/>
  <c r="Q181" i="1"/>
  <c r="N181" i="1"/>
  <c r="L181" i="1"/>
  <c r="I181" i="1"/>
  <c r="G181" i="1"/>
  <c r="D181" i="1"/>
  <c r="B181" i="1"/>
  <c r="S180" i="1"/>
  <c r="Q180" i="1"/>
  <c r="N180" i="1"/>
  <c r="L180" i="1"/>
  <c r="I180" i="1"/>
  <c r="G180" i="1"/>
  <c r="D180" i="1"/>
  <c r="B180" i="1"/>
  <c r="S179" i="1"/>
  <c r="Q179" i="1"/>
  <c r="N179" i="1"/>
  <c r="L179" i="1"/>
  <c r="I179" i="1"/>
  <c r="G179" i="1"/>
  <c r="D179" i="1"/>
  <c r="B179" i="1"/>
  <c r="S178" i="1"/>
  <c r="Q178" i="1"/>
  <c r="N178" i="1"/>
  <c r="L178" i="1"/>
  <c r="I178" i="1"/>
  <c r="G178" i="1"/>
  <c r="D178" i="1"/>
  <c r="B178" i="1"/>
  <c r="Q176" i="1"/>
  <c r="R184" i="1" s="1"/>
  <c r="L176" i="1"/>
  <c r="M184" i="1" s="1"/>
  <c r="G176" i="1"/>
  <c r="H184" i="1" s="1"/>
  <c r="B176" i="1"/>
  <c r="C184" i="1" s="1"/>
  <c r="G168" i="1"/>
  <c r="Q167" i="1"/>
  <c r="Q168" i="1" s="1"/>
  <c r="R170" i="1" s="1"/>
  <c r="L167" i="1"/>
  <c r="L168" i="1" s="1"/>
  <c r="M169" i="1" s="1"/>
  <c r="G167" i="1"/>
  <c r="B167" i="1"/>
  <c r="B168" i="1" s="1"/>
  <c r="R162" i="1"/>
  <c r="M162" i="1"/>
  <c r="H162" i="1"/>
  <c r="C162" i="1"/>
  <c r="M161" i="1"/>
  <c r="M163" i="1" s="1"/>
  <c r="C161" i="1"/>
  <c r="C163" i="1" s="1"/>
  <c r="L160" i="1"/>
  <c r="Q159" i="1"/>
  <c r="Q160" i="1" s="1"/>
  <c r="R161" i="1" s="1"/>
  <c r="L159" i="1"/>
  <c r="G159" i="1"/>
  <c r="G160" i="1" s="1"/>
  <c r="H161" i="1" s="1"/>
  <c r="B159" i="1"/>
  <c r="B160" i="1" s="1"/>
  <c r="S150" i="1"/>
  <c r="N150" i="1"/>
  <c r="I150" i="1"/>
  <c r="D150" i="1"/>
  <c r="S149" i="1"/>
  <c r="Q149" i="1"/>
  <c r="N149" i="1"/>
  <c r="L149" i="1"/>
  <c r="I149" i="1"/>
  <c r="G149" i="1"/>
  <c r="D149" i="1"/>
  <c r="B149" i="1"/>
  <c r="S148" i="1"/>
  <c r="Q148" i="1"/>
  <c r="N148" i="1"/>
  <c r="L148" i="1"/>
  <c r="I148" i="1"/>
  <c r="G148" i="1"/>
  <c r="D148" i="1"/>
  <c r="B148" i="1"/>
  <c r="S147" i="1"/>
  <c r="Q147" i="1"/>
  <c r="N147" i="1"/>
  <c r="L147" i="1"/>
  <c r="I147" i="1"/>
  <c r="G147" i="1"/>
  <c r="G150" i="1" s="1"/>
  <c r="D147" i="1"/>
  <c r="B147" i="1"/>
  <c r="S146" i="1"/>
  <c r="Q146" i="1"/>
  <c r="N146" i="1"/>
  <c r="L146" i="1"/>
  <c r="I146" i="1"/>
  <c r="G146" i="1"/>
  <c r="D146" i="1"/>
  <c r="B146" i="1"/>
  <c r="R145" i="1"/>
  <c r="M145" i="1"/>
  <c r="L150" i="1" s="1"/>
  <c r="H145" i="1"/>
  <c r="C145" i="1"/>
  <c r="B150" i="1" s="1"/>
  <c r="C154" i="1" s="1"/>
  <c r="Q144" i="1"/>
  <c r="R152" i="1" s="1"/>
  <c r="L144" i="1"/>
  <c r="M152" i="1" s="1"/>
  <c r="M154" i="1" s="1"/>
  <c r="G144" i="1"/>
  <c r="H152" i="1" s="1"/>
  <c r="B144" i="1"/>
  <c r="C152" i="1" s="1"/>
  <c r="R139" i="1"/>
  <c r="M139" i="1"/>
  <c r="H139" i="1"/>
  <c r="C139" i="1"/>
  <c r="G136" i="1"/>
  <c r="H138" i="1" s="1"/>
  <c r="H140" i="1" s="1"/>
  <c r="Q135" i="1"/>
  <c r="Q136" i="1" s="1"/>
  <c r="R138" i="1" s="1"/>
  <c r="R140" i="1" s="1"/>
  <c r="L135" i="1"/>
  <c r="L136" i="1" s="1"/>
  <c r="M138" i="1" s="1"/>
  <c r="M140" i="1" s="1"/>
  <c r="G135" i="1"/>
  <c r="B135" i="1"/>
  <c r="R127" i="1"/>
  <c r="M127" i="1"/>
  <c r="H127" i="1"/>
  <c r="C127" i="1"/>
  <c r="R126" i="1"/>
  <c r="M126" i="1"/>
  <c r="H126" i="1"/>
  <c r="C126" i="1"/>
  <c r="R125" i="1"/>
  <c r="M125" i="1"/>
  <c r="M128" i="1" s="1"/>
  <c r="H125" i="1"/>
  <c r="C125" i="1"/>
  <c r="R124" i="1"/>
  <c r="R128" i="1" s="1"/>
  <c r="M124" i="1"/>
  <c r="H124" i="1"/>
  <c r="H128" i="1" s="1"/>
  <c r="C124" i="1"/>
  <c r="Q123" i="1"/>
  <c r="L123" i="1"/>
  <c r="G123" i="1"/>
  <c r="B123" i="1"/>
  <c r="Q122" i="1"/>
  <c r="L122" i="1"/>
  <c r="G122" i="1"/>
  <c r="B122" i="1"/>
  <c r="C114" i="1"/>
  <c r="B114" i="1"/>
  <c r="C112" i="1"/>
  <c r="C111" i="1"/>
  <c r="C110" i="1"/>
  <c r="E99" i="1"/>
  <c r="E98" i="1"/>
  <c r="E97" i="1"/>
  <c r="D95" i="1"/>
  <c r="E91" i="1"/>
  <c r="E92" i="1" s="1"/>
  <c r="E90" i="1"/>
  <c r="D88" i="1"/>
  <c r="C86" i="1"/>
  <c r="V82" i="1"/>
  <c r="P82" i="1"/>
  <c r="J82" i="1"/>
  <c r="D82" i="1"/>
  <c r="V81" i="1"/>
  <c r="V83" i="1" s="1"/>
  <c r="P81" i="1"/>
  <c r="J81" i="1"/>
  <c r="J83" i="1" s="1"/>
  <c r="D81" i="1"/>
  <c r="D83" i="1" s="1"/>
  <c r="V80" i="1"/>
  <c r="P80" i="1"/>
  <c r="P83" i="1" s="1"/>
  <c r="J80" i="1"/>
  <c r="D80" i="1"/>
  <c r="V79" i="1"/>
  <c r="P79" i="1"/>
  <c r="J79" i="1"/>
  <c r="D79" i="1"/>
  <c r="F72" i="1"/>
  <c r="F71" i="1"/>
  <c r="F70" i="1"/>
  <c r="D68" i="1" s="1"/>
  <c r="F61" i="1"/>
  <c r="F60" i="1"/>
  <c r="F59" i="1"/>
  <c r="D57" i="1" s="1"/>
  <c r="C246" i="1" s="1"/>
  <c r="C245" i="1" s="1"/>
  <c r="D55" i="1"/>
  <c r="S52" i="1"/>
  <c r="V52" i="1" s="1"/>
  <c r="C52" i="1"/>
  <c r="C53" i="1" s="1"/>
  <c r="AD51" i="1"/>
  <c r="AA51" i="1"/>
  <c r="V51" i="1"/>
  <c r="S51" i="1"/>
  <c r="N51" i="1"/>
  <c r="K51" i="1"/>
  <c r="F51" i="1"/>
  <c r="C51" i="1"/>
  <c r="AD50" i="1"/>
  <c r="AA50" i="1"/>
  <c r="V50" i="1"/>
  <c r="S50" i="1"/>
  <c r="S53" i="1" s="1"/>
  <c r="N50" i="1"/>
  <c r="K50" i="1"/>
  <c r="F50" i="1"/>
  <c r="C50" i="1"/>
  <c r="AD49" i="1"/>
  <c r="AA49" i="1"/>
  <c r="V49" i="1"/>
  <c r="S49" i="1"/>
  <c r="N49" i="1"/>
  <c r="K49" i="1"/>
  <c r="F49" i="1"/>
  <c r="C49" i="1"/>
  <c r="P35" i="1"/>
  <c r="J35" i="1"/>
  <c r="D35" i="1"/>
  <c r="P34" i="1"/>
  <c r="J34" i="1"/>
  <c r="I31" i="1" s="1"/>
  <c r="D34" i="1"/>
  <c r="P33" i="1"/>
  <c r="J33" i="1"/>
  <c r="D33" i="1"/>
  <c r="O31" i="1"/>
  <c r="C31" i="1"/>
  <c r="D27" i="1"/>
  <c r="D26" i="1"/>
  <c r="C23" i="1" s="1"/>
  <c r="D25" i="1"/>
  <c r="V19" i="1"/>
  <c r="P19" i="1"/>
  <c r="J19" i="1"/>
  <c r="D19" i="1"/>
  <c r="V18" i="1"/>
  <c r="P18" i="1"/>
  <c r="J18" i="1"/>
  <c r="D18" i="1"/>
  <c r="D20" i="1" s="1"/>
  <c r="V17" i="1"/>
  <c r="P17" i="1"/>
  <c r="J17" i="1"/>
  <c r="J20" i="1" s="1"/>
  <c r="D17" i="1"/>
  <c r="V16" i="1"/>
  <c r="P16" i="1"/>
  <c r="J16" i="1"/>
  <c r="D16" i="1"/>
  <c r="R12" i="1"/>
  <c r="AA52" i="1" s="1"/>
  <c r="M12" i="1"/>
  <c r="H12" i="1"/>
  <c r="K52" i="1" s="1"/>
  <c r="C12" i="1"/>
  <c r="R11" i="1"/>
  <c r="R13" i="1" s="1"/>
  <c r="M11" i="1"/>
  <c r="M13" i="1" s="1"/>
  <c r="C11" i="1"/>
  <c r="C13" i="1" s="1"/>
  <c r="R10" i="1"/>
  <c r="M10" i="1"/>
  <c r="H10" i="1"/>
  <c r="C10" i="1"/>
  <c r="R9" i="1"/>
  <c r="M9" i="1"/>
  <c r="H9" i="1"/>
  <c r="C9" i="1"/>
  <c r="B227" i="2"/>
  <c r="B36" i="6" s="1"/>
  <c r="B210" i="2"/>
  <c r="B279" i="1" s="1"/>
  <c r="B30" i="6" s="1"/>
  <c r="C192" i="2"/>
  <c r="C261" i="1" s="1"/>
  <c r="E179" i="2"/>
  <c r="E178" i="2"/>
  <c r="E177" i="2"/>
  <c r="E176" i="2"/>
  <c r="E175" i="2"/>
  <c r="E174" i="2"/>
  <c r="C249" i="1" s="1"/>
  <c r="E173" i="2"/>
  <c r="E172" i="2"/>
  <c r="E171" i="2"/>
  <c r="E170" i="2"/>
  <c r="E169" i="2"/>
  <c r="E168" i="2"/>
  <c r="E167" i="2"/>
  <c r="C248" i="1" s="1"/>
  <c r="B159" i="2"/>
  <c r="B156" i="2"/>
  <c r="D163" i="2" s="1"/>
  <c r="C247" i="1" s="1"/>
  <c r="J147" i="2"/>
  <c r="F147" i="2"/>
  <c r="J250" i="1" s="1"/>
  <c r="B147" i="2"/>
  <c r="J144" i="2"/>
  <c r="F144" i="2"/>
  <c r="B144" i="2"/>
  <c r="B136" i="2"/>
  <c r="F134" i="2"/>
  <c r="F129" i="2"/>
  <c r="B223" i="1" s="1"/>
  <c r="B128" i="2"/>
  <c r="B121" i="2"/>
  <c r="B116" i="2"/>
  <c r="O100" i="2"/>
  <c r="K100" i="2"/>
  <c r="G100" i="2"/>
  <c r="H202" i="1" s="1"/>
  <c r="C100" i="2"/>
  <c r="C202" i="1" s="1"/>
  <c r="O98" i="2"/>
  <c r="R201" i="1" s="1"/>
  <c r="R203" i="1" s="1"/>
  <c r="K98" i="2"/>
  <c r="G98" i="2"/>
  <c r="H201" i="1" s="1"/>
  <c r="H203" i="1" s="1"/>
  <c r="C98" i="2"/>
  <c r="N88" i="2"/>
  <c r="J88" i="2"/>
  <c r="F88" i="2"/>
  <c r="B88" i="2"/>
  <c r="O71" i="2"/>
  <c r="K71" i="2"/>
  <c r="G71" i="2"/>
  <c r="H170" i="1" s="1"/>
  <c r="C71" i="2"/>
  <c r="C170" i="1" s="1"/>
  <c r="O69" i="2"/>
  <c r="K69" i="2"/>
  <c r="G69" i="2"/>
  <c r="H169" i="1" s="1"/>
  <c r="H171" i="1" s="1"/>
  <c r="C69" i="2"/>
  <c r="C169" i="1" s="1"/>
  <c r="N59" i="2"/>
  <c r="J59" i="2"/>
  <c r="F59" i="2"/>
  <c r="B59" i="2"/>
  <c r="R39" i="2"/>
  <c r="N39" i="2"/>
  <c r="J39" i="2"/>
  <c r="F39" i="2"/>
  <c r="B39" i="2"/>
  <c r="N34" i="2"/>
  <c r="J34" i="2"/>
  <c r="F34" i="2"/>
  <c r="H11" i="1" s="1"/>
  <c r="H13" i="1" s="1"/>
  <c r="B34" i="2"/>
  <c r="R15" i="2"/>
  <c r="N15" i="2"/>
  <c r="J15" i="2"/>
  <c r="F15" i="2"/>
  <c r="B15" i="2"/>
  <c r="C65" i="1" l="1"/>
  <c r="C195" i="1"/>
  <c r="C209" i="1"/>
  <c r="B214" i="1" s="1"/>
  <c r="C218" i="1" s="1"/>
  <c r="B107" i="1"/>
  <c r="B7" i="6" s="1"/>
  <c r="F118" i="33"/>
  <c r="X37" i="11"/>
  <c r="I44" i="5"/>
  <c r="R163" i="1"/>
  <c r="R177" i="1"/>
  <c r="Q182" i="1" s="1"/>
  <c r="R186" i="1" s="1"/>
  <c r="M209" i="1"/>
  <c r="L214" i="1" s="1"/>
  <c r="M218" i="1" s="1"/>
  <c r="B8" i="6"/>
  <c r="T46" i="5"/>
  <c r="X34" i="25"/>
  <c r="X35" i="25" s="1"/>
  <c r="D76" i="1"/>
  <c r="K152" i="31"/>
  <c r="L152" i="31" s="1"/>
  <c r="G94" i="31"/>
  <c r="F51" i="5"/>
  <c r="X36" i="10"/>
  <c r="AD35" i="27"/>
  <c r="X36" i="27"/>
  <c r="AD36" i="27" s="1"/>
  <c r="X37" i="29"/>
  <c r="X36" i="29"/>
  <c r="AD36" i="29" s="1"/>
  <c r="AD35" i="29"/>
  <c r="M171" i="1"/>
  <c r="G66" i="31"/>
  <c r="D117" i="31"/>
  <c r="G100" i="31"/>
  <c r="G101" i="31" s="1"/>
  <c r="F19" i="33"/>
  <c r="G193" i="31"/>
  <c r="G194" i="31" s="1"/>
  <c r="I39" i="5"/>
  <c r="X39" i="8"/>
  <c r="X37" i="26"/>
  <c r="X36" i="26"/>
  <c r="AD36" i="26" s="1"/>
  <c r="J67" i="37"/>
  <c r="E190" i="35"/>
  <c r="G190" i="35" s="1"/>
  <c r="G211" i="35" s="1"/>
  <c r="B5" i="6"/>
  <c r="C251" i="1"/>
  <c r="B217" i="2"/>
  <c r="B283" i="1" s="1"/>
  <c r="B29" i="6" s="1"/>
  <c r="X27" i="4"/>
  <c r="AD35" i="26"/>
  <c r="H154" i="1"/>
  <c r="C171" i="1"/>
  <c r="V20" i="1"/>
  <c r="Q150" i="1"/>
  <c r="R154" i="1" s="1"/>
  <c r="H186" i="1"/>
  <c r="R195" i="1"/>
  <c r="R209" i="1"/>
  <c r="Q214" i="1" s="1"/>
  <c r="R218" i="1" s="1"/>
  <c r="G214" i="31"/>
  <c r="G216" i="31" s="1"/>
  <c r="G218" i="31" s="1"/>
  <c r="G219" i="31" s="1"/>
  <c r="X34" i="12"/>
  <c r="H195" i="1"/>
  <c r="H209" i="1"/>
  <c r="G214" i="1" s="1"/>
  <c r="R169" i="1"/>
  <c r="R171" i="1" s="1"/>
  <c r="N52" i="1"/>
  <c r="N53" i="1" s="1"/>
  <c r="K53" i="1"/>
  <c r="V53" i="1"/>
  <c r="M202" i="1"/>
  <c r="M203" i="1" s="1"/>
  <c r="D95" i="31"/>
  <c r="G77" i="31"/>
  <c r="G111" i="31"/>
  <c r="K154" i="31"/>
  <c r="L154" i="31" s="1"/>
  <c r="X34" i="7"/>
  <c r="X35" i="28"/>
  <c r="H163" i="1"/>
  <c r="H177" i="1"/>
  <c r="G182" i="1" s="1"/>
  <c r="B136" i="1"/>
  <c r="C138" i="1" s="1"/>
  <c r="C140" i="1" s="1"/>
  <c r="B113" i="1"/>
  <c r="C113" i="1" s="1"/>
  <c r="M170" i="1"/>
  <c r="P20" i="1"/>
  <c r="B6" i="1" s="1"/>
  <c r="C177" i="1"/>
  <c r="B182" i="1" s="1"/>
  <c r="C186" i="1" s="1"/>
  <c r="C201" i="1"/>
  <c r="C203" i="1" s="1"/>
  <c r="H218" i="1"/>
  <c r="F229" i="31"/>
  <c r="G229" i="31" s="1"/>
  <c r="G236" i="31"/>
  <c r="G238" i="31" s="1"/>
  <c r="G239" i="31" s="1"/>
  <c r="AD52" i="1"/>
  <c r="AD53" i="1" s="1"/>
  <c r="AA53" i="1"/>
  <c r="C128" i="1"/>
  <c r="M177" i="1"/>
  <c r="L182" i="1" s="1"/>
  <c r="M186" i="1" s="1"/>
  <c r="B103" i="1"/>
  <c r="B6" i="6" s="1"/>
  <c r="D235" i="31"/>
  <c r="G235" i="31" s="1"/>
  <c r="D232" i="31"/>
  <c r="G232" i="31" s="1"/>
  <c r="D231" i="31"/>
  <c r="G231" i="31" s="1"/>
  <c r="X37" i="27"/>
  <c r="D73" i="31"/>
  <c r="J68" i="37"/>
  <c r="E191" i="35"/>
  <c r="G191" i="35" s="1"/>
  <c r="D114" i="37"/>
  <c r="E203" i="35" s="1"/>
  <c r="G203" i="35" s="1"/>
  <c r="J94" i="36"/>
  <c r="F52" i="1"/>
  <c r="F53" i="1" s="1"/>
  <c r="D45" i="1" s="1"/>
  <c r="C43" i="1" s="1"/>
  <c r="D74" i="31"/>
  <c r="G96" i="34"/>
  <c r="E135" i="34"/>
  <c r="G135" i="34" s="1"/>
  <c r="G136" i="34" s="1"/>
  <c r="J68" i="34"/>
  <c r="G171" i="37"/>
  <c r="E255" i="35"/>
  <c r="G255" i="35" s="1"/>
  <c r="G284" i="35" s="1"/>
  <c r="D78" i="31"/>
  <c r="G130" i="31"/>
  <c r="G215" i="34"/>
  <c r="D75" i="31"/>
  <c r="G75" i="31" s="1"/>
  <c r="D15" i="34"/>
  <c r="J93" i="37"/>
  <c r="E199" i="35"/>
  <c r="G199" i="35" s="1"/>
  <c r="G287" i="37"/>
  <c r="H287" i="37" s="1"/>
  <c r="F1479" i="33"/>
  <c r="E21" i="34"/>
  <c r="E22" i="34" s="1"/>
  <c r="G22" i="34" s="1"/>
  <c r="G261" i="34"/>
  <c r="G268" i="34" s="1"/>
  <c r="G269" i="34" s="1"/>
  <c r="N85" i="36" s="1"/>
  <c r="O85" i="36" s="1"/>
  <c r="Q85" i="36" s="1"/>
  <c r="E334" i="34"/>
  <c r="G334" i="34" s="1"/>
  <c r="J68" i="31"/>
  <c r="K68" i="31" s="1"/>
  <c r="J93" i="34"/>
  <c r="G96" i="37"/>
  <c r="E202" i="35"/>
  <c r="G202" i="35" s="1"/>
  <c r="F1307" i="33"/>
  <c r="F1651" i="33"/>
  <c r="F1393" i="33"/>
  <c r="F736" i="33"/>
  <c r="F212" i="33"/>
  <c r="F262" i="33"/>
  <c r="F1522" i="33"/>
  <c r="F1006" i="33"/>
  <c r="F1565" i="33"/>
  <c r="F1049" i="33"/>
  <c r="F1436" i="33"/>
  <c r="F1264" i="33"/>
  <c r="F1608" i="33"/>
  <c r="F1135" i="33"/>
  <c r="F1350" i="33"/>
  <c r="F686" i="33"/>
  <c r="F1694" i="33"/>
  <c r="F71" i="33"/>
  <c r="G50" i="40"/>
  <c r="E334" i="40"/>
  <c r="G334" i="40" s="1"/>
  <c r="G250" i="40"/>
  <c r="H250" i="40" s="1"/>
  <c r="G289" i="40"/>
  <c r="G40" i="40"/>
  <c r="E61" i="40"/>
  <c r="G61" i="40" s="1"/>
  <c r="G62" i="40" s="1"/>
  <c r="G215" i="40"/>
  <c r="G261" i="40"/>
  <c r="G268" i="40" s="1"/>
  <c r="G269" i="40" s="1"/>
  <c r="N112" i="36" s="1"/>
  <c r="O112" i="36" s="1"/>
  <c r="Q112" i="36" s="1"/>
  <c r="G203" i="40"/>
  <c r="G217" i="40" s="1"/>
  <c r="G218" i="40" s="1"/>
  <c r="N110" i="36" s="1"/>
  <c r="O110" i="36" s="1"/>
  <c r="Q110" i="36" s="1"/>
  <c r="J93" i="40"/>
  <c r="E353" i="35"/>
  <c r="G353" i="35" s="1"/>
  <c r="G227" i="40"/>
  <c r="G335" i="40"/>
  <c r="E21" i="40"/>
  <c r="J67" i="40"/>
  <c r="E344" i="35"/>
  <c r="G344" i="35" s="1"/>
  <c r="J68" i="40"/>
  <c r="E345" i="35"/>
  <c r="G345" i="35" s="1"/>
  <c r="G96" i="40"/>
  <c r="E356" i="35"/>
  <c r="G356" i="35" s="1"/>
  <c r="G340" i="40"/>
  <c r="F491" i="35"/>
  <c r="G491" i="35" s="1"/>
  <c r="G153" i="40"/>
  <c r="H153" i="40" s="1"/>
  <c r="G201" i="40"/>
  <c r="G341" i="40"/>
  <c r="F492" i="35"/>
  <c r="G492" i="35" s="1"/>
  <c r="G89" i="40"/>
  <c r="D114" i="40"/>
  <c r="E386" i="35" s="1"/>
  <c r="G386" i="35" s="1"/>
  <c r="J107" i="36"/>
  <c r="D35" i="40"/>
  <c r="J104" i="36" s="1"/>
  <c r="G171" i="40"/>
  <c r="G190" i="40" s="1"/>
  <c r="H190" i="40" s="1"/>
  <c r="E408" i="35"/>
  <c r="G408" i="35" s="1"/>
  <c r="G42" i="40"/>
  <c r="G87" i="40"/>
  <c r="D15" i="40"/>
  <c r="D27" i="40" s="1"/>
  <c r="G50" i="34"/>
  <c r="G250" i="34"/>
  <c r="H250" i="34" s="1"/>
  <c r="E278" i="34"/>
  <c r="G278" i="34" s="1"/>
  <c r="G279" i="34" s="1"/>
  <c r="G153" i="34"/>
  <c r="G289" i="34"/>
  <c r="H289" i="34" s="1"/>
  <c r="G87" i="34"/>
  <c r="G89" i="34" s="1"/>
  <c r="E165" i="34"/>
  <c r="G165" i="34" s="1"/>
  <c r="H36" i="35"/>
  <c r="J67" i="34"/>
  <c r="D27" i="34"/>
  <c r="J76" i="36"/>
  <c r="G166" i="34"/>
  <c r="E41" i="35"/>
  <c r="G41" i="35" s="1"/>
  <c r="H48" i="35" s="1"/>
  <c r="J114" i="34"/>
  <c r="G114" i="34"/>
  <c r="G122" i="34" s="1"/>
  <c r="G227" i="34"/>
  <c r="H227" i="34" s="1"/>
  <c r="G335" i="34"/>
  <c r="E61" i="34"/>
  <c r="G61" i="34" s="1"/>
  <c r="G62" i="34" s="1"/>
  <c r="E109" i="34"/>
  <c r="G109" i="34" s="1"/>
  <c r="G110" i="34" s="1"/>
  <c r="H110" i="34" s="1"/>
  <c r="G201" i="34"/>
  <c r="G203" i="34" s="1"/>
  <c r="G137" i="35"/>
  <c r="H111" i="35"/>
  <c r="G171" i="34"/>
  <c r="G190" i="34" s="1"/>
  <c r="H181" i="35"/>
  <c r="G40" i="34"/>
  <c r="G42" i="34" s="1"/>
  <c r="G67" i="34"/>
  <c r="G340" i="34"/>
  <c r="J80" i="36"/>
  <c r="H40" i="35"/>
  <c r="G341" i="34"/>
  <c r="G68" i="34"/>
  <c r="G93" i="34"/>
  <c r="G97" i="34" s="1"/>
  <c r="H289" i="40"/>
  <c r="G68" i="40"/>
  <c r="G134" i="40"/>
  <c r="G136" i="40" s="1"/>
  <c r="G164" i="40"/>
  <c r="G166" i="40" s="1"/>
  <c r="H166" i="40" s="1"/>
  <c r="G93" i="40"/>
  <c r="G97" i="40" s="1"/>
  <c r="G277" i="40"/>
  <c r="G279" i="40" s="1"/>
  <c r="G67" i="40"/>
  <c r="G108" i="40"/>
  <c r="G110" i="40" s="1"/>
  <c r="J91" i="36"/>
  <c r="G87" i="37"/>
  <c r="G68" i="37"/>
  <c r="G93" i="37"/>
  <c r="G97" i="37" s="1"/>
  <c r="G50" i="37"/>
  <c r="E21" i="37"/>
  <c r="E22" i="37" s="1"/>
  <c r="G22" i="37" s="1"/>
  <c r="G134" i="37"/>
  <c r="G136" i="37" s="1"/>
  <c r="G153" i="37"/>
  <c r="H153" i="37" s="1"/>
  <c r="G201" i="37"/>
  <c r="G203" i="37" s="1"/>
  <c r="G108" i="37"/>
  <c r="G110" i="37" s="1"/>
  <c r="G213" i="37"/>
  <c r="G27" i="37"/>
  <c r="G30" i="37" s="1"/>
  <c r="G67" i="37"/>
  <c r="G76" i="37" s="1"/>
  <c r="H76" i="37" s="1"/>
  <c r="G190" i="37"/>
  <c r="H190" i="37" s="1"/>
  <c r="G248" i="37"/>
  <c r="H248" i="37" s="1"/>
  <c r="G259" i="37"/>
  <c r="H259" i="37" s="1"/>
  <c r="H225" i="37"/>
  <c r="G89" i="37"/>
  <c r="J114" i="37"/>
  <c r="G114" i="37"/>
  <c r="G122" i="37" s="1"/>
  <c r="G60" i="37"/>
  <c r="G62" i="37" s="1"/>
  <c r="G164" i="37"/>
  <c r="G166" i="37" s="1"/>
  <c r="H166" i="37" s="1"/>
  <c r="G275" i="37"/>
  <c r="G277" i="37" s="1"/>
  <c r="G40" i="37"/>
  <c r="G42" i="37" s="1"/>
  <c r="B3" i="6" l="1"/>
  <c r="B40" i="1"/>
  <c r="B4" i="6" s="1"/>
  <c r="H335" i="35"/>
  <c r="K150" i="31"/>
  <c r="L150" i="31" s="1"/>
  <c r="G73" i="31"/>
  <c r="G79" i="31" s="1"/>
  <c r="G86" i="31" s="1"/>
  <c r="X29" i="4"/>
  <c r="X28" i="4"/>
  <c r="AD28" i="4" s="1"/>
  <c r="J37" i="5" s="1"/>
  <c r="AD27" i="4"/>
  <c r="Q37" i="5" s="1"/>
  <c r="X38" i="27"/>
  <c r="AD37" i="27"/>
  <c r="X35" i="12"/>
  <c r="I45" i="5"/>
  <c r="X37" i="10"/>
  <c r="I43" i="5"/>
  <c r="H261" i="34"/>
  <c r="F53" i="5"/>
  <c r="F56" i="5" s="1"/>
  <c r="AD37" i="11"/>
  <c r="Q44" i="5" s="1"/>
  <c r="X39" i="11"/>
  <c r="X38" i="11"/>
  <c r="AD38" i="11" s="1"/>
  <c r="J44" i="5" s="1"/>
  <c r="G155" i="34"/>
  <c r="G156" i="34" s="1"/>
  <c r="N81" i="36" s="1"/>
  <c r="O81" i="36" s="1"/>
  <c r="Q81" i="36" s="1"/>
  <c r="K151" i="31"/>
  <c r="L151" i="31" s="1"/>
  <c r="G74" i="31"/>
  <c r="X38" i="26"/>
  <c r="AD37" i="26"/>
  <c r="X37" i="25"/>
  <c r="X36" i="25"/>
  <c r="AD36" i="25" s="1"/>
  <c r="AD35" i="25"/>
  <c r="H277" i="37"/>
  <c r="J103" i="36"/>
  <c r="AD39" i="8"/>
  <c r="Q39" i="5" s="1"/>
  <c r="X41" i="8"/>
  <c r="X40" i="8"/>
  <c r="AD40" i="8" s="1"/>
  <c r="J39" i="5" s="1"/>
  <c r="D112" i="31"/>
  <c r="G95" i="31"/>
  <c r="G21" i="34"/>
  <c r="G23" i="34" s="1"/>
  <c r="D138" i="31"/>
  <c r="G117" i="31"/>
  <c r="G118" i="31" s="1"/>
  <c r="X37" i="28"/>
  <c r="X36" i="28"/>
  <c r="AD36" i="28" s="1"/>
  <c r="AD35" i="28"/>
  <c r="X38" i="29"/>
  <c r="AD37" i="29"/>
  <c r="G291" i="34"/>
  <c r="G292" i="34" s="1"/>
  <c r="N86" i="36" s="1"/>
  <c r="O86" i="36" s="1"/>
  <c r="Q86" i="36" s="1"/>
  <c r="D96" i="31"/>
  <c r="G78" i="31"/>
  <c r="X35" i="7"/>
  <c r="I38" i="5"/>
  <c r="F50" i="5" s="1"/>
  <c r="I5" i="41"/>
  <c r="G52" i="40"/>
  <c r="G53" i="40" s="1"/>
  <c r="G114" i="40"/>
  <c r="G122" i="40" s="1"/>
  <c r="H110" i="40" s="1"/>
  <c r="J114" i="40"/>
  <c r="H261" i="40"/>
  <c r="H227" i="40"/>
  <c r="G27" i="40"/>
  <c r="G30" i="40" s="1"/>
  <c r="E337" i="35"/>
  <c r="G337" i="35" s="1"/>
  <c r="G357" i="35" s="1"/>
  <c r="G501" i="35"/>
  <c r="G345" i="40"/>
  <c r="E22" i="40"/>
  <c r="G22" i="40" s="1"/>
  <c r="G21" i="40"/>
  <c r="H203" i="40"/>
  <c r="G99" i="40"/>
  <c r="G100" i="40" s="1"/>
  <c r="N106" i="36" s="1"/>
  <c r="O106" i="36" s="1"/>
  <c r="G429" i="35"/>
  <c r="G252" i="40"/>
  <c r="G253" i="40" s="1"/>
  <c r="N111" i="36" s="1"/>
  <c r="O111" i="36" s="1"/>
  <c r="Q111" i="36" s="1"/>
  <c r="H153" i="34"/>
  <c r="G345" i="34"/>
  <c r="H335" i="34" s="1"/>
  <c r="G76" i="34"/>
  <c r="H76" i="34" s="1"/>
  <c r="H279" i="34"/>
  <c r="G99" i="34"/>
  <c r="G100" i="34" s="1"/>
  <c r="N79" i="36" s="1"/>
  <c r="O79" i="36" s="1"/>
  <c r="Q79" i="36" s="1"/>
  <c r="H136" i="34"/>
  <c r="H190" i="34"/>
  <c r="G192" i="34"/>
  <c r="G193" i="34" s="1"/>
  <c r="N82" i="36" s="1"/>
  <c r="O82" i="36" s="1"/>
  <c r="Q82" i="36" s="1"/>
  <c r="H203" i="34"/>
  <c r="G217" i="34"/>
  <c r="G218" i="34" s="1"/>
  <c r="N83" i="36" s="1"/>
  <c r="O83" i="36" s="1"/>
  <c r="Q83" i="36" s="1"/>
  <c r="G78" i="34"/>
  <c r="G79" i="34" s="1"/>
  <c r="N78" i="36" s="1"/>
  <c r="O78" i="36" s="1"/>
  <c r="H166" i="34"/>
  <c r="G351" i="34"/>
  <c r="H89" i="34"/>
  <c r="E21" i="35"/>
  <c r="G21" i="35" s="1"/>
  <c r="G27" i="34"/>
  <c r="G30" i="34" s="1"/>
  <c r="G32" i="34" s="1"/>
  <c r="G33" i="34" s="1"/>
  <c r="N76" i="36" s="1"/>
  <c r="O76" i="36" s="1"/>
  <c r="Q76" i="36" s="1"/>
  <c r="G124" i="34"/>
  <c r="G125" i="34" s="1"/>
  <c r="N80" i="36" s="1"/>
  <c r="O80" i="36" s="1"/>
  <c r="Q80" i="36" s="1"/>
  <c r="G252" i="34"/>
  <c r="G253" i="34" s="1"/>
  <c r="N84" i="36" s="1"/>
  <c r="O84" i="36" s="1"/>
  <c r="Q84" i="36" s="1"/>
  <c r="H247" i="34"/>
  <c r="G52" i="34"/>
  <c r="G53" i="34" s="1"/>
  <c r="N77" i="36" s="1"/>
  <c r="O77" i="36" s="1"/>
  <c r="Q77" i="36" s="1"/>
  <c r="N118" i="36"/>
  <c r="O118" i="36" s="1"/>
  <c r="Q118" i="36" s="1"/>
  <c r="N120" i="36"/>
  <c r="O120" i="36" s="1"/>
  <c r="Q120" i="36" s="1"/>
  <c r="N121" i="36"/>
  <c r="O121" i="36" s="1"/>
  <c r="Q121" i="36" s="1"/>
  <c r="N122" i="36"/>
  <c r="O122" i="36" s="1"/>
  <c r="Q122" i="36" s="1"/>
  <c r="N124" i="36"/>
  <c r="O124" i="36" s="1"/>
  <c r="Q124" i="36" s="1"/>
  <c r="N119" i="36"/>
  <c r="O119" i="36" s="1"/>
  <c r="Q119" i="36" s="1"/>
  <c r="H279" i="40"/>
  <c r="G291" i="40"/>
  <c r="G292" i="40" s="1"/>
  <c r="N113" i="36" s="1"/>
  <c r="O113" i="36" s="1"/>
  <c r="Q113" i="36" s="1"/>
  <c r="H136" i="40"/>
  <c r="G155" i="40"/>
  <c r="G156" i="40" s="1"/>
  <c r="N108" i="36" s="1"/>
  <c r="O108" i="36" s="1"/>
  <c r="Q108" i="36" s="1"/>
  <c r="G192" i="40"/>
  <c r="G193" i="40" s="1"/>
  <c r="N109" i="36" s="1"/>
  <c r="O109" i="36" s="1"/>
  <c r="Q109" i="36" s="1"/>
  <c r="G76" i="40"/>
  <c r="H89" i="40"/>
  <c r="N104" i="36"/>
  <c r="O104" i="36" s="1"/>
  <c r="G155" i="37"/>
  <c r="G156" i="37" s="1"/>
  <c r="H62" i="37"/>
  <c r="G266" i="37"/>
  <c r="G267" i="37" s="1"/>
  <c r="N99" i="36" s="1"/>
  <c r="O99" i="36" s="1"/>
  <c r="G21" i="37"/>
  <c r="G23" i="37" s="1"/>
  <c r="G294" i="37" s="1"/>
  <c r="G250" i="37"/>
  <c r="G99" i="37"/>
  <c r="G100" i="37" s="1"/>
  <c r="N93" i="36" s="1"/>
  <c r="O93" i="36" s="1"/>
  <c r="G293" i="37"/>
  <c r="H89" i="37"/>
  <c r="J90" i="36"/>
  <c r="G124" i="37"/>
  <c r="G125" i="37" s="1"/>
  <c r="N94" i="36" s="1"/>
  <c r="O94" i="36" s="1"/>
  <c r="Q94" i="36" s="1"/>
  <c r="H136" i="37"/>
  <c r="H203" i="37"/>
  <c r="G215" i="37"/>
  <c r="G216" i="37" s="1"/>
  <c r="N97" i="36" s="1"/>
  <c r="O97" i="36" s="1"/>
  <c r="Q97" i="36" s="1"/>
  <c r="H110" i="37"/>
  <c r="G78" i="37"/>
  <c r="G79" i="37" s="1"/>
  <c r="N92" i="36" s="1"/>
  <c r="O92" i="36" s="1"/>
  <c r="G52" i="37"/>
  <c r="G53" i="37" s="1"/>
  <c r="N91" i="36" s="1"/>
  <c r="O91" i="36" s="1"/>
  <c r="G251" i="37"/>
  <c r="N98" i="36" s="1"/>
  <c r="O98" i="36" s="1"/>
  <c r="Q98" i="36" s="1"/>
  <c r="G192" i="37"/>
  <c r="G289" i="37"/>
  <c r="G290" i="37" s="1"/>
  <c r="N100" i="36" s="1"/>
  <c r="O100" i="36" s="1"/>
  <c r="Q100" i="36" s="1"/>
  <c r="N95" i="36" l="1"/>
  <c r="O95" i="36" s="1"/>
  <c r="Q95" i="36" s="1"/>
  <c r="X30" i="4"/>
  <c r="AD29" i="4"/>
  <c r="K37" i="5" s="1"/>
  <c r="G124" i="40"/>
  <c r="G125" i="40" s="1"/>
  <c r="N107" i="36" s="1"/>
  <c r="O107" i="36" s="1"/>
  <c r="Q107" i="36" s="1"/>
  <c r="X38" i="28"/>
  <c r="AD37" i="28"/>
  <c r="G87" i="31"/>
  <c r="X40" i="11"/>
  <c r="AD39" i="11"/>
  <c r="K44" i="5" s="1"/>
  <c r="L156" i="31"/>
  <c r="D146" i="31" s="1"/>
  <c r="D139" i="31"/>
  <c r="G138" i="31"/>
  <c r="X38" i="25"/>
  <c r="AD37" i="25"/>
  <c r="I335" i="35"/>
  <c r="X39" i="27"/>
  <c r="AD38" i="27"/>
  <c r="F54" i="5"/>
  <c r="AD37" i="10"/>
  <c r="Q43" i="5" s="1"/>
  <c r="X38" i="10"/>
  <c r="AD38" i="10" s="1"/>
  <c r="J43" i="5" s="1"/>
  <c r="X39" i="10"/>
  <c r="AD38" i="29"/>
  <c r="X39" i="29"/>
  <c r="AC165" i="5"/>
  <c r="F58" i="5"/>
  <c r="G61" i="5" s="1"/>
  <c r="X36" i="7"/>
  <c r="AD36" i="7" s="1"/>
  <c r="J38" i="5" s="1"/>
  <c r="AD35" i="7"/>
  <c r="Q38" i="5" s="1"/>
  <c r="X37" i="7"/>
  <c r="X39" i="26"/>
  <c r="AD38" i="26"/>
  <c r="X42" i="8"/>
  <c r="AD41" i="8"/>
  <c r="K39" i="5" s="1"/>
  <c r="H42" i="40"/>
  <c r="D133" i="31"/>
  <c r="G133" i="31" s="1"/>
  <c r="G112" i="31"/>
  <c r="X37" i="12"/>
  <c r="X36" i="12"/>
  <c r="AD36" i="12" s="1"/>
  <c r="J45" i="5" s="1"/>
  <c r="AD35" i="12"/>
  <c r="Q45" i="5" s="1"/>
  <c r="G96" i="31"/>
  <c r="G97" i="31" s="1"/>
  <c r="G103" i="31" s="1"/>
  <c r="D113" i="31"/>
  <c r="N125" i="36"/>
  <c r="O125" i="36" s="1"/>
  <c r="Q125" i="36" s="1"/>
  <c r="I4" i="41"/>
  <c r="N117" i="36"/>
  <c r="O117" i="36" s="1"/>
  <c r="N123" i="36"/>
  <c r="O123" i="36" s="1"/>
  <c r="Q123" i="36" s="1"/>
  <c r="I6" i="41"/>
  <c r="G23" i="40"/>
  <c r="G351" i="40" s="1"/>
  <c r="H128" i="36" s="1"/>
  <c r="G347" i="40"/>
  <c r="G348" i="40" s="1"/>
  <c r="N114" i="36" s="1"/>
  <c r="O114" i="36" s="1"/>
  <c r="Q114" i="36" s="1"/>
  <c r="H345" i="40"/>
  <c r="H335" i="40"/>
  <c r="G350" i="40"/>
  <c r="H345" i="34"/>
  <c r="G347" i="34"/>
  <c r="G350" i="34"/>
  <c r="H129" i="36" s="1"/>
  <c r="H62" i="34"/>
  <c r="H170" i="34"/>
  <c r="H23" i="35"/>
  <c r="G63" i="35"/>
  <c r="H23" i="34"/>
  <c r="H42" i="34"/>
  <c r="Q93" i="36"/>
  <c r="G78" i="40"/>
  <c r="G79" i="40" s="1"/>
  <c r="H76" i="40"/>
  <c r="H62" i="40"/>
  <c r="Q106" i="36"/>
  <c r="Q104" i="36"/>
  <c r="G32" i="37"/>
  <c r="G33" i="37" s="1"/>
  <c r="N90" i="36" s="1"/>
  <c r="O90" i="36" s="1"/>
  <c r="Q92" i="36"/>
  <c r="H298" i="37"/>
  <c r="I295" i="37"/>
  <c r="G295" i="37"/>
  <c r="H295" i="37" s="1"/>
  <c r="K252" i="37"/>
  <c r="H294" i="37" s="1"/>
  <c r="J252" i="37"/>
  <c r="J268" i="37"/>
  <c r="H2" i="37" s="1"/>
  <c r="Q91" i="36"/>
  <c r="G193" i="37"/>
  <c r="N96" i="36"/>
  <c r="O96" i="36" s="1"/>
  <c r="Q99" i="36"/>
  <c r="H42" i="37"/>
  <c r="Q78" i="36"/>
  <c r="G104" i="31" l="1"/>
  <c r="Y172" i="5"/>
  <c r="X41" i="11"/>
  <c r="AD40" i="11"/>
  <c r="L44" i="5" s="1"/>
  <c r="I352" i="34"/>
  <c r="D134" i="31"/>
  <c r="G134" i="31" s="1"/>
  <c r="I134" i="31" s="1"/>
  <c r="G113" i="31"/>
  <c r="G114" i="31" s="1"/>
  <c r="G120" i="31" s="1"/>
  <c r="AD37" i="7"/>
  <c r="K38" i="5" s="1"/>
  <c r="X38" i="7"/>
  <c r="K254" i="34"/>
  <c r="H351" i="34" s="1"/>
  <c r="X40" i="27"/>
  <c r="AD40" i="27" s="1"/>
  <c r="AD39" i="27"/>
  <c r="J254" i="34"/>
  <c r="X40" i="26"/>
  <c r="AD40" i="26" s="1"/>
  <c r="AD39" i="26"/>
  <c r="J270" i="34"/>
  <c r="H2" i="34" s="1"/>
  <c r="X39" i="28"/>
  <c r="AD38" i="28"/>
  <c r="X38" i="12"/>
  <c r="AD37" i="12"/>
  <c r="K45" i="5" s="1"/>
  <c r="AD38" i="25"/>
  <c r="X39" i="25"/>
  <c r="AD39" i="29"/>
  <c r="X40" i="29"/>
  <c r="AD40" i="29" s="1"/>
  <c r="D140" i="31"/>
  <c r="G140" i="31" s="1"/>
  <c r="G141" i="31" s="1"/>
  <c r="G244" i="31" s="1"/>
  <c r="F21" i="33" s="1"/>
  <c r="G139" i="31"/>
  <c r="X31" i="4"/>
  <c r="AD30" i="4"/>
  <c r="L37" i="5" s="1"/>
  <c r="D152" i="31"/>
  <c r="G152" i="31" s="1"/>
  <c r="D151" i="31"/>
  <c r="G151" i="31" s="1"/>
  <c r="G157" i="31" s="1"/>
  <c r="J146" i="31"/>
  <c r="D153" i="31"/>
  <c r="G153" i="31" s="1"/>
  <c r="G352" i="34"/>
  <c r="H352" i="34" s="1"/>
  <c r="H73" i="34" s="1"/>
  <c r="X40" i="10"/>
  <c r="AD39" i="10"/>
  <c r="K43" i="5" s="1"/>
  <c r="X43" i="8"/>
  <c r="AD42" i="8"/>
  <c r="L39" i="5" s="1"/>
  <c r="P8" i="41"/>
  <c r="J6" i="41"/>
  <c r="I7" i="41"/>
  <c r="P9" i="41" s="1"/>
  <c r="N6" i="41"/>
  <c r="G32" i="40"/>
  <c r="G33" i="40" s="1"/>
  <c r="N103" i="36" s="1"/>
  <c r="O103" i="36" s="1"/>
  <c r="Q103" i="36" s="1"/>
  <c r="I352" i="40"/>
  <c r="Q117" i="36"/>
  <c r="O126" i="36"/>
  <c r="Q126" i="36" s="1"/>
  <c r="H132" i="36"/>
  <c r="I133" i="36" s="1"/>
  <c r="J270" i="40"/>
  <c r="H2" i="40" s="1"/>
  <c r="Q135" i="36"/>
  <c r="J254" i="40"/>
  <c r="K254" i="40"/>
  <c r="H351" i="40" s="1"/>
  <c r="G352" i="40"/>
  <c r="H352" i="40" s="1"/>
  <c r="H73" i="40" s="1"/>
  <c r="G348" i="34"/>
  <c r="N87" i="36" s="1"/>
  <c r="O87" i="36" s="1"/>
  <c r="H355" i="34"/>
  <c r="H63" i="35"/>
  <c r="G646" i="35"/>
  <c r="H646" i="35" s="1"/>
  <c r="H3" i="34"/>
  <c r="O101" i="36"/>
  <c r="Q101" i="36" s="1"/>
  <c r="Q90" i="36"/>
  <c r="N105" i="36"/>
  <c r="O105" i="36" s="1"/>
  <c r="H23" i="37"/>
  <c r="Q96" i="36"/>
  <c r="H73" i="37"/>
  <c r="H3" i="37"/>
  <c r="G121" i="31" l="1"/>
  <c r="AD39" i="25"/>
  <c r="X40" i="25"/>
  <c r="AD40" i="25" s="1"/>
  <c r="H23" i="40"/>
  <c r="X39" i="12"/>
  <c r="AD38" i="12"/>
  <c r="L45" i="5" s="1"/>
  <c r="F55" i="5" s="1"/>
  <c r="G159" i="31"/>
  <c r="G160" i="31" s="1"/>
  <c r="G243" i="31"/>
  <c r="F20" i="33" s="1"/>
  <c r="F24" i="33" s="1"/>
  <c r="X40" i="28"/>
  <c r="AD40" i="28" s="1"/>
  <c r="AD39" i="28"/>
  <c r="X39" i="7"/>
  <c r="AD38" i="7"/>
  <c r="L38" i="5" s="1"/>
  <c r="X32" i="4"/>
  <c r="AD32" i="4" s="1"/>
  <c r="R37" i="5" s="1"/>
  <c r="T37" i="5" s="1"/>
  <c r="AD31" i="4"/>
  <c r="O115" i="36"/>
  <c r="X44" i="8"/>
  <c r="AD44" i="8" s="1"/>
  <c r="R39" i="5" s="1"/>
  <c r="T39" i="5" s="1"/>
  <c r="AD43" i="8"/>
  <c r="X42" i="11"/>
  <c r="AD42" i="11" s="1"/>
  <c r="R44" i="5" s="1"/>
  <c r="T44" i="5" s="1"/>
  <c r="AD41" i="11"/>
  <c r="G135" i="31"/>
  <c r="G143" i="31" s="1"/>
  <c r="G144" i="31" s="1"/>
  <c r="H355" i="40"/>
  <c r="X41" i="10"/>
  <c r="AD40" i="10"/>
  <c r="L43" i="5" s="1"/>
  <c r="H3" i="40"/>
  <c r="Q87" i="36"/>
  <c r="O88" i="36"/>
  <c r="Q88" i="36" s="1"/>
  <c r="Q105" i="36"/>
  <c r="Q115" i="36"/>
  <c r="G242" i="31" l="1"/>
  <c r="G245" i="31" s="1"/>
  <c r="X40" i="12"/>
  <c r="AD40" i="12" s="1"/>
  <c r="R45" i="5" s="1"/>
  <c r="T45" i="5" s="1"/>
  <c r="AD39" i="12"/>
  <c r="I240" i="31"/>
  <c r="I241" i="31" s="1"/>
  <c r="X40" i="7"/>
  <c r="AD40" i="7" s="1"/>
  <c r="R38" i="5" s="1"/>
  <c r="T38" i="5" s="1"/>
  <c r="AD39" i="7"/>
  <c r="X42" i="10"/>
  <c r="AD42" i="10" s="1"/>
  <c r="R43" i="5" s="1"/>
  <c r="T43" i="5" s="1"/>
  <c r="AD41" i="10"/>
  <c r="O128" i="36"/>
  <c r="S49" i="5" l="1"/>
  <c r="I243" i="31"/>
  <c r="B7" i="31"/>
  <c r="K25" i="36"/>
  <c r="K51" i="36"/>
  <c r="K48" i="36"/>
  <c r="K49" i="36"/>
  <c r="K36" i="36"/>
  <c r="K56" i="36"/>
  <c r="K31" i="36"/>
  <c r="K38" i="36"/>
  <c r="K41" i="36"/>
  <c r="K37" i="36"/>
  <c r="K64" i="36"/>
  <c r="K28" i="36"/>
  <c r="K24" i="36"/>
  <c r="K35" i="36"/>
  <c r="K54" i="36"/>
  <c r="K34" i="36"/>
  <c r="K50" i="36"/>
  <c r="K22" i="36"/>
  <c r="K52" i="36"/>
  <c r="K63" i="36"/>
  <c r="K40" i="36"/>
  <c r="K44" i="36"/>
  <c r="K29" i="36"/>
  <c r="K61" i="36"/>
  <c r="K65" i="36"/>
  <c r="K55" i="36"/>
  <c r="K26" i="36"/>
  <c r="K67" i="36"/>
  <c r="K57" i="36"/>
  <c r="K42" i="36"/>
  <c r="K47" i="36"/>
  <c r="K69" i="36"/>
  <c r="K53" i="36"/>
  <c r="K68" i="36"/>
  <c r="K62" i="36"/>
  <c r="K43" i="36"/>
  <c r="K66" i="36"/>
  <c r="K58" i="36"/>
  <c r="O136" i="36"/>
  <c r="K39" i="36"/>
  <c r="K23" i="36"/>
  <c r="K20" i="36"/>
  <c r="K30" i="36"/>
  <c r="K27" i="36"/>
  <c r="K21" i="36"/>
  <c r="Y37" i="5" l="1"/>
  <c r="N20" i="5" s="1"/>
  <c r="Y39" i="5"/>
  <c r="N22" i="5" s="1"/>
  <c r="Y38" i="5"/>
  <c r="N21" i="5" s="1"/>
  <c r="Y176" i="5"/>
  <c r="Y43" i="5"/>
  <c r="N26" i="5" s="1"/>
  <c r="Y46" i="5"/>
  <c r="N29" i="5" s="1"/>
  <c r="Y45" i="5"/>
  <c r="N28" i="5" s="1"/>
  <c r="Y44" i="5"/>
  <c r="N27" i="5" s="1"/>
  <c r="S52" i="5"/>
  <c r="AC169" i="5"/>
  <c r="K70" i="36"/>
  <c r="K45" i="36"/>
  <c r="K59" i="36"/>
  <c r="K32" i="36"/>
  <c r="S137" i="36"/>
  <c r="Q10" i="36"/>
  <c r="G13" i="36"/>
  <c r="K71" i="36" l="1"/>
</calcChain>
</file>

<file path=xl/sharedStrings.xml><?xml version="1.0" encoding="utf-8"?>
<sst xmlns="http://schemas.openxmlformats.org/spreadsheetml/2006/main" count="8522" uniqueCount="1738">
  <si>
    <t>DETAILS</t>
  </si>
  <si>
    <t>PROJECT TITLE</t>
  </si>
  <si>
    <t>ONE STOREY RESIDENTIAL BUILDING</t>
  </si>
  <si>
    <t>LOCATION</t>
  </si>
  <si>
    <t>BARANGAY BENITEZ, BANGA, SOUTH COTABATO</t>
  </si>
  <si>
    <t>DURATION</t>
  </si>
  <si>
    <t>CONTRACTOR</t>
  </si>
  <si>
    <t>GEMMA CONSTRUCTION</t>
  </si>
  <si>
    <t>PROJECT SOURCE</t>
  </si>
  <si>
    <t>SLF 2018</t>
  </si>
  <si>
    <t>C1</t>
  </si>
  <si>
    <t>C2</t>
  </si>
  <si>
    <t>C3</t>
  </si>
  <si>
    <t>C4</t>
  </si>
  <si>
    <t>C5</t>
  </si>
  <si>
    <t>Hbc=</t>
  </si>
  <si>
    <t>m</t>
  </si>
  <si>
    <t>L=</t>
  </si>
  <si>
    <t>W=</t>
  </si>
  <si>
    <t>H=</t>
  </si>
  <si>
    <t xml:space="preserve">NO. OF PCS = </t>
  </si>
  <si>
    <t>pcs</t>
  </si>
  <si>
    <t>V=</t>
  </si>
  <si>
    <t>cu.m.</t>
  </si>
  <si>
    <t xml:space="preserve">BAR SIZE = </t>
  </si>
  <si>
    <t>mm</t>
  </si>
  <si>
    <t xml:space="preserve">NO.OF BAR </t>
  </si>
  <si>
    <t xml:space="preserve">PER ONE </t>
  </si>
  <si>
    <t>COLUMN</t>
  </si>
  <si>
    <t>lateral ties</t>
  </si>
  <si>
    <t>n1=</t>
  </si>
  <si>
    <t>s1=</t>
  </si>
  <si>
    <t>n2=</t>
  </si>
  <si>
    <t>s2=</t>
  </si>
  <si>
    <t>n3=</t>
  </si>
  <si>
    <t>s3=</t>
  </si>
  <si>
    <t>n4=</t>
  </si>
  <si>
    <t>s4=</t>
  </si>
  <si>
    <t>s5=</t>
  </si>
  <si>
    <t>F1</t>
  </si>
  <si>
    <t>F2</t>
  </si>
  <si>
    <t>F3</t>
  </si>
  <si>
    <t>F4</t>
  </si>
  <si>
    <t>F5</t>
  </si>
  <si>
    <t>Hb=</t>
  </si>
  <si>
    <t>T=</t>
  </si>
  <si>
    <t>BAR SIZE=</t>
  </si>
  <si>
    <t>FOOTING L</t>
  </si>
  <si>
    <t>FOOTING</t>
  </si>
  <si>
    <t>FOOTING W</t>
  </si>
  <si>
    <t>FOOTING 2</t>
  </si>
  <si>
    <t>TIE BEAM 1</t>
  </si>
  <si>
    <t>TIE BEAM 2</t>
  </si>
  <si>
    <t>TIE BEAM 3</t>
  </si>
  <si>
    <t>TIE BEAM 4</t>
  </si>
  <si>
    <t>Total P.=</t>
  </si>
  <si>
    <t>Height from N.G.L to TB(top)</t>
  </si>
  <si>
    <t>HORIZONTAL BARS</t>
  </si>
  <si>
    <t xml:space="preserve">h.b. Pcs, = </t>
  </si>
  <si>
    <t xml:space="preserve">SIZE of bars = </t>
  </si>
  <si>
    <t>CUTTING BARS</t>
  </si>
  <si>
    <t xml:space="preserve">Length per end support bar  = </t>
  </si>
  <si>
    <t>cutt. Bars pcs. Support</t>
  </si>
  <si>
    <t xml:space="preserve">    Length per mid span bar  = </t>
  </si>
  <si>
    <t xml:space="preserve">cutt. Bars pcs. Mid </t>
  </si>
  <si>
    <t>STIRR UPS</t>
  </si>
  <si>
    <t>BEAM 1</t>
  </si>
  <si>
    <t>BEAM 2</t>
  </si>
  <si>
    <t>BEAM 3</t>
  </si>
  <si>
    <t>BEAM 4</t>
  </si>
  <si>
    <t>WALL FOOTING</t>
  </si>
  <si>
    <t>HORIZONTAL BAR</t>
  </si>
  <si>
    <t>TIES</t>
  </si>
  <si>
    <t xml:space="preserve">bar size = </t>
  </si>
  <si>
    <t>no. Of horizontal bar=</t>
  </si>
  <si>
    <t>spacing</t>
  </si>
  <si>
    <t>RAMP</t>
  </si>
  <si>
    <t xml:space="preserve">AREA = </t>
  </si>
  <si>
    <t>THICKNESS=</t>
  </si>
  <si>
    <t>TOTAL LENGHT</t>
  </si>
  <si>
    <t>FLOORING</t>
  </si>
  <si>
    <t>spacing =</t>
  </si>
  <si>
    <t>SEPTIC VAULT</t>
  </si>
  <si>
    <t>Hsp=</t>
  </si>
  <si>
    <t xml:space="preserve">BAR SIZE sp = </t>
  </si>
  <si>
    <t>Wsp=</t>
  </si>
  <si>
    <t>septic tank rsb total =</t>
  </si>
  <si>
    <t>Lsp=</t>
  </si>
  <si>
    <t>CB1</t>
  </si>
  <si>
    <t>CB2</t>
  </si>
  <si>
    <t>CB3</t>
  </si>
  <si>
    <t>Hcb=</t>
  </si>
  <si>
    <t>Wcb=</t>
  </si>
  <si>
    <t>Lcb=</t>
  </si>
  <si>
    <t>bar size =</t>
  </si>
  <si>
    <t>total length =</t>
  </si>
  <si>
    <t>OTHER CONCRETE BELOW NATURAL GROUND</t>
  </si>
  <si>
    <t>Ocb=</t>
  </si>
  <si>
    <t>MASONRY WORKS</t>
  </si>
  <si>
    <t>CHB</t>
  </si>
  <si>
    <t>Pwall=</t>
  </si>
  <si>
    <t xml:space="preserve">Pwallb= </t>
  </si>
  <si>
    <t xml:space="preserve">Wchb = </t>
  </si>
  <si>
    <t>Hwallb =</t>
  </si>
  <si>
    <t>(n.g.l. Top wf)</t>
  </si>
  <si>
    <t xml:space="preserve">Total Perimeter above N.G.L. = </t>
  </si>
  <si>
    <t>Average Height from ceiling to N.G.l.=</t>
  </si>
  <si>
    <t>HEIGHT</t>
  </si>
  <si>
    <t>WIDTH</t>
  </si>
  <si>
    <t>PCS.</t>
  </si>
  <si>
    <t>AREA</t>
  </si>
  <si>
    <t>W1</t>
  </si>
  <si>
    <t>sq.m.</t>
  </si>
  <si>
    <t>W2</t>
  </si>
  <si>
    <t>W3</t>
  </si>
  <si>
    <t>W4</t>
  </si>
  <si>
    <t>W5</t>
  </si>
  <si>
    <t>W6</t>
  </si>
  <si>
    <t>D1</t>
  </si>
  <si>
    <t>D2</t>
  </si>
  <si>
    <t>D3</t>
  </si>
  <si>
    <t>D4</t>
  </si>
  <si>
    <t>D5</t>
  </si>
  <si>
    <t>D6</t>
  </si>
  <si>
    <t>D7</t>
  </si>
  <si>
    <t>ROOFING  WORKS</t>
  </si>
  <si>
    <t>PERIMETER FOR GUTTER</t>
  </si>
  <si>
    <t xml:space="preserve">                  CEE PURLINS =</t>
  </si>
  <si>
    <t xml:space="preserve">     sagrod =</t>
  </si>
  <si>
    <t>CARPENTRY WORKS</t>
  </si>
  <si>
    <t>spacing=</t>
  </si>
  <si>
    <t>FURRING =</t>
  </si>
  <si>
    <t>STEEL WORKS</t>
  </si>
  <si>
    <t>TOP AND BOTTOM BARS</t>
  </si>
  <si>
    <t>MEMBERS</t>
  </si>
  <si>
    <t>GIRT 1</t>
  </si>
  <si>
    <t>TRUSS 1</t>
  </si>
  <si>
    <t>GIRT 2</t>
  </si>
  <si>
    <t>TRUSS 2</t>
  </si>
  <si>
    <t>GIRT 3</t>
  </si>
  <si>
    <t>TRUSS 3</t>
  </si>
  <si>
    <t>GIRT 4</t>
  </si>
  <si>
    <t>TRUSS 4</t>
  </si>
  <si>
    <t>GIRT 5</t>
  </si>
  <si>
    <t>TRUSS 5</t>
  </si>
  <si>
    <t>GIRT 6</t>
  </si>
  <si>
    <t>TRUSS  6</t>
  </si>
  <si>
    <t>GIRT 7</t>
  </si>
  <si>
    <t>TRUSS 7</t>
  </si>
  <si>
    <t>GIRT 8</t>
  </si>
  <si>
    <t>TRUSS 8</t>
  </si>
  <si>
    <t>GIRT 9</t>
  </si>
  <si>
    <t>TRUSS 9</t>
  </si>
  <si>
    <t>steel plates =</t>
  </si>
  <si>
    <t>TILE WORKS</t>
  </si>
  <si>
    <t>AREA=</t>
  </si>
  <si>
    <t>DEMOLITION WORKS</t>
  </si>
  <si>
    <t>PAINTING WORKS</t>
  </si>
  <si>
    <t>OTHER ITEMS</t>
  </si>
  <si>
    <t>ELECTRICAL</t>
  </si>
  <si>
    <t>LOT</t>
  </si>
  <si>
    <t>PLUMBING</t>
  </si>
  <si>
    <t>SAFETY</t>
  </si>
  <si>
    <t>Lumpsum</t>
  </si>
  <si>
    <t>BILLBOARDS</t>
  </si>
  <si>
    <t>lot</t>
  </si>
  <si>
    <t>BUNKHOUSE</t>
  </si>
  <si>
    <t>FORMWORKS</t>
  </si>
  <si>
    <t>DOORS,WINDOW</t>
  </si>
  <si>
    <t>units</t>
  </si>
  <si>
    <t>MOBIL/DEMO</t>
  </si>
  <si>
    <t>days</t>
  </si>
  <si>
    <t>EQUIPMENTS</t>
  </si>
  <si>
    <t>QUANTITY</t>
  </si>
  <si>
    <t>COST</t>
  </si>
  <si>
    <t>Plate Compactor</t>
  </si>
  <si>
    <t>Concrete Mixer One Bagger</t>
  </si>
  <si>
    <t>Conrete Vibrator</t>
  </si>
  <si>
    <t>Electric Bar Cutter and Bar bender</t>
  </si>
  <si>
    <t>Welding Machine</t>
  </si>
  <si>
    <t>Grinder</t>
  </si>
  <si>
    <t>Handrill</t>
  </si>
  <si>
    <t>Cut Off Wheel Machine</t>
  </si>
  <si>
    <t>ESTIMATES MATERIALS</t>
  </si>
  <si>
    <t>STRUCTURAL EXCAVATION</t>
  </si>
  <si>
    <t>Vse = (VOLUME OF CF + TB) +SP + CB</t>
  </si>
  <si>
    <t xml:space="preserve">Vse = </t>
  </si>
  <si>
    <t>CU.M.</t>
  </si>
  <si>
    <t>C1F1</t>
  </si>
  <si>
    <t>C2F2</t>
  </si>
  <si>
    <t>C3F3</t>
  </si>
  <si>
    <t>C4F4</t>
  </si>
  <si>
    <t>L+.25=</t>
  </si>
  <si>
    <t>W+.25=</t>
  </si>
  <si>
    <t>NO.OF PCS=</t>
  </si>
  <si>
    <t>PCS</t>
  </si>
  <si>
    <t xml:space="preserve">  SP = Hsp x Wsp x Lsp</t>
  </si>
  <si>
    <t xml:space="preserve">SP = </t>
  </si>
  <si>
    <t xml:space="preserve">Hsp = </t>
  </si>
  <si>
    <t xml:space="preserve">Wsp+.25 = </t>
  </si>
  <si>
    <t xml:space="preserve">Lsp+.25 = </t>
  </si>
  <si>
    <t xml:space="preserve">  CB = Hcb x Wcb x Lcb</t>
  </si>
  <si>
    <t xml:space="preserve">CB = </t>
  </si>
  <si>
    <t xml:space="preserve">Hcb= </t>
  </si>
  <si>
    <t xml:space="preserve">Wcb+.25 = </t>
  </si>
  <si>
    <t xml:space="preserve">Lcb+.25 = </t>
  </si>
  <si>
    <t>EMBANKMENT</t>
  </si>
  <si>
    <t>Ve = Vse - Vcb - Voe + Veb</t>
  </si>
  <si>
    <t xml:space="preserve">Ve = </t>
  </si>
  <si>
    <t>Vcb = CFb + Ocb + Mb</t>
  </si>
  <si>
    <t xml:space="preserve">Vcb = </t>
  </si>
  <si>
    <t>CFb =</t>
  </si>
  <si>
    <t>CFb</t>
  </si>
  <si>
    <t xml:space="preserve">L = </t>
  </si>
  <si>
    <t xml:space="preserve">W = </t>
  </si>
  <si>
    <t xml:space="preserve">Hb = </t>
  </si>
  <si>
    <t xml:space="preserve">T = </t>
  </si>
  <si>
    <t>Ocb =</t>
  </si>
  <si>
    <t xml:space="preserve">Mb = </t>
  </si>
  <si>
    <t>Voe = WFb + TB</t>
  </si>
  <si>
    <t xml:space="preserve">Voe = </t>
  </si>
  <si>
    <t>WFb = WFt x TPWF x WWF</t>
  </si>
  <si>
    <t xml:space="preserve">WFb = </t>
  </si>
  <si>
    <t xml:space="preserve">TB = TBh x TBTP x TBW </t>
  </si>
  <si>
    <t xml:space="preserve">TB= </t>
  </si>
  <si>
    <t>Veb = Vr + Vf</t>
  </si>
  <si>
    <t xml:space="preserve">Veb = </t>
  </si>
  <si>
    <t>Vr = AR x RH</t>
  </si>
  <si>
    <t xml:space="preserve">Vr = </t>
  </si>
  <si>
    <t>Vf = AF x FHN</t>
  </si>
  <si>
    <t xml:space="preserve">Vf = </t>
  </si>
  <si>
    <t>sq.m</t>
  </si>
  <si>
    <t>STRUCTURAL CONCRETE</t>
  </si>
  <si>
    <t xml:space="preserve">VOLUME = </t>
  </si>
  <si>
    <t>REINFORCED STEEL BAR</t>
  </si>
  <si>
    <t>RSB</t>
  </si>
  <si>
    <t>KGS</t>
  </si>
  <si>
    <t>meter length</t>
  </si>
  <si>
    <t>kgs</t>
  </si>
  <si>
    <t>32mm</t>
  </si>
  <si>
    <t>25mm</t>
  </si>
  <si>
    <t>16mm</t>
  </si>
  <si>
    <t>12mm</t>
  </si>
  <si>
    <t>10mm</t>
  </si>
  <si>
    <t>FOOTING MATTING</t>
  </si>
  <si>
    <t>MATTING</t>
  </si>
  <si>
    <t>size of bars=</t>
  </si>
  <si>
    <t>hook=</t>
  </si>
  <si>
    <t>length per one bar matting  L</t>
  </si>
  <si>
    <t>length per one bar matting</t>
  </si>
  <si>
    <t>no.of pcs. Per one footing</t>
  </si>
  <si>
    <t>width per one bar matting  W</t>
  </si>
  <si>
    <t>width per one bar matting</t>
  </si>
  <si>
    <t xml:space="preserve">TOTAL LENGTH = </t>
  </si>
  <si>
    <t>VERTICAL BAR</t>
  </si>
  <si>
    <t xml:space="preserve">size of bars = </t>
  </si>
  <si>
    <t xml:space="preserve">bend = </t>
  </si>
  <si>
    <t xml:space="preserve">dowel = </t>
  </si>
  <si>
    <t xml:space="preserve">Length per one bar v.b. = </t>
  </si>
  <si>
    <t>no.of pcs. Per one column</t>
  </si>
  <si>
    <t>LATERAL TIES</t>
  </si>
  <si>
    <t xml:space="preserve">Length per one bar v.b. L.= </t>
  </si>
  <si>
    <t xml:space="preserve">s1= </t>
  </si>
  <si>
    <t xml:space="preserve">s2= </t>
  </si>
  <si>
    <t xml:space="preserve">s3= </t>
  </si>
  <si>
    <t xml:space="preserve">s4= </t>
  </si>
  <si>
    <t>n5=</t>
  </si>
  <si>
    <t xml:space="preserve">s5= </t>
  </si>
  <si>
    <t xml:space="preserve">perimeter per ties = </t>
  </si>
  <si>
    <t xml:space="preserve">size of bar = </t>
  </si>
  <si>
    <t>bend =</t>
  </si>
  <si>
    <t xml:space="preserve">    Length per one bar h.b. = </t>
  </si>
  <si>
    <t xml:space="preserve">no. Of pcs tie beam = </t>
  </si>
  <si>
    <t xml:space="preserve">                   Total Perimeter = </t>
  </si>
  <si>
    <t xml:space="preserve">    Length per end support bar  = </t>
  </si>
  <si>
    <t>STIRRUPS</t>
  </si>
  <si>
    <t xml:space="preserve">Length per one bar H.B. L.= </t>
  </si>
  <si>
    <t xml:space="preserve"> BEAM 4</t>
  </si>
  <si>
    <t xml:space="preserve">no. Of pcs beam = </t>
  </si>
  <si>
    <t>FLOORING/SLAB</t>
  </si>
  <si>
    <t xml:space="preserve">Bar size = </t>
  </si>
  <si>
    <t>perimter ties =</t>
  </si>
  <si>
    <t xml:space="preserve">TOTAL SQUARE AREA = </t>
  </si>
  <si>
    <t>Mb=</t>
  </si>
  <si>
    <t xml:space="preserve">BAR SIZE sp= </t>
  </si>
  <si>
    <t xml:space="preserve">Mab = </t>
  </si>
  <si>
    <t>Wt =</t>
  </si>
  <si>
    <t>CATCH BASIN 1</t>
  </si>
  <si>
    <t>CATCH BASIN 2</t>
  </si>
  <si>
    <t>CATCH BASIN 3</t>
  </si>
  <si>
    <t xml:space="preserve">Dt = </t>
  </si>
  <si>
    <t>TOTAL LENGTH =</t>
  </si>
  <si>
    <t xml:space="preserve">CEE PURLINS = </t>
  </si>
  <si>
    <t>sagrod =</t>
  </si>
  <si>
    <t xml:space="preserve">furring = </t>
  </si>
  <si>
    <t xml:space="preserve"> </t>
  </si>
  <si>
    <t>SCOPE OF WORK</t>
  </si>
  <si>
    <t>UNITS</t>
  </si>
  <si>
    <t>REINFORCE STEEL BAR</t>
  </si>
  <si>
    <t>ln.m.</t>
  </si>
  <si>
    <t>TOP BARS</t>
  </si>
  <si>
    <t xml:space="preserve"> TRUSS 4</t>
  </si>
  <si>
    <t>TRUSS 6</t>
  </si>
  <si>
    <t>ROOFING WORKS</t>
  </si>
  <si>
    <t>PLUMBING WORKS</t>
  </si>
  <si>
    <t>ELETRICAL WORKS</t>
  </si>
  <si>
    <t>circuit</t>
  </si>
  <si>
    <t>lumpsum</t>
  </si>
  <si>
    <t>DOORS AND WINDOWS</t>
  </si>
  <si>
    <t>MOBILIZATION/DEMOLIZATION</t>
  </si>
  <si>
    <t>SAFETY PROGRAM</t>
  </si>
  <si>
    <t>DEMOLITON</t>
  </si>
  <si>
    <t>Scope of Works</t>
  </si>
  <si>
    <t>Item Discription</t>
  </si>
  <si>
    <t>Unit</t>
  </si>
  <si>
    <t>hour rate</t>
  </si>
  <si>
    <t>CANVASS OF CONSTRUCTION MATERIALS</t>
  </si>
  <si>
    <t>HAPPY LIVING</t>
  </si>
  <si>
    <t>CSC</t>
  </si>
  <si>
    <t>CHUI KIM Int.</t>
  </si>
  <si>
    <t>CITI HARWARE</t>
  </si>
  <si>
    <t>HOME SOLUTION</t>
  </si>
  <si>
    <t>SPRINTER</t>
  </si>
  <si>
    <t>BUILT-N</t>
  </si>
  <si>
    <t>DYNAMIC</t>
  </si>
  <si>
    <t>ADOPTED PRICE</t>
  </si>
  <si>
    <t>BACKHOE</t>
  </si>
  <si>
    <t>DUMPTRUCK</t>
  </si>
  <si>
    <t xml:space="preserve">MOTORIZED ROAD GRADER </t>
  </si>
  <si>
    <t>WATER TRUCK</t>
  </si>
  <si>
    <t>VIBRATORY ROLLER</t>
  </si>
  <si>
    <t>Backfill</t>
  </si>
  <si>
    <t>cu.m</t>
  </si>
  <si>
    <t>Common Borrow (W/ 25% Shringkage factor)</t>
  </si>
  <si>
    <t>Embankment (Heavy Mix)</t>
  </si>
  <si>
    <t>Cement, Portland</t>
  </si>
  <si>
    <t>bags</t>
  </si>
  <si>
    <t>Cement Sahara</t>
  </si>
  <si>
    <t>pcks</t>
  </si>
  <si>
    <t>Cement, Wallright</t>
  </si>
  <si>
    <r>
      <rPr>
        <sz val="12"/>
        <color theme="1"/>
        <rFont val="Calibri"/>
        <family val="2"/>
        <scheme val="minor"/>
      </rPr>
      <t>Gravel, Passing 3/4"</t>
    </r>
    <r>
      <rPr>
        <sz val="12"/>
        <color indexed="8"/>
        <rFont val="Calibri"/>
        <family val="2"/>
      </rPr>
      <t>ɸ (round)</t>
    </r>
  </si>
  <si>
    <r>
      <rPr>
        <sz val="12"/>
        <color theme="1"/>
        <rFont val="Calibri"/>
        <family val="2"/>
        <scheme val="minor"/>
      </rPr>
      <t>Gravel, Passing 3/4"</t>
    </r>
    <r>
      <rPr>
        <sz val="12"/>
        <color indexed="8"/>
        <rFont val="Calibri"/>
        <family val="2"/>
      </rPr>
      <t>ɸ (crash)</t>
    </r>
  </si>
  <si>
    <r>
      <rPr>
        <sz val="12"/>
        <color theme="1"/>
        <rFont val="Calibri"/>
        <family val="2"/>
        <scheme val="minor"/>
      </rPr>
      <t>Gravel, Passing 1"</t>
    </r>
    <r>
      <rPr>
        <sz val="12"/>
        <color indexed="8"/>
        <rFont val="Calibri"/>
        <family val="2"/>
      </rPr>
      <t>ɸ (round)</t>
    </r>
  </si>
  <si>
    <r>
      <rPr>
        <sz val="12"/>
        <color theme="1"/>
        <rFont val="Calibri"/>
        <family val="2"/>
        <scheme val="minor"/>
      </rPr>
      <t>Gravel, Passing 1"</t>
    </r>
    <r>
      <rPr>
        <sz val="12"/>
        <color indexed="8"/>
        <rFont val="Calibri"/>
        <family val="2"/>
      </rPr>
      <t>ɸ (crash)</t>
    </r>
  </si>
  <si>
    <r>
      <rPr>
        <sz val="12"/>
        <color theme="1"/>
        <rFont val="Calibri"/>
        <family val="2"/>
        <scheme val="minor"/>
      </rPr>
      <t>Gravel, Passing 2"</t>
    </r>
    <r>
      <rPr>
        <sz val="12"/>
        <color indexed="8"/>
        <rFont val="Calibri"/>
        <family val="2"/>
      </rPr>
      <t>ɸ (round)</t>
    </r>
  </si>
  <si>
    <r>
      <rPr>
        <sz val="12"/>
        <color theme="1"/>
        <rFont val="Calibri"/>
        <family val="2"/>
        <scheme val="minor"/>
      </rPr>
      <t>Gravel, Passing 2"</t>
    </r>
    <r>
      <rPr>
        <sz val="12"/>
        <color indexed="8"/>
        <rFont val="Calibri"/>
        <family val="2"/>
      </rPr>
      <t>ɸ (crash)</t>
    </r>
  </si>
  <si>
    <t>W. Sand</t>
  </si>
  <si>
    <t>Screened Sand</t>
  </si>
  <si>
    <r>
      <rPr>
        <sz val="12"/>
        <color theme="1"/>
        <rFont val="Calibri"/>
        <family val="2"/>
        <scheme val="minor"/>
      </rPr>
      <t>Cutting Disc 4"</t>
    </r>
    <r>
      <rPr>
        <sz val="12"/>
        <color indexed="8"/>
        <rFont val="Calibri"/>
        <family val="2"/>
      </rPr>
      <t>ɸ, Steel</t>
    </r>
  </si>
  <si>
    <r>
      <rPr>
        <sz val="12"/>
        <color theme="1"/>
        <rFont val="Calibri"/>
        <family val="2"/>
        <scheme val="minor"/>
      </rPr>
      <t>Def. Bar 25mm</t>
    </r>
    <r>
      <rPr>
        <sz val="12"/>
        <color theme="1"/>
        <rFont val="Calibri"/>
        <family val="2"/>
      </rPr>
      <t>ф</t>
    </r>
  </si>
  <si>
    <t>length</t>
  </si>
  <si>
    <r>
      <rPr>
        <sz val="12"/>
        <color theme="1"/>
        <rFont val="Calibri"/>
        <family val="2"/>
        <scheme val="minor"/>
      </rPr>
      <t>Def. Bar 20mm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</si>
  <si>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Bars, 10mm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</si>
  <si>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Bars, 12mm</t>
    </r>
    <r>
      <rPr>
        <sz val="12"/>
        <color indexed="8"/>
        <rFont val="Calibri"/>
        <family val="2"/>
      </rPr>
      <t>ɸ</t>
    </r>
  </si>
  <si>
    <r>
      <rPr>
        <sz val="12"/>
        <color theme="1"/>
        <rFont val="Calibri"/>
        <family val="2"/>
        <scheme val="minor"/>
      </rPr>
      <t>Def. Bars, 16mm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</si>
  <si>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 6mm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</si>
  <si>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Bars, 8mm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</si>
  <si>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Def. Bar, 9mm</t>
    </r>
    <r>
      <rPr>
        <sz val="12"/>
        <color indexed="8"/>
        <rFont val="Calibri"/>
        <family val="2"/>
      </rPr>
      <t>ф</t>
    </r>
  </si>
  <si>
    <t>Hacksaw Blade</t>
  </si>
  <si>
    <t>Tie Wire #10</t>
  </si>
  <si>
    <t>Tie Wire #16</t>
  </si>
  <si>
    <t>Tie Wire #18</t>
  </si>
  <si>
    <t>Masonry Works</t>
  </si>
  <si>
    <r>
      <rPr>
        <sz val="12"/>
        <color theme="1"/>
        <rFont val="Calibri"/>
        <family val="2"/>
        <scheme val="minor"/>
      </rPr>
      <t>Boulders 4"</t>
    </r>
    <r>
      <rPr>
        <sz val="12"/>
        <color indexed="8"/>
        <rFont val="Calibri"/>
        <family val="2"/>
      </rPr>
      <t>ɸ-8"ɸ</t>
    </r>
  </si>
  <si>
    <t>CHB 4"x8"x16"</t>
  </si>
  <si>
    <t>CHB 6"X8"X6</t>
  </si>
  <si>
    <t>Concrete Sealant (Concrete Bond)</t>
  </si>
  <si>
    <t>gals</t>
  </si>
  <si>
    <t>Cut Off Wheel Blade, Concrete</t>
  </si>
  <si>
    <t>Cut Off Wheel Blade 14"</t>
  </si>
  <si>
    <t>Empty Container</t>
  </si>
  <si>
    <t>Empty Plastic Sack/Bag</t>
  </si>
  <si>
    <t>Grinder Disc</t>
  </si>
  <si>
    <t>pc</t>
  </si>
  <si>
    <t>Hard ware cloth 1/8"</t>
  </si>
  <si>
    <t>Hardiplex</t>
  </si>
  <si>
    <t>Leveling Hose</t>
  </si>
  <si>
    <t>Nylon String</t>
  </si>
  <si>
    <t>rolls</t>
  </si>
  <si>
    <t>Nylon Strinf #18</t>
  </si>
  <si>
    <r>
      <rPr>
        <sz val="12"/>
        <color theme="1"/>
        <rFont val="Calibri"/>
        <family val="2"/>
        <scheme val="minor"/>
      </rPr>
      <t xml:space="preserve">Plain Bars 10mm 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</si>
  <si>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 xml:space="preserve">Plain Bar 12mm 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</si>
  <si>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Plain Bars 16mm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</si>
  <si>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Plain Bars 20mm</t>
    </r>
    <r>
      <rPr>
        <sz val="12"/>
        <color theme="1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</si>
  <si>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Plain Bar 25mm</t>
    </r>
    <r>
      <rPr>
        <sz val="12"/>
        <color theme="1"/>
        <rFont val="Calibri"/>
        <family val="2"/>
      </rPr>
      <t>ф</t>
    </r>
  </si>
  <si>
    <t xml:space="preserve">Rubber Pail </t>
  </si>
  <si>
    <t>River Mixed</t>
  </si>
  <si>
    <t>Screen Ga. 16x1x6m</t>
  </si>
  <si>
    <t>Tie Box</t>
  </si>
  <si>
    <t>rolls/kg</t>
  </si>
  <si>
    <r>
      <rPr>
        <sz val="12"/>
        <color theme="1"/>
        <rFont val="Calibri"/>
        <family val="2"/>
        <scheme val="minor"/>
      </rPr>
      <t>W. Selected Gravel 1"</t>
    </r>
    <r>
      <rPr>
        <sz val="12"/>
        <color indexed="8"/>
        <rFont val="Calibri"/>
        <family val="2"/>
      </rPr>
      <t>ɸ</t>
    </r>
  </si>
  <si>
    <t>W.Gravel (Mixed)</t>
  </si>
  <si>
    <t>SEPTIC VAULT AND PLUMBING WORKS</t>
  </si>
  <si>
    <t>Adhesive (Tile Adhisive)</t>
  </si>
  <si>
    <r>
      <rPr>
        <sz val="12"/>
        <color theme="1"/>
        <rFont val="Calibri"/>
        <family val="2"/>
        <scheme val="minor"/>
      </rPr>
      <t>Angle Valve 1/2"</t>
    </r>
    <r>
      <rPr>
        <sz val="12"/>
        <color indexed="8"/>
        <rFont val="Calibri"/>
        <family val="2"/>
      </rPr>
      <t>ɸ</t>
    </r>
  </si>
  <si>
    <t>Angle Valve 1/2"ɸ (Single)</t>
  </si>
  <si>
    <t>Bushing Red 2x1 1/4"</t>
  </si>
  <si>
    <t>Ceramic Lavatory w/ Pedestal</t>
  </si>
  <si>
    <t>sets</t>
  </si>
  <si>
    <t>Ceramic Tiles 0.4mx0.4 (Glazed)</t>
  </si>
  <si>
    <t>Ceremic Tiles 0.4mx0.4 (unglazed)</t>
  </si>
  <si>
    <r>
      <rPr>
        <sz val="12"/>
        <color theme="1"/>
        <rFont val="Calibri"/>
        <family val="2"/>
        <scheme val="minor"/>
      </rPr>
      <t>Check Valve 1 1/4"</t>
    </r>
    <r>
      <rPr>
        <sz val="12"/>
        <color indexed="8"/>
        <rFont val="Calibri"/>
        <family val="2"/>
      </rPr>
      <t>ф Clayson</t>
    </r>
  </si>
  <si>
    <r>
      <rPr>
        <sz val="12"/>
        <color theme="1"/>
        <rFont val="Calibri"/>
        <family val="2"/>
        <scheme val="minor"/>
      </rPr>
      <t>Coupling France 2"</t>
    </r>
    <r>
      <rPr>
        <sz val="12"/>
        <color indexed="8"/>
        <rFont val="Calibri"/>
        <family val="2"/>
      </rPr>
      <t>ф</t>
    </r>
  </si>
  <si>
    <t>CR Cover</t>
  </si>
  <si>
    <t>set</t>
  </si>
  <si>
    <t>Diamond Cutter Disc</t>
  </si>
  <si>
    <t>Elbow 1 1/4"</t>
  </si>
  <si>
    <t>Elbow 1/2"</t>
  </si>
  <si>
    <t>Elbow 1/2" (Half Threaded)</t>
  </si>
  <si>
    <t>Elbow Red 2"x1x1/4</t>
  </si>
  <si>
    <t>Faucet 1/2"</t>
  </si>
  <si>
    <t>Faucet 1/2" (Brass)</t>
  </si>
  <si>
    <t>Faucet w/out Bib 1/2"</t>
  </si>
  <si>
    <t>Flexible Connector 1/2"x12"</t>
  </si>
  <si>
    <t>Flexible Hose, 1/2"x 1/2"x18"</t>
  </si>
  <si>
    <t>Flexible Hose, 3/4"</t>
  </si>
  <si>
    <t>Flexible Hose 1/2" ф</t>
  </si>
  <si>
    <t>Floater</t>
  </si>
  <si>
    <t>Floor Drain, Stainless 4"x4"</t>
  </si>
  <si>
    <t>Floor Tiles (Glazed) 0.60mx0.60m</t>
  </si>
  <si>
    <t>Floor Tiles ,0.20mx0.20m</t>
  </si>
  <si>
    <t>Floor Tiles 0.40m0.40m</t>
  </si>
  <si>
    <t>G.I Coupling 1/2"</t>
  </si>
  <si>
    <t>G.I Nipple 1/2"</t>
  </si>
  <si>
    <t>G.I Elbow 1.25"dia</t>
  </si>
  <si>
    <t>G.I Elbow 1/2" dia</t>
  </si>
  <si>
    <t>G.I Elbow 2"dia</t>
  </si>
  <si>
    <t>G.I Nipple 1/2"x1</t>
  </si>
  <si>
    <t>G.I Nipple 12"x1.25" dia S40</t>
  </si>
  <si>
    <t>G.I Nipple 12"x1.00"sia S40</t>
  </si>
  <si>
    <t>G.I Nipple 1.25" S20</t>
  </si>
  <si>
    <t>G.I Pipe 2" dia S40</t>
  </si>
  <si>
    <t>G.I Pipe 2.5"ф S20</t>
  </si>
  <si>
    <t>G.I Pipe 3" x6m S20</t>
  </si>
  <si>
    <t>G.I Plug 1/2"</t>
  </si>
  <si>
    <r>
      <rPr>
        <sz val="12"/>
        <color theme="1"/>
        <rFont val="Calibri"/>
        <family val="2"/>
        <scheme val="minor"/>
      </rPr>
      <t>G.I Tee 1"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</si>
  <si>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G.I Pipe 3/4"</t>
    </r>
    <r>
      <rPr>
        <sz val="12"/>
        <color indexed="8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</si>
  <si>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End Cap 1/2"</t>
    </r>
    <r>
      <rPr>
        <sz val="12"/>
        <color indexed="8"/>
        <rFont val="Calibri"/>
        <family val="2"/>
      </rPr>
      <t>ф</t>
    </r>
  </si>
  <si>
    <t>G.I Faucet 1/2" Heavy Duty</t>
  </si>
  <si>
    <r>
      <rPr>
        <sz val="12"/>
        <color theme="1"/>
        <rFont val="Calibri"/>
        <family val="2"/>
        <scheme val="minor"/>
      </rPr>
      <t>G.I Pipe 1"</t>
    </r>
    <r>
      <rPr>
        <sz val="12"/>
        <color indexed="8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</si>
  <si>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Pipe 1.5"</t>
    </r>
    <r>
      <rPr>
        <sz val="12"/>
        <color indexed="8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</si>
  <si>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Pipe 2"</t>
    </r>
    <r>
      <rPr>
        <sz val="12"/>
        <color indexed="8"/>
        <rFont val="Calibri"/>
        <family val="2"/>
      </rPr>
      <t xml:space="preserve"> ф S20</t>
    </r>
  </si>
  <si>
    <t>G.I Pipe 2.5" S40</t>
  </si>
  <si>
    <r>
      <rPr>
        <sz val="12"/>
        <color theme="1"/>
        <rFont val="Calibri"/>
        <family val="2"/>
        <scheme val="minor"/>
      </rPr>
      <t>G.I Pipe 2"</t>
    </r>
    <r>
      <rPr>
        <sz val="12"/>
        <color theme="1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</si>
  <si>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Pipe 2.5"</t>
    </r>
    <r>
      <rPr>
        <sz val="12"/>
        <color indexed="8"/>
        <rFont val="Calibri"/>
        <family val="2"/>
      </rPr>
      <t>ф S40</t>
    </r>
  </si>
  <si>
    <r>
      <rPr>
        <sz val="12"/>
        <color theme="1"/>
        <rFont val="Calibri"/>
        <family val="2"/>
        <scheme val="minor"/>
      </rPr>
      <t>G.I Pipe 3"</t>
    </r>
    <r>
      <rPr>
        <sz val="12"/>
        <color theme="1"/>
        <rFont val="Calibri"/>
        <family val="2"/>
      </rPr>
      <t xml:space="preserve"> ф S40</t>
    </r>
  </si>
  <si>
    <r>
      <rPr>
        <sz val="12"/>
        <color theme="1"/>
        <rFont val="Calibri"/>
        <family val="2"/>
        <scheme val="minor"/>
      </rPr>
      <t xml:space="preserve">G.I Pipe 4" </t>
    </r>
    <r>
      <rPr>
        <sz val="12"/>
        <color indexed="8"/>
        <rFont val="Calibri"/>
        <family val="2"/>
      </rPr>
      <t>ф S40</t>
    </r>
  </si>
  <si>
    <t>Gate Valve 1.25" dia</t>
  </si>
  <si>
    <t>Gate Valve 1.5"</t>
  </si>
  <si>
    <t>Gate Valve 1/2"</t>
  </si>
  <si>
    <t>Gate Valve 2"</t>
  </si>
  <si>
    <t>Glazed Tiles, 0.30mx0.30m</t>
  </si>
  <si>
    <r>
      <rPr>
        <sz val="12"/>
        <color theme="1"/>
        <rFont val="Calibri"/>
        <family val="2"/>
        <scheme val="minor"/>
      </rPr>
      <t>HDPE Coupling 1/2"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</si>
  <si>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HDPE tee 1/2"</t>
    </r>
    <r>
      <rPr>
        <sz val="12"/>
        <color indexed="8"/>
        <rFont val="Calibri"/>
        <family val="2"/>
      </rPr>
      <t>ф</t>
    </r>
  </si>
  <si>
    <t>Jetmatic Pump</t>
  </si>
  <si>
    <t>Lavatory</t>
  </si>
  <si>
    <t>Lavatory Bracket</t>
  </si>
  <si>
    <t>Lavatory P-trap</t>
  </si>
  <si>
    <t>Lavatory Faucet</t>
  </si>
  <si>
    <t>Marine Epoxy</t>
  </si>
  <si>
    <t>liter</t>
  </si>
  <si>
    <t>PE Coupling 1.00"dia</t>
  </si>
  <si>
    <t>PE Coupling 1.25 "dia</t>
  </si>
  <si>
    <t>PE Coupling 1.5"dia</t>
  </si>
  <si>
    <r>
      <rPr>
        <sz val="12"/>
        <color theme="1"/>
        <rFont val="Calibri"/>
        <family val="2"/>
        <scheme val="minor"/>
      </rPr>
      <t>PE Coupling Connector 1/2"</t>
    </r>
    <r>
      <rPr>
        <sz val="12"/>
        <color indexed="8"/>
        <rFont val="Calibri"/>
        <family val="2"/>
      </rPr>
      <t>ф</t>
    </r>
  </si>
  <si>
    <t>PE Coupling Reducer 2"x 1x1/2</t>
  </si>
  <si>
    <t>PE Coupling Reducer 3/4"x1/2"</t>
  </si>
  <si>
    <t>PE Male Adoptor 1.5"</t>
  </si>
  <si>
    <t>PE Pipe SDR 11 1" (60m/roll)</t>
  </si>
  <si>
    <t>roll</t>
  </si>
  <si>
    <r>
      <rPr>
        <sz val="12"/>
        <color theme="1"/>
        <rFont val="Calibri"/>
        <family val="2"/>
        <scheme val="minor"/>
      </rPr>
      <t>PE Pipe SDR 11 1.5"</t>
    </r>
    <r>
      <rPr>
        <sz val="12"/>
        <color indexed="8"/>
        <rFont val="Calibri"/>
        <family val="2"/>
      </rPr>
      <t>ф (60m/roll)</t>
    </r>
  </si>
  <si>
    <t>PE Pipe SDR 11 1/2" (90m/roll)</t>
  </si>
  <si>
    <t>PE Pipe SDR 11 2" (60M/ROLL)</t>
  </si>
  <si>
    <t>PE Pipe SDR 11 3/4" (90m/roll)</t>
  </si>
  <si>
    <t>PE Pipe SDR 13.5 1/2 (90M/ROLL)</t>
  </si>
  <si>
    <t>PE. Pipe SDR 13.5 2" (60M/roll)</t>
  </si>
  <si>
    <t>PE Pipe SDR 17 1.00" (60m/roll)</t>
  </si>
  <si>
    <t>PE Pipe SDR 17 1.25 (60m/roll)</t>
  </si>
  <si>
    <t>PE Pipe SDR 17 1.50" (60m/roll)</t>
  </si>
  <si>
    <t>PE Pipe SDR 17 1/2" (60m/roll)</t>
  </si>
  <si>
    <t>PE Pipe 17 3/4" (60m/roll)</t>
  </si>
  <si>
    <t>PE Tee 1.5"</t>
  </si>
  <si>
    <t>PE Tee Reducer 3/4"x1/2"</t>
  </si>
  <si>
    <t>Pressure Tank, 82 gals</t>
  </si>
  <si>
    <r>
      <rPr>
        <sz val="12"/>
        <color theme="1"/>
        <rFont val="Calibri"/>
        <family val="2"/>
        <scheme val="minor"/>
      </rPr>
      <t>PVC Bend Elbow 2"</t>
    </r>
    <r>
      <rPr>
        <sz val="12"/>
        <color indexed="8"/>
        <rFont val="Calibri"/>
        <family val="2"/>
      </rPr>
      <t>ɸx45°</t>
    </r>
  </si>
  <si>
    <r>
      <rPr>
        <sz val="12"/>
        <color theme="1"/>
        <rFont val="Calibri"/>
        <family val="2"/>
        <scheme val="minor"/>
      </rPr>
      <t>PVC Bend Elbow 2"</t>
    </r>
    <r>
      <rPr>
        <sz val="12"/>
        <color indexed="8"/>
        <rFont val="Calibri"/>
        <family val="2"/>
      </rPr>
      <t>ɸx90°</t>
    </r>
  </si>
  <si>
    <r>
      <rPr>
        <sz val="12"/>
        <color theme="1"/>
        <rFont val="Calibri"/>
        <family val="2"/>
        <scheme val="minor"/>
      </rPr>
      <t>PVC Bend Elbow 4"</t>
    </r>
    <r>
      <rPr>
        <sz val="12"/>
        <color indexed="8"/>
        <rFont val="Calibri"/>
        <family val="2"/>
      </rPr>
      <t>ɸx45°</t>
    </r>
  </si>
  <si>
    <r>
      <rPr>
        <sz val="12"/>
        <color theme="1"/>
        <rFont val="Calibri"/>
        <family val="2"/>
        <scheme val="minor"/>
      </rPr>
      <t>PVC Bend Elbow 4"</t>
    </r>
    <r>
      <rPr>
        <sz val="12"/>
        <color indexed="8"/>
        <rFont val="Calibri"/>
        <family val="2"/>
      </rPr>
      <t>ɸx90°</t>
    </r>
  </si>
  <si>
    <r>
      <rPr>
        <sz val="12"/>
        <color theme="1"/>
        <rFont val="Calibri"/>
        <family val="2"/>
        <scheme val="minor"/>
      </rPr>
      <t>PVC Blue Elbow 90</t>
    </r>
    <r>
      <rPr>
        <sz val="12"/>
        <color indexed="8"/>
        <rFont val="Calibri"/>
        <family val="2"/>
      </rPr>
      <t>˚ # 1/2</t>
    </r>
  </si>
  <si>
    <t>PVC Blue Elbow Traded One Side # 1/2</t>
  </si>
  <si>
    <t>PVC Blue Tee Joint # 1/2</t>
  </si>
  <si>
    <t>PVC Boshing Reducer 2x4</t>
  </si>
  <si>
    <t>PVC Boshing Reducer 2x3</t>
  </si>
  <si>
    <t>PVC Clean out 2"</t>
  </si>
  <si>
    <t>PVC Clean out 4"</t>
  </si>
  <si>
    <t>PVC Clip 1/2"</t>
  </si>
  <si>
    <t>PVC Clip 3/4"Ø</t>
  </si>
  <si>
    <t>PVC Coupling 1/2"</t>
  </si>
  <si>
    <t>PVC Clip 1"Ø</t>
  </si>
  <si>
    <r>
      <rPr>
        <sz val="12"/>
        <color theme="1"/>
        <rFont val="Calibri"/>
        <family val="2"/>
        <scheme val="minor"/>
      </rPr>
      <t>PVC Elbow 90</t>
    </r>
    <r>
      <rPr>
        <sz val="12"/>
        <color indexed="8"/>
        <rFont val="Calibri"/>
        <family val="2"/>
      </rPr>
      <t>˚#4</t>
    </r>
  </si>
  <si>
    <r>
      <rPr>
        <sz val="12"/>
        <color theme="1"/>
        <rFont val="Calibri"/>
        <family val="2"/>
        <scheme val="minor"/>
      </rPr>
      <t>PVC Elbow 45</t>
    </r>
    <r>
      <rPr>
        <sz val="12"/>
        <color indexed="8"/>
        <rFont val="Calibri"/>
        <family val="2"/>
      </rPr>
      <t>˚#2</t>
    </r>
  </si>
  <si>
    <r>
      <rPr>
        <sz val="12"/>
        <color theme="1"/>
        <rFont val="Calibri"/>
        <family val="2"/>
        <scheme val="minor"/>
      </rPr>
      <t>PVC Elbow 1/2x12"</t>
    </r>
    <r>
      <rPr>
        <sz val="12"/>
        <color indexed="8"/>
        <rFont val="Calibri"/>
        <family val="2"/>
      </rPr>
      <t>ɸ</t>
    </r>
  </si>
  <si>
    <t>PVC Elbow 2"</t>
  </si>
  <si>
    <r>
      <rPr>
        <sz val="12"/>
        <color theme="1"/>
        <rFont val="Calibri"/>
        <family val="2"/>
        <scheme val="minor"/>
      </rPr>
      <t>PVC Elbow 3"</t>
    </r>
    <r>
      <rPr>
        <sz val="12"/>
        <color indexed="8"/>
        <rFont val="Calibri"/>
        <family val="2"/>
      </rPr>
      <t>ɸ x 45°</t>
    </r>
  </si>
  <si>
    <t>PVC Elbow 3/4"</t>
  </si>
  <si>
    <t>PVC Elbow 3''ф 90⁰</t>
  </si>
  <si>
    <r>
      <rPr>
        <sz val="12"/>
        <color theme="1"/>
        <rFont val="Calibri"/>
        <family val="2"/>
        <scheme val="minor"/>
      </rPr>
      <t>PVC Elbow 4''ф 90</t>
    </r>
    <r>
      <rPr>
        <sz val="12"/>
        <color indexed="8"/>
        <rFont val="Calibri"/>
        <family val="2"/>
      </rPr>
      <t>⁰</t>
    </r>
  </si>
  <si>
    <t>PVC Elbow Plain 1/2" blue</t>
  </si>
  <si>
    <t>PVC Elbow w/ Adoptor 1/2"</t>
  </si>
  <si>
    <t>PVC Faucet 1/2"</t>
  </si>
  <si>
    <t>PVC Female Adoptor 1/2</t>
  </si>
  <si>
    <t>PVC Pipe #4</t>
  </si>
  <si>
    <t>PVC Pipe #3</t>
  </si>
  <si>
    <r>
      <rPr>
        <sz val="12"/>
        <color theme="1"/>
        <rFont val="Calibri"/>
        <family val="2"/>
        <scheme val="minor"/>
      </rPr>
      <t>PVC Pipe 1/2''</t>
    </r>
    <r>
      <rPr>
        <sz val="12"/>
        <color indexed="8"/>
        <rFont val="Calibri"/>
        <family val="2"/>
      </rPr>
      <t>ф (Blue)</t>
    </r>
  </si>
  <si>
    <r>
      <rPr>
        <sz val="12"/>
        <color theme="1"/>
        <rFont val="Calibri"/>
        <family val="2"/>
        <scheme val="minor"/>
      </rPr>
      <t xml:space="preserve">PVC Pipe 2" </t>
    </r>
    <r>
      <rPr>
        <sz val="12"/>
        <color indexed="8"/>
        <rFont val="Calibri"/>
        <family val="2"/>
      </rPr>
      <t>ф S-600</t>
    </r>
  </si>
  <si>
    <t>Length</t>
  </si>
  <si>
    <r>
      <rPr>
        <sz val="12"/>
        <color theme="1"/>
        <rFont val="Calibri"/>
        <family val="2"/>
        <scheme val="minor"/>
      </rPr>
      <t xml:space="preserve">PVC Pipe 3/4" </t>
    </r>
    <r>
      <rPr>
        <sz val="12"/>
        <color indexed="8"/>
        <rFont val="Calibri"/>
        <family val="2"/>
      </rPr>
      <t>ф(Blue)</t>
    </r>
  </si>
  <si>
    <t>PVC Pipe Series 1000 2''ф (Orange)</t>
  </si>
  <si>
    <t>PVC Pipe Series 1000 3''ф (Orange)</t>
  </si>
  <si>
    <r>
      <rPr>
        <sz val="12"/>
        <color theme="1"/>
        <rFont val="Calibri"/>
        <family val="2"/>
        <scheme val="minor"/>
      </rPr>
      <t>PVC Pipe Series 1000 4''</t>
    </r>
    <r>
      <rPr>
        <sz val="12"/>
        <color indexed="8"/>
        <rFont val="Calibri"/>
        <family val="2"/>
      </rPr>
      <t>ф (Orange)</t>
    </r>
  </si>
  <si>
    <t>PVC P-Trap 2"</t>
  </si>
  <si>
    <r>
      <rPr>
        <sz val="12"/>
        <color theme="1"/>
        <rFont val="Calibri"/>
        <family val="2"/>
        <scheme val="minor"/>
      </rPr>
      <t>PVC Sanitary Pipe 2"</t>
    </r>
    <r>
      <rPr>
        <sz val="12"/>
        <color indexed="8"/>
        <rFont val="Calibri"/>
        <family val="2"/>
      </rPr>
      <t>ɸx10' S1000</t>
    </r>
  </si>
  <si>
    <r>
      <rPr>
        <sz val="12"/>
        <color theme="1"/>
        <rFont val="Calibri"/>
        <family val="2"/>
        <scheme val="minor"/>
      </rPr>
      <t>PVC Sanitary Pipe 4"</t>
    </r>
    <r>
      <rPr>
        <sz val="12"/>
        <color indexed="8"/>
        <rFont val="Calibri"/>
        <family val="2"/>
      </rPr>
      <t>ɸx10' S1000</t>
    </r>
  </si>
  <si>
    <t>PVC Solvent Cement (100cc)</t>
  </si>
  <si>
    <t>can</t>
  </si>
  <si>
    <t>PVC Solvent Cement (400cc,200mL)</t>
  </si>
  <si>
    <r>
      <rPr>
        <sz val="12"/>
        <color theme="1"/>
        <rFont val="Calibri"/>
        <family val="2"/>
        <scheme val="minor"/>
      </rPr>
      <t>PVC Straight Coupler 4"</t>
    </r>
    <r>
      <rPr>
        <sz val="12"/>
        <color indexed="8"/>
        <rFont val="Calibri"/>
        <family val="2"/>
      </rPr>
      <t>ɸ</t>
    </r>
  </si>
  <si>
    <t>PVC Tee Joint #2</t>
  </si>
  <si>
    <t>PVC Tee Joint #3</t>
  </si>
  <si>
    <t>PVC Tee Joint #4</t>
  </si>
  <si>
    <r>
      <rPr>
        <sz val="12"/>
        <color theme="1"/>
        <rFont val="Calibri"/>
        <family val="2"/>
        <scheme val="minor"/>
      </rPr>
      <t>PVC T-Connector 4"x4"</t>
    </r>
    <r>
      <rPr>
        <sz val="12"/>
        <color indexed="8"/>
        <rFont val="Calibri"/>
        <family val="2"/>
      </rPr>
      <t>ɸ</t>
    </r>
  </si>
  <si>
    <t>PVC TEE 1/2" (Plain)</t>
  </si>
  <si>
    <t>PVC TEE 1/2" (Threaded)</t>
  </si>
  <si>
    <t>PVC TEE 2"</t>
  </si>
  <si>
    <t>PVC TEE 3"</t>
  </si>
  <si>
    <t>PVC Tee 3/4"</t>
  </si>
  <si>
    <t>PVC TEE 4"x2"</t>
  </si>
  <si>
    <t>PVC TEE Reducer 3"x2"</t>
  </si>
  <si>
    <t>PVC TEE Reducer 4"x2"</t>
  </si>
  <si>
    <t>PVC Y- Joint #4</t>
  </si>
  <si>
    <t>PVC y-Joint #2</t>
  </si>
  <si>
    <t>PVC Y-Joint #3</t>
  </si>
  <si>
    <r>
      <rPr>
        <sz val="12"/>
        <color theme="1"/>
        <rFont val="Calibri"/>
        <family val="2"/>
        <scheme val="minor"/>
      </rPr>
      <t>PVC Y 4"</t>
    </r>
    <r>
      <rPr>
        <sz val="12"/>
        <color indexed="8"/>
        <rFont val="Calibri"/>
        <family val="2"/>
      </rPr>
      <t>ф</t>
    </r>
  </si>
  <si>
    <t>PVC Y-Connector 2"x2"ɸ</t>
  </si>
  <si>
    <r>
      <rPr>
        <sz val="12"/>
        <color theme="1"/>
        <rFont val="Calibri"/>
        <family val="2"/>
        <scheme val="minor"/>
      </rPr>
      <t>PVC Y-Connector Reducer 4"x2"</t>
    </r>
    <r>
      <rPr>
        <sz val="12"/>
        <color indexed="8"/>
        <rFont val="Calibri"/>
        <family val="2"/>
      </rPr>
      <t>ɸ</t>
    </r>
  </si>
  <si>
    <t>RSC Pipe #3/4</t>
  </si>
  <si>
    <t>Reinforced Concrete Pipe 12"</t>
  </si>
  <si>
    <t>Reinforced Concrete Pipe 18" (460mm)</t>
  </si>
  <si>
    <t>Reinforced Concrete Pipe 24" (610mm)</t>
  </si>
  <si>
    <t>Reinforced Concrete Pipe 36" (910mm)</t>
  </si>
  <si>
    <t>Reinforced Concrete Pipe 48" (1220mm)</t>
  </si>
  <si>
    <t>Saddle Clamp 1 1/2"x3/4"</t>
  </si>
  <si>
    <t>Saddle Clamp 1.5"x1/2"</t>
  </si>
  <si>
    <t>Sadlle Clamp 2"x 1/2"</t>
  </si>
  <si>
    <t>Shafting 3/4"</t>
  </si>
  <si>
    <t>ft</t>
  </si>
  <si>
    <t>Shower Head</t>
  </si>
  <si>
    <t>Shower Telephone Type</t>
  </si>
  <si>
    <t>Teflon Tape 20mm</t>
  </si>
  <si>
    <t>Teflon Tape 3/4</t>
  </si>
  <si>
    <t>Tile Grout</t>
  </si>
  <si>
    <t>Tile Grout, (2kgs/bag)</t>
  </si>
  <si>
    <t>Tile Trim, Biege</t>
  </si>
  <si>
    <t>Tiles 12x12</t>
  </si>
  <si>
    <t>Unglazed Tiles, 0.30mx0.30m</t>
  </si>
  <si>
    <t>Wall Tiles (Beige)0.20mx0.20m</t>
  </si>
  <si>
    <t>Wall Tiles (Dark Green ) 0.20mx0.30m</t>
  </si>
  <si>
    <t>Wall Tiles Maroon 0.20mx0.30m</t>
  </si>
  <si>
    <t xml:space="preserve">Water Closet, Ordinary </t>
  </si>
  <si>
    <t xml:space="preserve">Water Closet , Nation </t>
  </si>
  <si>
    <t>Water Closet, Ordinary /Mariwasa</t>
  </si>
  <si>
    <t>Water Supply Connector (Flexible Hose 1/2"x1)</t>
  </si>
  <si>
    <t>Wall Tiles (White Beige) 0.20mx0.30m</t>
  </si>
  <si>
    <t>μPVC Bend Elbow (Blue) 1/2x900</t>
  </si>
  <si>
    <t xml:space="preserve">μPVC Pipe ( Blue) ½" Ø x 20' </t>
  </si>
  <si>
    <t>lengths</t>
  </si>
  <si>
    <t xml:space="preserve">μPVC Straight Coupler , 1-End Threaded (Blue) </t>
  </si>
  <si>
    <t>Ordinary Toilet</t>
  </si>
  <si>
    <t xml:space="preserve">μPVC T-Connector (Blue) ½" </t>
  </si>
  <si>
    <t>Anchor bolt w/ nut &amp; washer (12mm)</t>
  </si>
  <si>
    <t>SETS</t>
  </si>
  <si>
    <t>CARPENTRY WORKS ( CEILING ), FORMWORKS AND SCAFOLDING</t>
  </si>
  <si>
    <t>Aluminum Steel Netting (insect Screen)</t>
  </si>
  <si>
    <t>Assorted CWN</t>
  </si>
  <si>
    <t>Coco Lumber</t>
  </si>
  <si>
    <t>bd.ft</t>
  </si>
  <si>
    <t>Common Nails</t>
  </si>
  <si>
    <t>Concrete Nails</t>
  </si>
  <si>
    <t>Concrete Nails #3</t>
  </si>
  <si>
    <t>Concrete Nails #4</t>
  </si>
  <si>
    <t>CWN #1</t>
  </si>
  <si>
    <t>box</t>
  </si>
  <si>
    <t>CWN #1.5</t>
  </si>
  <si>
    <t>CWN #2.5</t>
  </si>
  <si>
    <t>CWN #4</t>
  </si>
  <si>
    <t>CWN #5</t>
  </si>
  <si>
    <t>Finishing Nail</t>
  </si>
  <si>
    <t>Finishing Nails 1 1/2</t>
  </si>
  <si>
    <t>Finishing Nails 2</t>
  </si>
  <si>
    <t>Finishing Nails 2 1/2</t>
  </si>
  <si>
    <t>Finishing Nails 3</t>
  </si>
  <si>
    <t>Finishing Nails #1</t>
  </si>
  <si>
    <t>Flat Head Nails</t>
  </si>
  <si>
    <t>Gemelina</t>
  </si>
  <si>
    <t>Hardiflex 5mm</t>
  </si>
  <si>
    <t>sheet</t>
  </si>
  <si>
    <t>Hard nails</t>
  </si>
  <si>
    <t>Lawanit 5mmx4x8</t>
  </si>
  <si>
    <t>Mahogany</t>
  </si>
  <si>
    <t>Marine Plywood 1/2</t>
  </si>
  <si>
    <t>Marine Plywood 18mm thck</t>
  </si>
  <si>
    <t>Marine Plywood 10mmx4'x8'</t>
  </si>
  <si>
    <t>sheets</t>
  </si>
  <si>
    <t>Marine Plywood 3/4"</t>
  </si>
  <si>
    <t>Marine Plywood 5mmx4'x8'</t>
  </si>
  <si>
    <t>Ordinary Plywood 18mm thick</t>
  </si>
  <si>
    <t>Ordinary Plywood 10mm thickx4'x8'</t>
  </si>
  <si>
    <t>Ordinary Plywood 3mm</t>
  </si>
  <si>
    <t>Ordinary Plywood 5mm thickx4'x8'</t>
  </si>
  <si>
    <t>Plyboard 3/4"</t>
  </si>
  <si>
    <t>PVC Pail, 12"</t>
  </si>
  <si>
    <t xml:space="preserve">Umbrella Nails </t>
  </si>
  <si>
    <t>Angle Bar 4mm x  1"</t>
  </si>
  <si>
    <t xml:space="preserve">Angle Bar 4mm x 1 1/4 </t>
  </si>
  <si>
    <t>Angle Bar 4mm x 1 1/2"</t>
  </si>
  <si>
    <t xml:space="preserve">Angle Bar 4mm x 2" </t>
  </si>
  <si>
    <t>Angle Bar 4mm x 2 1/2"</t>
  </si>
  <si>
    <t xml:space="preserve">Angle Bar 5mm x  3" </t>
  </si>
  <si>
    <t>Angle Bar 5mm x  1"</t>
  </si>
  <si>
    <t>Angle Bar 5mm x 1 1/4</t>
  </si>
  <si>
    <t>Angle Bar 5mm x 1 1/2"</t>
  </si>
  <si>
    <t xml:space="preserve">Angle Bar 5mm x 2" </t>
  </si>
  <si>
    <t>Angle Bar 4.5mmx1x1x6m</t>
  </si>
  <si>
    <t>Angle Bar 4.5mmx2x2x6m</t>
  </si>
  <si>
    <t>Angle Bar 5mm x  3/16x1</t>
  </si>
  <si>
    <t>Angle Bar 6mm x 1 1/2"</t>
  </si>
  <si>
    <t xml:space="preserve">Angle Bar 6mm x 2" </t>
  </si>
  <si>
    <t>Angle Bar 6mm x 2 1/2"</t>
  </si>
  <si>
    <t>Angle Bar 6mm x  3"</t>
  </si>
  <si>
    <t>Steel Plates 9mmx4'x8'</t>
  </si>
  <si>
    <t>Steel Plates 12mm x4'x8'</t>
  </si>
  <si>
    <t>Steel Plates 6mmx4'x8' (5mm)</t>
  </si>
  <si>
    <t>Bolts</t>
  </si>
  <si>
    <r>
      <rPr>
        <sz val="11"/>
        <color theme="1"/>
        <rFont val="Calibri"/>
        <family val="2"/>
        <scheme val="minor"/>
      </rPr>
      <t>Anchord Bolts 12"x5/8"</t>
    </r>
    <r>
      <rPr>
        <sz val="11"/>
        <color indexed="8"/>
        <rFont val="Calibri"/>
        <family val="2"/>
      </rPr>
      <t>ф w/ Nuts and Washer</t>
    </r>
  </si>
  <si>
    <t>Anchord Bolts w/ Nuts And Washer, 20mmx300mm</t>
  </si>
  <si>
    <t>Anchord Bolts w/ Nuts and Washer , 20mmx400mm</t>
  </si>
  <si>
    <t>Bolt 3/4"x10</t>
  </si>
  <si>
    <t>Bolt 3/8x4</t>
  </si>
  <si>
    <r>
      <rPr>
        <sz val="12"/>
        <color theme="1"/>
        <rFont val="Calibri"/>
        <family val="2"/>
        <scheme val="minor"/>
      </rPr>
      <t>Bolt w/ nut and washer 12mm</t>
    </r>
    <r>
      <rPr>
        <sz val="12"/>
        <color indexed="8"/>
        <rFont val="Calibri"/>
        <family val="2"/>
      </rPr>
      <t>фx2"</t>
    </r>
  </si>
  <si>
    <t>Bolt # 3/8x4</t>
  </si>
  <si>
    <t>Bolt w/ nuts and washer 3/8x4"</t>
  </si>
  <si>
    <t>Dynabolt 5/16</t>
  </si>
  <si>
    <t>Expansion Bolt 3/8</t>
  </si>
  <si>
    <t>Machine Bolt w/ washer and Knot 16mmx10"</t>
  </si>
  <si>
    <t>Blind Rivets 1/8"x3/8"</t>
  </si>
  <si>
    <t>CEE Purlins 1.2mmx2"x3"x6m</t>
  </si>
  <si>
    <t>CEE Purlins 1.2mmx2"X4"x6m</t>
  </si>
  <si>
    <t>CEE Purlins 1.2mmx2"X6"x6m</t>
  </si>
  <si>
    <t>Checkered Plate</t>
  </si>
  <si>
    <t>Corr. G.I Sheet Ga. 26x8"</t>
  </si>
  <si>
    <t>Corr. G.I Sheet Ga. 26x10"</t>
  </si>
  <si>
    <t>Corr. G.I Sheet Ga. 26x12</t>
  </si>
  <si>
    <t>Corr. G.I Sheet Ga. 31xx10</t>
  </si>
  <si>
    <t>Corr. Galvalume Sheet Ga. 26x10'</t>
  </si>
  <si>
    <t>Corr. Galvalume Sheet Ga. 26x12'</t>
  </si>
  <si>
    <t>Corr. Galvalume Sheet Ga. 26x8'</t>
  </si>
  <si>
    <t>Corr. Superlume Sheet Ga. 26x26</t>
  </si>
  <si>
    <t>DN Spanflex 110</t>
  </si>
  <si>
    <t>l.m</t>
  </si>
  <si>
    <t>End Moulding ,0.4mm,0.229m x2.44m</t>
  </si>
  <si>
    <t>Plain Round Bar 10mm</t>
  </si>
  <si>
    <t>Plain Round Bar 16mm</t>
  </si>
  <si>
    <t>Plain Sheet 0.4mmx 1.22 x2.44m 48"</t>
  </si>
  <si>
    <t>Sheet</t>
  </si>
  <si>
    <t>Plain Sheet 0.4mmx 0.915x 2.44m 36"</t>
  </si>
  <si>
    <t>Plain Sheet 0.4mmx 0.610 x2.44m 24"</t>
  </si>
  <si>
    <t>Plain Sheet 0.4mm x 0.457 x2.44m 18"</t>
  </si>
  <si>
    <t>Plain Sheet 0.4mm x 0.305 x 2.44m</t>
  </si>
  <si>
    <t>Riveter</t>
  </si>
  <si>
    <t>(Steel Rib Type) 0.40m x1.150m x LS gauge</t>
  </si>
  <si>
    <t>(Steel Rib Type) 0.40m x1.137m x LS gauge</t>
  </si>
  <si>
    <r>
      <rPr>
        <sz val="12"/>
        <color theme="1"/>
        <rFont val="Calibri"/>
        <family val="2"/>
        <scheme val="minor"/>
      </rPr>
      <t>Steel Drill Bit 1/2"</t>
    </r>
    <r>
      <rPr>
        <sz val="12"/>
        <color indexed="8"/>
        <rFont val="Calibri"/>
        <family val="2"/>
      </rPr>
      <t>ф</t>
    </r>
  </si>
  <si>
    <t>Steel Drill Bit 1/4"ф</t>
  </si>
  <si>
    <t>Steel Drill Bit 1/8"ф</t>
  </si>
  <si>
    <r>
      <rPr>
        <sz val="12"/>
        <color theme="1"/>
        <rFont val="Calibri"/>
        <family val="2"/>
        <scheme val="minor"/>
      </rPr>
      <t>Steel Drill Bit 3/8"</t>
    </r>
    <r>
      <rPr>
        <sz val="12"/>
        <color indexed="8"/>
        <rFont val="Calibri"/>
        <family val="2"/>
      </rPr>
      <t>ф</t>
    </r>
  </si>
  <si>
    <t>Tek Screw Adaptor</t>
  </si>
  <si>
    <t>Tirn Buckle 16mmx10</t>
  </si>
  <si>
    <t>Vulcaseal</t>
  </si>
  <si>
    <t>liters</t>
  </si>
  <si>
    <t>0.5qrt</t>
  </si>
  <si>
    <t xml:space="preserve">Vulcaseal </t>
  </si>
  <si>
    <t>qrt</t>
  </si>
  <si>
    <t>gal</t>
  </si>
  <si>
    <t>sachet</t>
  </si>
  <si>
    <t>Welding Rod N55</t>
  </si>
  <si>
    <t>Welding Rod 6011</t>
  </si>
  <si>
    <t>Welding Rod 6013</t>
  </si>
  <si>
    <t>Acrylic Clear Gloss Emulsion</t>
  </si>
  <si>
    <t>Aluminum Paint</t>
  </si>
  <si>
    <t>Baby Roller 4" cloth w/o Plate</t>
  </si>
  <si>
    <t>Concrete Neutralizer</t>
  </si>
  <si>
    <t>Concrete Putty</t>
  </si>
  <si>
    <t>Enamel Paint (Silver Gray)</t>
  </si>
  <si>
    <t>Enamel Paint , Yellow</t>
  </si>
  <si>
    <t>Enamel, Mahogany</t>
  </si>
  <si>
    <t>Epoxy Primer</t>
  </si>
  <si>
    <t>Epoxy Primer (Gray)</t>
  </si>
  <si>
    <t>Flat Quick Dry Enamel</t>
  </si>
  <si>
    <t>Flat Wall Enamel</t>
  </si>
  <si>
    <t>pail</t>
  </si>
  <si>
    <t>Flat Wall Latex</t>
  </si>
  <si>
    <t>Floor Paint (White)</t>
  </si>
  <si>
    <t>Galva Wash</t>
  </si>
  <si>
    <t>Glazing Putty</t>
  </si>
  <si>
    <t>Gloss Enamel Paint</t>
  </si>
  <si>
    <t>Gloss Latex Paint</t>
  </si>
  <si>
    <t>Gloss Latex, Light Green</t>
  </si>
  <si>
    <t>Gloss Latex Paint ( red)</t>
  </si>
  <si>
    <t>Gloss Latex Paint (Orange)</t>
  </si>
  <si>
    <t>Gloss Latex Yellow</t>
  </si>
  <si>
    <t>Gloss Quick Dry Enamel</t>
  </si>
  <si>
    <t>Green Board Paint</t>
  </si>
  <si>
    <t>Heavy Duty Roller 7" w/o Plate</t>
  </si>
  <si>
    <t>Lacquer Thinner</t>
  </si>
  <si>
    <t>bottles</t>
  </si>
  <si>
    <t>Latex Paint , Cream</t>
  </si>
  <si>
    <t>Liquid Tile Cast</t>
  </si>
  <si>
    <t>Liquid Tile Primer</t>
  </si>
  <si>
    <t>Liquid Tile Reducer</t>
  </si>
  <si>
    <t>Nan Sag Epoxy</t>
  </si>
  <si>
    <t>Paint brush #2</t>
  </si>
  <si>
    <t>Paint brush #3</t>
  </si>
  <si>
    <t>Paint brush #4</t>
  </si>
  <si>
    <t>Paint Brush 1"</t>
  </si>
  <si>
    <t>Paint Brush 1/2"</t>
  </si>
  <si>
    <t>Paint Brush , Panclub 1"</t>
  </si>
  <si>
    <t>Paint Brush , Panclub 2 1/2</t>
  </si>
  <si>
    <t>Paint Brush , Panclub 4"</t>
  </si>
  <si>
    <t>Paint Remover</t>
  </si>
  <si>
    <t>Paint Thinner</t>
  </si>
  <si>
    <t>bottle</t>
  </si>
  <si>
    <t>Patching Compound</t>
  </si>
  <si>
    <t>Phylux, Yellow</t>
  </si>
  <si>
    <t>Phylux, Black</t>
  </si>
  <si>
    <t>Polytuff</t>
  </si>
  <si>
    <t>Polytuff Hardener</t>
  </si>
  <si>
    <t>tube</t>
  </si>
  <si>
    <t>Pullotherene Top Coat</t>
  </si>
  <si>
    <t>Putty Knife</t>
  </si>
  <si>
    <t>pairs</t>
  </si>
  <si>
    <t>Quick Dry Enamel (White)</t>
  </si>
  <si>
    <t>Quick Dry Enamel</t>
  </si>
  <si>
    <t>Quick Drying Enamel (Choco Brown)</t>
  </si>
  <si>
    <t>Quick Drying Enamel (Silver Gray)</t>
  </si>
  <si>
    <t>Red Oxide Primer Paint</t>
  </si>
  <si>
    <t>Red Primer Paint</t>
  </si>
  <si>
    <t>Roller Brush #6</t>
  </si>
  <si>
    <t xml:space="preserve">Roller Brush #7 </t>
  </si>
  <si>
    <t>Roller Brush #7 w/ pan</t>
  </si>
  <si>
    <t>Roller Brush #9 w/ pan</t>
  </si>
  <si>
    <t>Roof Guard (baguio green)</t>
  </si>
  <si>
    <t>Roof paint (Baguio Green)</t>
  </si>
  <si>
    <t>Rust Converter</t>
  </si>
  <si>
    <t>Solignum</t>
  </si>
  <si>
    <t>Sand Paper # 180</t>
  </si>
  <si>
    <t>Sand Paper # 240</t>
  </si>
  <si>
    <t>Sand Paper # 80</t>
  </si>
  <si>
    <t>Sand paper #100</t>
  </si>
  <si>
    <t>Sand Paper#120</t>
  </si>
  <si>
    <t>Sand Paper # 150</t>
  </si>
  <si>
    <t>Semi Gloss Enamel paint</t>
  </si>
  <si>
    <t>Semi Gloss Latex Paint</t>
  </si>
  <si>
    <t>Skim Coat</t>
  </si>
  <si>
    <t>Stikwel</t>
  </si>
  <si>
    <t>ltr</t>
  </si>
  <si>
    <t>Tinting Color Latex</t>
  </si>
  <si>
    <t>Tinting Color, Acrylic</t>
  </si>
  <si>
    <t>pint</t>
  </si>
  <si>
    <t>Tinting Color Rawshiena (Blue)</t>
  </si>
  <si>
    <t>Tinting Color, Burnt Umber</t>
  </si>
  <si>
    <t>Tinting Color, Lampblack LTC</t>
  </si>
  <si>
    <t>QRT</t>
  </si>
  <si>
    <t>Tinting Color, oil</t>
  </si>
  <si>
    <t>Tinting Color, Oil (Red)</t>
  </si>
  <si>
    <t>Tinting Color, oil (Thalo Green)</t>
  </si>
  <si>
    <t>Tinting Color, Oil (Yellow)</t>
  </si>
  <si>
    <t>Tintnig Color Rawshiena LTC</t>
  </si>
  <si>
    <t>Tinting Color Rawshiena, Venetian Red LTC</t>
  </si>
  <si>
    <t>Tinting Color, water base</t>
  </si>
  <si>
    <t>Caulking Gun</t>
  </si>
  <si>
    <t>Chalk Stone</t>
  </si>
  <si>
    <t>Concrete Drill Bit 1/8"</t>
  </si>
  <si>
    <t>Door Knob, Heavy Duty</t>
  </si>
  <si>
    <t xml:space="preserve">Door Knob, Kwikset </t>
  </si>
  <si>
    <t>Flat Bar 2mmx3/4</t>
  </si>
  <si>
    <t>Flat Bar 2 1/2</t>
  </si>
  <si>
    <t>Flat Bars 3"</t>
  </si>
  <si>
    <t>Flat Bar 4.5mm(1/8")</t>
  </si>
  <si>
    <t>Flat Bar 4mm (1")</t>
  </si>
  <si>
    <t>Flat Bar 4mm (1/8")</t>
  </si>
  <si>
    <t>Flat Bar (3/16") 1 1/4</t>
  </si>
  <si>
    <t>Flat Bars 1 1/2"</t>
  </si>
  <si>
    <t>HD Loose Pin Honges 31/2"x31/2"</t>
  </si>
  <si>
    <t>HD Loose Pin Hinges 4"x4"</t>
  </si>
  <si>
    <t>HD Loose Pin Hinges Door Knob, Kwikset 31/2"x31/2"</t>
  </si>
  <si>
    <t>I-bar</t>
  </si>
  <si>
    <t>Panel Door w/ Door Jamb and Accessories (1.0x2.1)</t>
  </si>
  <si>
    <t>Panel door W/ door jamb(0.85mX2.1m)</t>
  </si>
  <si>
    <t>Panel Door w/o door jamb (0.8mx2.1m)</t>
  </si>
  <si>
    <t>unit</t>
  </si>
  <si>
    <t>Panel Door w/o Door Jamb (1.0x2.1m)</t>
  </si>
  <si>
    <t>PVC Door w/ Door Jamb and Accessories (0.6mx2.1m)/ (0.7x2.1)</t>
  </si>
  <si>
    <t>PVC Door , 0.6mx2.1m</t>
  </si>
  <si>
    <t>Sander Stone</t>
  </si>
  <si>
    <t>Silicon</t>
  </si>
  <si>
    <t>Silicon Sealant w/ Gun</t>
  </si>
  <si>
    <t>Square bar 10mm</t>
  </si>
  <si>
    <t>Square Bar 12mm</t>
  </si>
  <si>
    <t>Steel Brush #2</t>
  </si>
  <si>
    <t>Steel Brush #4</t>
  </si>
  <si>
    <t>Steel Casement Handle</t>
  </si>
  <si>
    <t>pair</t>
  </si>
  <si>
    <t>Steel Casement Hinges</t>
  </si>
  <si>
    <t>T-bar</t>
  </si>
  <si>
    <t>Tekscrew 2.5"</t>
  </si>
  <si>
    <t>Tekscrew 4mmx1"</t>
  </si>
  <si>
    <t>Z-bar</t>
  </si>
  <si>
    <t>ELECTRICAL WORKS</t>
  </si>
  <si>
    <t># 16 Extension wire w/ Male Plug and Outlet (3-gang)</t>
  </si>
  <si>
    <t>3U Lamp (Fire Fly)</t>
  </si>
  <si>
    <t>Angle Connector 3/4"</t>
  </si>
  <si>
    <t>Aircon Outlet</t>
  </si>
  <si>
    <t>Bulb Socket</t>
  </si>
  <si>
    <t>Circuit Breaker, 15A</t>
  </si>
  <si>
    <t>Circuit Breaker, 30A</t>
  </si>
  <si>
    <t>Circuit Breaker, 60A</t>
  </si>
  <si>
    <t>Circuit Breaker 20A (Single Phase)</t>
  </si>
  <si>
    <t>Circuit Breaker, 100A</t>
  </si>
  <si>
    <t>Compact lamp, 18 W</t>
  </si>
  <si>
    <t>Compact lamp, 22 W</t>
  </si>
  <si>
    <t>Compact lamp, 23 W</t>
  </si>
  <si>
    <t>Compact lamp, 24W</t>
  </si>
  <si>
    <t>Compact Lamp, 26W</t>
  </si>
  <si>
    <t>Compact Lamp, 45W</t>
  </si>
  <si>
    <t>Concuit Elbow 3/4"</t>
  </si>
  <si>
    <t>Conduit Pipe 3/4"</t>
  </si>
  <si>
    <t>CFL 2U 18W Pinlight 6"</t>
  </si>
  <si>
    <t>Convience Outlet ( 2 Gang)</t>
  </si>
  <si>
    <t>Convience Outlet ( 3 Gang)</t>
  </si>
  <si>
    <t>Convenience Outlet (3-gang), surface type</t>
  </si>
  <si>
    <t>Convenience Outlet (2-gang), flush type</t>
  </si>
  <si>
    <t>Duplex Wire #6</t>
  </si>
  <si>
    <t>Electrical Tape</t>
  </si>
  <si>
    <t>Electrical Wire (#8)</t>
  </si>
  <si>
    <t>Electrical Wire (Stranded #12)</t>
  </si>
  <si>
    <t>Electrical Wire (Stranded #14)</t>
  </si>
  <si>
    <t>Electrode Holder, 300A</t>
  </si>
  <si>
    <t>EMT Conduit Pipe # 1/2</t>
  </si>
  <si>
    <t>lenght</t>
  </si>
  <si>
    <r>
      <rPr>
        <sz val="12"/>
        <color theme="1"/>
        <rFont val="Calibri"/>
        <family val="2"/>
        <scheme val="minor"/>
      </rPr>
      <t>Entrance Cap, 3/4"</t>
    </r>
    <r>
      <rPr>
        <sz val="12"/>
        <color indexed="8"/>
        <rFont val="Calibri"/>
        <family val="2"/>
      </rPr>
      <t>ф</t>
    </r>
  </si>
  <si>
    <t>Entrance Cap w/adapter 1"</t>
  </si>
  <si>
    <t>Flat Chord # 12</t>
  </si>
  <si>
    <t>Flat Chord Electric Wire #14</t>
  </si>
  <si>
    <r>
      <rPr>
        <sz val="12"/>
        <color theme="1"/>
        <rFont val="Calibri"/>
        <family val="2"/>
        <scheme val="minor"/>
      </rPr>
      <t xml:space="preserve">Flexible Hose 1/2" 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</si>
  <si>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 xml:space="preserve">Flexible Hose 3/4" </t>
    </r>
    <r>
      <rPr>
        <sz val="12"/>
        <color indexed="8"/>
        <rFont val="Calibri"/>
        <family val="2"/>
      </rPr>
      <t>ф</t>
    </r>
  </si>
  <si>
    <t>Flourescent Lamp (28W)</t>
  </si>
  <si>
    <t>Flourescent Lamps (40 watts.)</t>
  </si>
  <si>
    <t>Flourescent Lamp (20W Surface Mounted)</t>
  </si>
  <si>
    <t>Flourescent lamp (40W Surface Mounted)</t>
  </si>
  <si>
    <t>Flourescent Lamp 20W(Louver Type)</t>
  </si>
  <si>
    <t>Flourescent Lamp 40W (Louver Type)</t>
  </si>
  <si>
    <t>Fuse 30A</t>
  </si>
  <si>
    <t>Fuse 60A</t>
  </si>
  <si>
    <r>
      <rPr>
        <sz val="12"/>
        <color theme="1"/>
        <rFont val="Calibri"/>
        <family val="2"/>
        <scheme val="minor"/>
      </rPr>
      <t>G.I Coupling Reducer 1"x3/4"</t>
    </r>
    <r>
      <rPr>
        <sz val="12"/>
        <color indexed="8"/>
        <rFont val="Calibri"/>
        <family val="2"/>
      </rPr>
      <t>ф</t>
    </r>
  </si>
  <si>
    <t>G.I Elbow 1"</t>
  </si>
  <si>
    <t>Halogen Lamp 500W</t>
  </si>
  <si>
    <t>Hose Clip 4mm</t>
  </si>
  <si>
    <t>Male Plug</t>
  </si>
  <si>
    <t>Mercury Bulb , 250W</t>
  </si>
  <si>
    <t>Metal Utility Box 4x2</t>
  </si>
  <si>
    <t>Meter Box</t>
  </si>
  <si>
    <t>Ordinary Outlet</t>
  </si>
  <si>
    <t>Ordinary Switch (1gang)</t>
  </si>
  <si>
    <t>Panel Board, 2 branches</t>
  </si>
  <si>
    <t>Assembly</t>
  </si>
  <si>
    <t>Panel Board, 4 branches</t>
  </si>
  <si>
    <t>Panel Board , 6 Branches</t>
  </si>
  <si>
    <t>Panel Board, 8 Branches</t>
  </si>
  <si>
    <t>Panel Board , 12 Branches</t>
  </si>
  <si>
    <t>Panel Board , 6 Branches- Plug in</t>
  </si>
  <si>
    <t>Panel Board , 8 Braches - Plug in</t>
  </si>
  <si>
    <t>Panel Board , 12 Branches-Bolt on</t>
  </si>
  <si>
    <t>PDX Wire #12</t>
  </si>
  <si>
    <t>PDX Wire #14</t>
  </si>
  <si>
    <t>Plastic Receptacle, 4"</t>
  </si>
  <si>
    <t>Plate Cover (1 gang), Flush Type</t>
  </si>
  <si>
    <t>Porcelain Receptacle 4"</t>
  </si>
  <si>
    <t>P-trap #2</t>
  </si>
  <si>
    <t xml:space="preserve">PVC Clip 1/2"Ø </t>
  </si>
  <si>
    <t>pck</t>
  </si>
  <si>
    <t>PVC Electrical Pipe 1/2"</t>
  </si>
  <si>
    <t xml:space="preserve">PVC Flexible Conduit Hose (Orange) ½" Ø </t>
  </si>
  <si>
    <t>PVC Junction Box</t>
  </si>
  <si>
    <t>PVC Junction Box 4" x 4"</t>
  </si>
  <si>
    <t>PVC Pipe #1/2" (Orange Color)</t>
  </si>
  <si>
    <t>PVC Receptacle 4"</t>
  </si>
  <si>
    <t>RC Pipe 3/4</t>
  </si>
  <si>
    <t>Receptacle 2x2</t>
  </si>
  <si>
    <t>Receptacle 4x4</t>
  </si>
  <si>
    <t>RSC Conduit Pipe # 1/2"</t>
  </si>
  <si>
    <t>RSC Elbow 1"</t>
  </si>
  <si>
    <t>Rubber Tape</t>
  </si>
  <si>
    <t>Safety Breaker 100A</t>
  </si>
  <si>
    <t>Safety Breaker 20A</t>
  </si>
  <si>
    <t>Safety Switch w/ Fuse 60A</t>
  </si>
  <si>
    <t>Safety Switch w/o Fuse</t>
  </si>
  <si>
    <r>
      <rPr>
        <sz val="12"/>
        <color theme="1"/>
        <rFont val="Calibri"/>
        <family val="2"/>
        <scheme val="minor"/>
      </rPr>
      <t>Screw Insulator 1"</t>
    </r>
    <r>
      <rPr>
        <sz val="12"/>
        <color indexed="8"/>
        <rFont val="Calibri"/>
        <family val="2"/>
      </rPr>
      <t>ф</t>
    </r>
  </si>
  <si>
    <r>
      <rPr>
        <sz val="12"/>
        <color theme="1"/>
        <rFont val="Calibri"/>
        <family val="2"/>
        <scheme val="minor"/>
      </rPr>
      <t>Screw Insulator 2"</t>
    </r>
    <r>
      <rPr>
        <sz val="12"/>
        <color indexed="8"/>
        <rFont val="Calibri"/>
        <family val="2"/>
      </rPr>
      <t>ф</t>
    </r>
  </si>
  <si>
    <t>Service Drop Wire</t>
  </si>
  <si>
    <t>Service Entrance Cap # 1/2"</t>
  </si>
  <si>
    <t>Service Entrance Cap 3/4</t>
  </si>
  <si>
    <t>Spool Insulator</t>
  </si>
  <si>
    <t>Spool Insulator (Big)</t>
  </si>
  <si>
    <t>Stapple Wire # 3/4</t>
  </si>
  <si>
    <t>Staright Connector 3/4"</t>
  </si>
  <si>
    <t>Straight Connector 1/2</t>
  </si>
  <si>
    <t>Straight Connector 1"</t>
  </si>
  <si>
    <t>Stranded THHN/THWN Wire, 12/7</t>
  </si>
  <si>
    <t>Stranded THHN/THWN Wire, 14/7</t>
  </si>
  <si>
    <t>Stranded THHN/THWN Wire, 8/7</t>
  </si>
  <si>
    <t>THHN #10</t>
  </si>
  <si>
    <t>M</t>
  </si>
  <si>
    <r>
      <rPr>
        <sz val="12"/>
        <color theme="1"/>
        <rFont val="Calibri"/>
        <family val="2"/>
        <scheme val="minor"/>
      </rPr>
      <t>THHN Copper Wire 2.0mm</t>
    </r>
    <r>
      <rPr>
        <sz val="12"/>
        <color theme="1"/>
        <rFont val="Calibri"/>
        <family val="2"/>
      </rPr>
      <t>²</t>
    </r>
  </si>
  <si>
    <t>14.5/m</t>
  </si>
  <si>
    <r>
      <rPr>
        <sz val="12"/>
        <color theme="1"/>
        <rFont val="Calibri"/>
        <family val="2"/>
        <scheme val="minor"/>
      </rPr>
      <t>THHN Copper Wire 3.5mm</t>
    </r>
    <r>
      <rPr>
        <sz val="12"/>
        <color theme="1"/>
        <rFont val="Calibri"/>
        <family val="2"/>
      </rPr>
      <t>²</t>
    </r>
  </si>
  <si>
    <t>21.25/m</t>
  </si>
  <si>
    <r>
      <rPr>
        <sz val="12"/>
        <color theme="1"/>
        <rFont val="Calibri"/>
        <family val="2"/>
        <scheme val="minor"/>
      </rPr>
      <t>THHN Copper Wire 5.5mm</t>
    </r>
    <r>
      <rPr>
        <sz val="12"/>
        <color theme="1"/>
        <rFont val="Calibri"/>
        <family val="2"/>
      </rPr>
      <t>²</t>
    </r>
  </si>
  <si>
    <t>32.50/m</t>
  </si>
  <si>
    <r>
      <rPr>
        <sz val="12"/>
        <color theme="1"/>
        <rFont val="Calibri"/>
        <family val="2"/>
        <scheme val="minor"/>
      </rPr>
      <t>THHN Copper Wire 8.0mm</t>
    </r>
    <r>
      <rPr>
        <sz val="12"/>
        <color theme="1"/>
        <rFont val="Calibri"/>
        <family val="2"/>
      </rPr>
      <t>²</t>
    </r>
  </si>
  <si>
    <t>54.25/m</t>
  </si>
  <si>
    <r>
      <rPr>
        <sz val="12"/>
        <color theme="1"/>
        <rFont val="Calibri"/>
        <family val="2"/>
        <scheme val="minor"/>
      </rPr>
      <t>THHN Copper Wire 14mm</t>
    </r>
    <r>
      <rPr>
        <sz val="12"/>
        <color theme="1"/>
        <rFont val="Calibri"/>
        <family val="2"/>
      </rPr>
      <t>²</t>
    </r>
  </si>
  <si>
    <t>80.25/m</t>
  </si>
  <si>
    <r>
      <rPr>
        <sz val="12"/>
        <color theme="1"/>
        <rFont val="Calibri"/>
        <family val="2"/>
        <scheme val="minor"/>
      </rPr>
      <t>TTHN Copper Wire 22mm</t>
    </r>
    <r>
      <rPr>
        <sz val="12"/>
        <color theme="1"/>
        <rFont val="Calibri"/>
        <family val="2"/>
      </rPr>
      <t>²</t>
    </r>
  </si>
  <si>
    <t>143.50/m</t>
  </si>
  <si>
    <r>
      <rPr>
        <sz val="12"/>
        <color theme="1"/>
        <rFont val="Calibri"/>
        <family val="2"/>
        <scheme val="minor"/>
      </rPr>
      <t>THHN Copper Wire 38mm</t>
    </r>
    <r>
      <rPr>
        <sz val="12"/>
        <color theme="1"/>
        <rFont val="Calibri"/>
        <family val="2"/>
      </rPr>
      <t>²</t>
    </r>
  </si>
  <si>
    <t>350.50/m</t>
  </si>
  <si>
    <r>
      <rPr>
        <sz val="12"/>
        <color theme="1"/>
        <rFont val="Calibri"/>
        <family val="2"/>
        <scheme val="minor"/>
      </rPr>
      <t>THHN Copper Wire 50mm</t>
    </r>
    <r>
      <rPr>
        <sz val="12"/>
        <color theme="1"/>
        <rFont val="Calibri"/>
        <family val="2"/>
      </rPr>
      <t>²</t>
    </r>
  </si>
  <si>
    <t>Switch (Surface Type), 1gang</t>
  </si>
  <si>
    <t>Switch (3-way), Flush Type</t>
  </si>
  <si>
    <t>Thumbler swicth ( 1 gang)</t>
  </si>
  <si>
    <t>Thumbler swicth ( 2 gang)</t>
  </si>
  <si>
    <t>Thumbler swicth ( 3 gang)</t>
  </si>
  <si>
    <t>TW #8 Black Standard</t>
  </si>
  <si>
    <t>TW #8 Colored Standard</t>
  </si>
  <si>
    <t>TW 10</t>
  </si>
  <si>
    <t>TW 12</t>
  </si>
  <si>
    <t>TW 14</t>
  </si>
  <si>
    <t>TW Wire #12, Solid</t>
  </si>
  <si>
    <t>TW Wire #14,Solid</t>
  </si>
  <si>
    <t>TW Wire # 14, Stranded</t>
  </si>
  <si>
    <t>TW Wire #14, Stranded</t>
  </si>
  <si>
    <t>Utility Box PVC</t>
  </si>
  <si>
    <t>uPvc Conduit (Polytape) 1/2"ф</t>
  </si>
  <si>
    <t>uPvc Conduit (Polytape) 3/4"ф</t>
  </si>
  <si>
    <t>uPvc Conduit (Polytape) 1"ф</t>
  </si>
  <si>
    <t xml:space="preserve">  8" x 8" Glazed Tiles</t>
  </si>
  <si>
    <t>Pcs.</t>
  </si>
  <si>
    <t xml:space="preserve">  8" x 8" Unglazed Tiles</t>
  </si>
  <si>
    <t xml:space="preserve">  White cement / Tile Groute</t>
  </si>
  <si>
    <t>bag</t>
  </si>
  <si>
    <t xml:space="preserve">  Tile Trim</t>
  </si>
  <si>
    <t>OTHERS</t>
  </si>
  <si>
    <t>Adjustable</t>
  </si>
  <si>
    <t>Barb Wire (150m/roll)</t>
  </si>
  <si>
    <t>Basketball ring</t>
  </si>
  <si>
    <t xml:space="preserve">Besagra </t>
  </si>
  <si>
    <t>Butas</t>
  </si>
  <si>
    <t>Bulldog</t>
  </si>
  <si>
    <t>Cabenet Handle w/ Screw</t>
  </si>
  <si>
    <t>Cabenet Handle</t>
  </si>
  <si>
    <t>Cabenet Hinges</t>
  </si>
  <si>
    <t>Cap Screw 5/16"x4" w/ Nut and Washer</t>
  </si>
  <si>
    <t>Carbon Brush (Makita Brand)#85</t>
  </si>
  <si>
    <t>Carbon Brush, Plainer</t>
  </si>
  <si>
    <t>Chisel</t>
  </si>
  <si>
    <t>Cyclone Wire 5'x9'</t>
  </si>
  <si>
    <t>Drawer handle</t>
  </si>
  <si>
    <t>Drawer Lock</t>
  </si>
  <si>
    <t>Emulsion</t>
  </si>
  <si>
    <t>Electrode Handle</t>
  </si>
  <si>
    <t>Floor Drain</t>
  </si>
  <si>
    <t>Handrill Adoptor</t>
  </si>
  <si>
    <t>Hammer</t>
  </si>
  <si>
    <t>Handwood Saw</t>
  </si>
  <si>
    <t>Hog Wire 4'</t>
  </si>
  <si>
    <t>Hook and Eye</t>
  </si>
  <si>
    <t>Pairs</t>
  </si>
  <si>
    <t>Masking Tape #1</t>
  </si>
  <si>
    <t>Masonry Drill Bit #6.5mm</t>
  </si>
  <si>
    <t>Pala</t>
  </si>
  <si>
    <t>Screw Adoptor</t>
  </si>
  <si>
    <t>Square Tube 1"</t>
  </si>
  <si>
    <t>Square Tube 1.5"</t>
  </si>
  <si>
    <t>Steel Tape/Pulgadera</t>
  </si>
  <si>
    <t>Visecrip</t>
  </si>
  <si>
    <t>Welding Gloves</t>
  </si>
  <si>
    <t>Welding Handle</t>
  </si>
  <si>
    <t>Welding Machine Holder, 300A</t>
  </si>
  <si>
    <t>Wheel Borrow</t>
  </si>
  <si>
    <t>Plastic Varnish</t>
  </si>
  <si>
    <t>Bottles</t>
  </si>
  <si>
    <t>Rugby</t>
  </si>
  <si>
    <t>Culvert 24"</t>
  </si>
  <si>
    <t>Culvert 36"</t>
  </si>
  <si>
    <t>Culvert 48"</t>
  </si>
  <si>
    <t xml:space="preserve">Garden Hose </t>
  </si>
  <si>
    <t>Turn Buckle 12"</t>
  </si>
  <si>
    <t>Roof Corr. G.I Sht. 0.30mmx12</t>
  </si>
  <si>
    <t>Angle Bar 1/4x2</t>
  </si>
  <si>
    <t>Angle Bar 3/16x1.5</t>
  </si>
  <si>
    <t>Cutting Disc 14"</t>
  </si>
  <si>
    <t>Rubberized Paint</t>
  </si>
  <si>
    <t>Pump Belt For Power Spray A016</t>
  </si>
  <si>
    <t>Exhaust Fan 12 inches</t>
  </si>
  <si>
    <t>Shallow Well 2HP, Electric Motor</t>
  </si>
  <si>
    <t>LED 500W</t>
  </si>
  <si>
    <t>PC</t>
  </si>
  <si>
    <t>Push Botton SW</t>
  </si>
  <si>
    <t>BILLBOARD</t>
  </si>
  <si>
    <t>Tarpaulin</t>
  </si>
  <si>
    <t>Construction safety &amp; health Program</t>
  </si>
  <si>
    <t>Hard Hat</t>
  </si>
  <si>
    <t>Reflextorized Body Vest</t>
  </si>
  <si>
    <t>Rubber Boost</t>
  </si>
  <si>
    <t>Hand gloves</t>
  </si>
  <si>
    <t xml:space="preserve"> Medical Kit (content only)</t>
  </si>
  <si>
    <t>Republic of the Philippines</t>
  </si>
  <si>
    <t>Province of South Cotabato</t>
  </si>
  <si>
    <t>City of Koronadal</t>
  </si>
  <si>
    <t>OBLIGATION REQUEST</t>
  </si>
  <si>
    <t>No.</t>
  </si>
  <si>
    <t>100-2018-02</t>
  </si>
  <si>
    <t>Payee/Office</t>
  </si>
  <si>
    <t>Office:</t>
  </si>
  <si>
    <t>CEO</t>
  </si>
  <si>
    <t>Date:</t>
  </si>
  <si>
    <t>Address:</t>
  </si>
  <si>
    <t>City of Koronadal, South Cotabato</t>
  </si>
  <si>
    <t>Responsibilty</t>
  </si>
  <si>
    <t>Particulars</t>
  </si>
  <si>
    <t>F.P.P</t>
  </si>
  <si>
    <t>Account</t>
  </si>
  <si>
    <t>Amount</t>
  </si>
  <si>
    <t>Center</t>
  </si>
  <si>
    <t>Code</t>
  </si>
  <si>
    <t>Capital Outlay</t>
  </si>
  <si>
    <t>Local Development FUND</t>
  </si>
  <si>
    <t>Other Structure</t>
  </si>
  <si>
    <t>107-02-010</t>
  </si>
  <si>
    <t xml:space="preserve">      Materials</t>
  </si>
  <si>
    <t xml:space="preserve">      Labor</t>
  </si>
  <si>
    <t xml:space="preserve">      Equipment Rental </t>
  </si>
  <si>
    <t>Total</t>
  </si>
  <si>
    <t xml:space="preserve">               </t>
  </si>
  <si>
    <t>Certified:</t>
  </si>
  <si>
    <t>Charges to appropriate/allotment</t>
  </si>
  <si>
    <t>necessary, lawful and under my direct supervision</t>
  </si>
  <si>
    <t>Existence of available appropriation</t>
  </si>
  <si>
    <t>Supporting Documents valid, proper and legal</t>
  </si>
  <si>
    <t>Signature:</t>
  </si>
  <si>
    <t>Printed Name:</t>
  </si>
  <si>
    <t>PETER B. MIGUEL, M.D.,FPSO-HNS</t>
  </si>
  <si>
    <t>JULIETA R. GASTALA, MPA</t>
  </si>
  <si>
    <t>Position:</t>
  </si>
  <si>
    <t>City Mayor</t>
  </si>
  <si>
    <t>City Budget Officer</t>
  </si>
  <si>
    <t>100-2013-11-</t>
  </si>
  <si>
    <t>CMO - SEF</t>
  </si>
  <si>
    <t>Public Education</t>
  </si>
  <si>
    <t xml:space="preserve">      Equipment Rental (One Bagger Concrete Mixer)</t>
  </si>
  <si>
    <t xml:space="preserve">      Equipment Rental (Welding Machine)</t>
  </si>
  <si>
    <t>100-2013-12</t>
  </si>
  <si>
    <t>CMO-SEF</t>
  </si>
  <si>
    <t>MOOE</t>
  </si>
  <si>
    <t xml:space="preserve">  Repair &amp; Maintenance</t>
  </si>
  <si>
    <t xml:space="preserve">        Materials</t>
  </si>
  <si>
    <t xml:space="preserve">        Labor</t>
  </si>
  <si>
    <t>No. 200-2014-02</t>
  </si>
  <si>
    <t xml:space="preserve">      Materials Cost</t>
  </si>
  <si>
    <t xml:space="preserve">      Labor Cost</t>
  </si>
  <si>
    <t>(Construction of Basketball Court No.2 w/ complete accessories)</t>
  </si>
  <si>
    <t>(Construction of Volleyball Court w/ complete accessories)</t>
  </si>
  <si>
    <t>(Construction of eleven (11) units of flagpoles w/ complete accessories)</t>
  </si>
  <si>
    <t>No. 200-2014-03</t>
  </si>
  <si>
    <t>(Brigada Eskwela)</t>
  </si>
  <si>
    <t>Other Supplies</t>
  </si>
  <si>
    <t>(Construction of Basketball Court No.1 &amp; 2 w/ complete accessories)</t>
  </si>
  <si>
    <t>Other Supplies Expense</t>
  </si>
  <si>
    <t>No. 200-2014-04</t>
  </si>
  <si>
    <t>(Completion of two (2) unit classroom (kinder) at Carpenter Hill Elementary School)</t>
  </si>
  <si>
    <t xml:space="preserve">      Equipment Rental (Sander)</t>
  </si>
  <si>
    <t>(Improvement of Covered Court/Mini Gym at Sitio Dungan Lahek Elementary School, Brgy. Saravia)</t>
  </si>
  <si>
    <t>Materials Cost</t>
  </si>
  <si>
    <t>Labor Cost</t>
  </si>
  <si>
    <t>Equipment Rental (Hand Drill, One Bagger Concrete Mixer, Concrete Vibrator, Welding Machine, Sander)</t>
  </si>
  <si>
    <t>Construction of Perimeter Lined Canal</t>
  </si>
  <si>
    <t>Osita Elementary School , Brgy Zone II City Of Koronadal</t>
  </si>
  <si>
    <t xml:space="preserve">Additional Labor Cost (Excavation &amp; Embankment) </t>
  </si>
  <si>
    <t>No. 200-2015-09</t>
  </si>
  <si>
    <t>Improvement OF Volleyball court</t>
  </si>
  <si>
    <t>Koronadal National Comprehensive High School</t>
  </si>
  <si>
    <t>Brgy. Zone IV, City Of Koronadal</t>
  </si>
  <si>
    <t>Equipment Rental (Hand Drill, One Bagger Concrete Mixer,  Welding Machine, Sander)</t>
  </si>
  <si>
    <t>`</t>
  </si>
  <si>
    <t>PhP 399,905.96</t>
  </si>
  <si>
    <t>No. 200-2015-10</t>
  </si>
  <si>
    <t>Improvement Of Classroom</t>
  </si>
  <si>
    <t xml:space="preserve">Osita Elementary School, </t>
  </si>
  <si>
    <t>Brgy. Zone 2, City Of Koronadal</t>
  </si>
  <si>
    <t>Improvement Of Water System</t>
  </si>
  <si>
    <t>Koronadal Central Elementary School 2</t>
  </si>
  <si>
    <t>Brgy. Zone 4, City Of Koronadal</t>
  </si>
  <si>
    <t>Artesian Wells, Reservoir &amp; Conduit</t>
  </si>
  <si>
    <t>Equipment Rental   ( Welding Machine, Sander)</t>
  </si>
  <si>
    <t>Irrigation, Canals &amp; Laterals</t>
  </si>
  <si>
    <t>Construction Of Perimeter Line Canal</t>
  </si>
  <si>
    <t>At Osita Elementary School, Brgy. Zone 2</t>
  </si>
  <si>
    <t>City Of Koronadal</t>
  </si>
  <si>
    <t>Improvement OF Two(2) Classroom</t>
  </si>
  <si>
    <t>Magsaysay Elementary School</t>
  </si>
  <si>
    <t>Brgy. Magsaysay, City Of Koronadal</t>
  </si>
  <si>
    <t>Equipment Rental (Hand Drill, One Bagger Concrete Mixer,  Welding Machine, Sander, Plainer)</t>
  </si>
  <si>
    <t>Improvement OF  ClassroomS</t>
  </si>
  <si>
    <t>School Building</t>
  </si>
  <si>
    <t>Equipment Rental (Hand Drill, One Bagger Concrete Mixer,  Bar Cutter, Sander, Plainer)</t>
  </si>
  <si>
    <t>Construction Of Perimeter Fence</t>
  </si>
  <si>
    <t>At Crossing Diaz Elementary School</t>
  </si>
  <si>
    <t>Brgy. San Isidro, City Of Koronadal</t>
  </si>
  <si>
    <t>Improvement O DepEd City Division Office</t>
  </si>
  <si>
    <t>At Jaycee Ave. Corner Rizal St.</t>
  </si>
  <si>
    <t>Equipment Rental (Welding Machine, One Bagger Concrete Mixer, Sander, Plainer)</t>
  </si>
  <si>
    <t>Construction Of Two(2) Classroom</t>
  </si>
  <si>
    <t>At Ulo-mlao Elementary School</t>
  </si>
  <si>
    <t>Brgy. Assumption, City Of Koronadal</t>
  </si>
  <si>
    <t xml:space="preserve">At Bacongco National High School Annex </t>
  </si>
  <si>
    <t>Pula Campus</t>
  </si>
  <si>
    <t>Improvement Of  Playing Venue For National</t>
  </si>
  <si>
    <t>PRISAA 2016</t>
  </si>
  <si>
    <t>At City Of Koronadal</t>
  </si>
  <si>
    <t>Equipment Rental (Welding Machine)</t>
  </si>
  <si>
    <t>No. 200-2016-01</t>
  </si>
  <si>
    <t>CMO -BDP</t>
  </si>
  <si>
    <t>Local Development Program</t>
  </si>
  <si>
    <t>Barangay Development Fund</t>
  </si>
  <si>
    <t>Improvement Of Stage at Purok Felipe</t>
  </si>
  <si>
    <t>Equipment Rental</t>
  </si>
  <si>
    <t>Construction of Senior Citizen Building</t>
  </si>
  <si>
    <t>Brgy. Paraiso, City Of Koronadal</t>
  </si>
  <si>
    <t>No. 200-2016-06</t>
  </si>
  <si>
    <t>Improvement of Senior Citizen Building</t>
  </si>
  <si>
    <t>No. 200-2016-07</t>
  </si>
  <si>
    <t>Construction Of Day Care Center ( Phase-1 )</t>
  </si>
  <si>
    <t>Purok Bagacay,Brgy. Caloocan, City Of Koronadal</t>
  </si>
  <si>
    <t>Completion Of Sr. Citizen Bldg</t>
  </si>
  <si>
    <t>Brgy. Plaza, Brgy. Rotonda, City Of Koronadal</t>
  </si>
  <si>
    <t>Improvement Of Day Care Center</t>
  </si>
  <si>
    <t>Prk. Villegas, Brgy. Zone 3, City Of Koronadal</t>
  </si>
  <si>
    <t>Construction of MPB (Rice Cono Mill Shed)</t>
  </si>
  <si>
    <t xml:space="preserve"> Brgy. New Pangasinan, City Of Koronadal</t>
  </si>
  <si>
    <t>Improvement Of Senior Citizen Building</t>
  </si>
  <si>
    <t xml:space="preserve"> Brgy. Namnama, City Of Koronadal</t>
  </si>
  <si>
    <t xml:space="preserve"> Brgy. Avancena, City Of Koronadal</t>
  </si>
  <si>
    <t>Construction Of Senior Citizen Building</t>
  </si>
  <si>
    <t xml:space="preserve"> Brgy. Zone 1, City Of Koronadal</t>
  </si>
  <si>
    <t xml:space="preserve">Republic of the Philippines </t>
  </si>
  <si>
    <t xml:space="preserve">Province of South Cotabato </t>
  </si>
  <si>
    <t xml:space="preserve">City of Koronadal </t>
  </si>
  <si>
    <t>OFFICE OF THE CITY ENGINEER</t>
  </si>
  <si>
    <t>Project:</t>
  </si>
  <si>
    <t>Proposed Covered Pathway at PRE Fabrication Isolation Facility</t>
  </si>
  <si>
    <t>Location:</t>
  </si>
  <si>
    <t>Back of New City Hall Building, Barangay Zone -111 Koronadal City</t>
  </si>
  <si>
    <t>Project Cost  Php:</t>
  </si>
  <si>
    <t>PROGRAM OF WORKS</t>
  </si>
  <si>
    <t>ITEM</t>
  </si>
  <si>
    <t>SCOPE OF WORKS</t>
  </si>
  <si>
    <t>SPL - 1</t>
  </si>
  <si>
    <t>PRE FABRICATION FACILITY</t>
  </si>
  <si>
    <t>QUANTITY =</t>
  </si>
  <si>
    <t>6m length x 3m width x 2.8m height</t>
  </si>
  <si>
    <t>a. sliding windows  with PVC ( 1150mm x 1130mm) - 2 sets</t>
  </si>
  <si>
    <t>b. High Quality steel door 725mmx1970mm ( door panel 0.4mm thick, frame 1.0mm)      - 2 sets</t>
  </si>
  <si>
    <t>c. Flooring 18mm MGO board with quality PVC Cover</t>
  </si>
  <si>
    <t>d. Wall 50mm polystyrene insulation</t>
  </si>
  <si>
    <t>e. 50mm glass wool with interior with interior ceilings</t>
  </si>
  <si>
    <t>f. 4mm powder coated Galvanized sheet  roof cover</t>
  </si>
  <si>
    <t>g. Electrical ( 2 switch, 4 -  2gang, 2 electrical distribution box, 2 led light 18 wats, 2 led light 12 watts, 2 breaker, embedded electrical wiring )</t>
  </si>
  <si>
    <t>h. 2 -Table and  2 - Chairs for nurse station</t>
  </si>
  <si>
    <t>i. television - 2 sets</t>
  </si>
  <si>
    <t>j. steel bed- 2 sets (except for nurse station)</t>
  </si>
  <si>
    <t>k. foam 3 in 2- sets (except for nurse station)</t>
  </si>
  <si>
    <t>l. pillowcase - 2 sets (except for nurse station)</t>
  </si>
  <si>
    <t>m. bedsheet blanket - 4 sets (except for nurse station)</t>
  </si>
  <si>
    <t>n. Toilet Flush bowl</t>
  </si>
  <si>
    <t>o. faucet</t>
  </si>
  <si>
    <t>p. shower head and Floor drain</t>
  </si>
  <si>
    <t>q. Lavatory</t>
  </si>
  <si>
    <t>r. exhaust fan</t>
  </si>
  <si>
    <t>s. floor tiles 40cmx40cm Ceramic Unglazed</t>
  </si>
  <si>
    <t>t. ACU ( window Type )</t>
  </si>
  <si>
    <t>u. Installation of pre fabrication facility</t>
  </si>
  <si>
    <t xml:space="preserve">SUB TOTAL = </t>
  </si>
  <si>
    <t>DIRECT COST=</t>
  </si>
  <si>
    <t xml:space="preserve">UNIT COST = </t>
  </si>
  <si>
    <t>per span quantity</t>
  </si>
  <si>
    <t>Materials</t>
  </si>
  <si>
    <t>UNIT COST</t>
  </si>
  <si>
    <t>AMOUNT</t>
  </si>
  <si>
    <t>100 coco-lumber ( 2x3x12 )</t>
  </si>
  <si>
    <t>100 coco lumber (2x2x12)</t>
  </si>
  <si>
    <t>Marine plywood</t>
  </si>
  <si>
    <t>sht</t>
  </si>
  <si>
    <t>Nylon string</t>
  </si>
  <si>
    <t>CWN 4"</t>
  </si>
  <si>
    <t>CWN 2 1/2"</t>
  </si>
  <si>
    <t>CWN 1 1/2"</t>
  </si>
  <si>
    <t>STEEL WORKS ( TRUSS )</t>
  </si>
  <si>
    <t>2" diam. GI PIPE SCHEDULE. 40</t>
  </si>
  <si>
    <t>1 1/2" diam. GI PIPE SCHEDULE. 40</t>
  </si>
  <si>
    <t>6mm thick gusset plate</t>
  </si>
  <si>
    <t>10mm thick Base plate</t>
  </si>
  <si>
    <t>Cutting disc</t>
  </si>
  <si>
    <t>Welding rod N (1630)</t>
  </si>
  <si>
    <t>Equipment</t>
  </si>
  <si>
    <t>1-Electric sander</t>
  </si>
  <si>
    <t>1 Welding Machine</t>
  </si>
  <si>
    <t>STEEL WORKS ( GIRT 1)</t>
  </si>
  <si>
    <t>1/4 x 1 1/2 " angle bar</t>
  </si>
  <si>
    <t xml:space="preserve">STEEL WORKS ( Gutter Frame ) </t>
  </si>
  <si>
    <t>1/4 x 1 " angle bar</t>
  </si>
  <si>
    <t>Roofing Works</t>
  </si>
  <si>
    <t>PRE painted rib type long span ( 0.40mm )</t>
  </si>
  <si>
    <t>PRE fabricated gutter ( 0.40mm )</t>
  </si>
  <si>
    <t>2x3x1.2mm CEE Purlins</t>
  </si>
  <si>
    <t>tex screw 2 1/2</t>
  </si>
  <si>
    <t>Cutting Disc</t>
  </si>
  <si>
    <t>1 Electril Drill</t>
  </si>
  <si>
    <t>Painting Works</t>
  </si>
  <si>
    <t>diam</t>
  </si>
  <si>
    <t>sa</t>
  </si>
  <si>
    <t>2"</t>
  </si>
  <si>
    <t>Red oxide</t>
  </si>
  <si>
    <t>1.5"</t>
  </si>
  <si>
    <t>Automotive paint silver</t>
  </si>
  <si>
    <t>1.5" a</t>
  </si>
  <si>
    <t>Lacquer thinner</t>
  </si>
  <si>
    <t>Paint brush (4")</t>
  </si>
  <si>
    <t>1" a</t>
  </si>
  <si>
    <t>Paint brush (2")</t>
  </si>
  <si>
    <t>2x3</t>
  </si>
  <si>
    <t>Paint brush (1")</t>
  </si>
  <si>
    <t>Electrical works</t>
  </si>
  <si>
    <t>18 Watts LED Bulb</t>
  </si>
  <si>
    <t>Electrical Wire (Stranded THHN/THWN #14)</t>
  </si>
  <si>
    <t>Flexible Hose 1/2" diameter</t>
  </si>
  <si>
    <t>PVC junction Box 4"</t>
  </si>
  <si>
    <t>2 gang Lighting Switch</t>
  </si>
  <si>
    <t>Concrete Pavers</t>
  </si>
  <si>
    <t>Hexagonal Pavers 250mm sides X 10mm thick</t>
  </si>
  <si>
    <t>sand</t>
  </si>
  <si>
    <t>cement</t>
  </si>
  <si>
    <t>Sand</t>
  </si>
  <si>
    <t>Portland Cement</t>
  </si>
  <si>
    <t>CHB 4"</t>
  </si>
  <si>
    <t>Reinforced Steel Bar</t>
  </si>
  <si>
    <t>Tie Wire #4</t>
  </si>
  <si>
    <t>Insulator</t>
  </si>
  <si>
    <t>P.E.  Insulation foam heat reject aluminum</t>
  </si>
  <si>
    <t>premium (5mm double side)</t>
  </si>
  <si>
    <t>Septic Tank</t>
  </si>
  <si>
    <t>VP ST-1000 VER. SEPTIC TANK (BLK)</t>
  </si>
  <si>
    <t>Fittings and other accessories 20%</t>
  </si>
  <si>
    <t>l.s.</t>
  </si>
  <si>
    <t>Plumbing Works</t>
  </si>
  <si>
    <t xml:space="preserve">PVC PIPE 4" diam. S1000 </t>
  </si>
  <si>
    <t>PVC PIPE 3" diam. S1000</t>
  </si>
  <si>
    <t>PPR Pipe 1/2" diam.</t>
  </si>
  <si>
    <t>PVC Fittings 10% of total amount PVC Pipe</t>
  </si>
  <si>
    <t>Gravel</t>
  </si>
  <si>
    <t xml:space="preserve">MATERIALS = </t>
  </si>
  <si>
    <t xml:space="preserve">LABOR = </t>
  </si>
  <si>
    <t xml:space="preserve">EQUIPMENT RENTAL = </t>
  </si>
  <si>
    <t xml:space="preserve">TOTAL AMOUNT  = </t>
  </si>
  <si>
    <t>Prepared By:</t>
  </si>
  <si>
    <t>Reviewed By:</t>
  </si>
  <si>
    <t>JOHN JOVI Z. ANGOR</t>
  </si>
  <si>
    <t xml:space="preserve">ZALDY A. GAYOSA </t>
  </si>
  <si>
    <t>Engineer I</t>
  </si>
  <si>
    <t>Engineer III</t>
  </si>
  <si>
    <t>Recommending Approval:</t>
  </si>
  <si>
    <t>Approved By:</t>
  </si>
  <si>
    <t>RUEL C. TIANCHON</t>
  </si>
  <si>
    <t>PETER B. MIGUEL,MD., FPSO - HNS</t>
  </si>
  <si>
    <t>City Engineer</t>
  </si>
  <si>
    <t>CITY MAYORS OFFICE - BARANGAY DEVELOPMENT PROGRAM</t>
  </si>
  <si>
    <t>PROGRAM OF WORK/BUDGET COST FOR KORONADAL CITY INFRASTRUCTURE PROJECTS</t>
  </si>
  <si>
    <t>PROJECT:</t>
  </si>
  <si>
    <t xml:space="preserve">COMPLETION, RENOVATION AND 
IMPROVEMENT OF  DAY CARE CENTER
</t>
  </si>
  <si>
    <t xml:space="preserve">SITIO BADAC, BARANGAY SARAVIA, PUROK SAN FRANCISCO BARANGAY
NEW PANGASINAN, </t>
  </si>
  <si>
    <t xml:space="preserve">Total No.of Units: </t>
  </si>
  <si>
    <t xml:space="preserve">PUROK BAGONG LIPUNAN BARANGAY SAN ISIDRO AND 
PUROK KAUSWAGAN BARANGAY SARAVIA
</t>
  </si>
  <si>
    <t>Classification:</t>
  </si>
  <si>
    <t>Starting Date:</t>
  </si>
  <si>
    <t>Upon Approval</t>
  </si>
  <si>
    <t>Total Project Duration:</t>
  </si>
  <si>
    <t>Estimated Project Cost:</t>
  </si>
  <si>
    <t>No. of Working Days:</t>
  </si>
  <si>
    <t>Source of Fund:</t>
  </si>
  <si>
    <t>20 % LOCAL DEVELOPMENT PLAN ( AIP 2025 )</t>
  </si>
  <si>
    <t>No. of Pre-determined:</t>
  </si>
  <si>
    <t>Project limits:</t>
  </si>
  <si>
    <t>Unworkable Days:</t>
  </si>
  <si>
    <t>DEPENDENCY</t>
  </si>
  <si>
    <t>CD</t>
  </si>
  <si>
    <t>ITEM NO.</t>
  </si>
  <si>
    <t>DESCRIPTION OF WORK</t>
  </si>
  <si>
    <t>% OF</t>
  </si>
  <si>
    <t>EQUIPMENT</t>
  </si>
  <si>
    <t>TOTAL</t>
  </si>
  <si>
    <t>QTY</t>
  </si>
  <si>
    <t>DESCRIPTION</t>
  </si>
  <si>
    <t>ONE BAGGER MIXER</t>
  </si>
  <si>
    <t>BAR CUTTER</t>
  </si>
  <si>
    <t>BAR BENDER</t>
  </si>
  <si>
    <t>GRAND TOTAL:</t>
  </si>
  <si>
    <t>ESTIMATED COST OF PROPOSED WORK</t>
  </si>
  <si>
    <t xml:space="preserve">UNIT </t>
  </si>
  <si>
    <t>TOTAL COST</t>
  </si>
  <si>
    <t>SUB TOTAL:</t>
  </si>
  <si>
    <t>BREAKDOWN OF EXPENDITURE:</t>
  </si>
  <si>
    <t>1.</t>
  </si>
  <si>
    <t>Labor</t>
  </si>
  <si>
    <t>A.</t>
  </si>
  <si>
    <t>Sub-Total</t>
  </si>
  <si>
    <t>2.</t>
  </si>
  <si>
    <t xml:space="preserve">Materials </t>
  </si>
  <si>
    <t>B.</t>
  </si>
  <si>
    <t>Construction Contingencies</t>
  </si>
  <si>
    <t>3.</t>
  </si>
  <si>
    <t>Rental of Equipment</t>
  </si>
  <si>
    <t>C.</t>
  </si>
  <si>
    <t>Total Construction Cost</t>
  </si>
  <si>
    <t>Rental of Field Office</t>
  </si>
  <si>
    <t>D.</t>
  </si>
  <si>
    <t>Engineering admin</t>
  </si>
  <si>
    <t>Direct Cost</t>
  </si>
  <si>
    <t>Admin.Overhead (%)</t>
  </si>
  <si>
    <t>E.</t>
  </si>
  <si>
    <t>Payment of Affected Improvements</t>
  </si>
  <si>
    <t>F.</t>
  </si>
  <si>
    <t>TOTAL ESTIMATED COST</t>
  </si>
  <si>
    <t>Prepared by:</t>
  </si>
  <si>
    <t>Checked by:</t>
  </si>
  <si>
    <t>Reviewed by:</t>
  </si>
  <si>
    <t>ARMENIO F. CARBON</t>
  </si>
  <si>
    <t>ENGR. JOHN JOVI Z. ANGOR</t>
  </si>
  <si>
    <t>ENGINEERING ASSISTANT</t>
  </si>
  <si>
    <t>ENGINEER - I</t>
  </si>
  <si>
    <t>BDP COORDINATOR</t>
  </si>
  <si>
    <t xml:space="preserve">  Approved by:</t>
  </si>
  <si>
    <t xml:space="preserve">ENGR. RUEL C. TIANCHON </t>
  </si>
  <si>
    <t>ATTY. ELIORDO U. OGENA</t>
  </si>
  <si>
    <t xml:space="preserve">   </t>
  </si>
  <si>
    <t>CITY ENGINEER</t>
  </si>
  <si>
    <t>CITY MAYOR</t>
  </si>
  <si>
    <t>Name of the Procuring Entity</t>
  </si>
  <si>
    <t>Project Reference Number:</t>
  </si>
  <si>
    <t>Name of Project:</t>
  </si>
  <si>
    <t>Standard Form Number: SF-GOOD-59</t>
  </si>
  <si>
    <t>Location of Project:</t>
  </si>
  <si>
    <t>Revised on July 04, 2022</t>
  </si>
  <si>
    <t>Standard Form Title: Purchase Request</t>
  </si>
  <si>
    <t>PURCHASE REQUEST</t>
  </si>
  <si>
    <t>CITY GOVERNMENT OF KORONADAL</t>
  </si>
  <si>
    <t>LGU</t>
  </si>
  <si>
    <t>Department:</t>
  </si>
  <si>
    <t>CMO-BDP</t>
  </si>
  <si>
    <t>PR No.:</t>
  </si>
  <si>
    <t>Section:</t>
  </si>
  <si>
    <t>SAI No.:</t>
  </si>
  <si>
    <t>Stock</t>
  </si>
  <si>
    <t>Item Description</t>
  </si>
  <si>
    <t>QTY.</t>
  </si>
  <si>
    <t>Unit Cost</t>
  </si>
  <si>
    <t xml:space="preserve">Purpose/Remarks: </t>
  </si>
  <si>
    <t>Requested by:</t>
  </si>
  <si>
    <r>
      <rPr>
        <sz val="9"/>
        <rFont val="Calibri"/>
        <family val="2"/>
      </rPr>
      <t>Certified:</t>
    </r>
    <r>
      <rPr>
        <sz val="8"/>
        <rFont val="Calibri"/>
        <family val="2"/>
      </rPr>
      <t xml:space="preserve"> As to Existence of Available Appropriation:</t>
    </r>
  </si>
  <si>
    <t>Approved:</t>
  </si>
  <si>
    <t>FRANCES EIREEN S. ABRIS-GATACELO,CPA</t>
  </si>
  <si>
    <t>Designation:</t>
  </si>
  <si>
    <t>BDP Program Coordinator</t>
  </si>
  <si>
    <t>SAO ( Budget Office IV ) OIC Budget Officer</t>
  </si>
  <si>
    <t>NOTHING FOLLOWS</t>
  </si>
  <si>
    <t>45 CALENDAR DAYS DELIVERY PERIOD</t>
  </si>
  <si>
    <t>I</t>
  </si>
  <si>
    <t>L</t>
  </si>
  <si>
    <t>W</t>
  </si>
  <si>
    <t>T</t>
  </si>
  <si>
    <t>VOLUME</t>
  </si>
  <si>
    <t>NO. OF PERSONS</t>
  </si>
  <si>
    <t>NO. OF HOURS</t>
  </si>
  <si>
    <t>RATE PER HOUR</t>
  </si>
  <si>
    <t>Construction Foreman</t>
  </si>
  <si>
    <t>Skilled Worker ( Carpenter )</t>
  </si>
  <si>
    <t>Skilled Worker ( Mason )</t>
  </si>
  <si>
    <t>Laborer</t>
  </si>
  <si>
    <t>Premium Portland Cement ASTM C595</t>
  </si>
  <si>
    <t>Gravel 3/4", Crushed</t>
  </si>
  <si>
    <t>II</t>
  </si>
  <si>
    <t>VERT</t>
  </si>
  <si>
    <t>l</t>
  </si>
  <si>
    <t>LN.M.</t>
  </si>
  <si>
    <t>HOR .BAR</t>
  </si>
  <si>
    <t>Skilled Worker ( Steel Man )</t>
  </si>
  <si>
    <t>PLANKS</t>
  </si>
  <si>
    <t>10mm diam x 6m corr. Deform bar</t>
  </si>
  <si>
    <t>12mm diam x 6m corr. Deform bar</t>
  </si>
  <si>
    <t>Tie Wire # 16</t>
  </si>
  <si>
    <t>Cutting Disc 4" ( Flexiarapid super A 60 U )</t>
  </si>
  <si>
    <t>III</t>
  </si>
  <si>
    <t>Coco-lumber ( 2"x3"x12' )</t>
  </si>
  <si>
    <t>Coco-lumber ( 2"x2"x12' )</t>
  </si>
  <si>
    <t>Ordinary plywood 10MM 4'X8'</t>
  </si>
  <si>
    <t>Nylon string ( 0.40mm )</t>
  </si>
  <si>
    <t>CWN 3"</t>
  </si>
  <si>
    <t>Hardware cloth 1/8"</t>
  </si>
  <si>
    <t>IV</t>
  </si>
  <si>
    <t>MASONRY WORKS ( CHB Laying  and Plastering )</t>
  </si>
  <si>
    <t>V</t>
  </si>
  <si>
    <t>Skilled Worker ( Tinsmith )</t>
  </si>
  <si>
    <t>Pre fabricated Long Span (0.40mm THK)</t>
  </si>
  <si>
    <t>Tek Screw #2</t>
  </si>
  <si>
    <t>Cee-Purlins 1.2mmx2"x4"x6m</t>
  </si>
  <si>
    <t>Cee Purlins 1.2mmx2"x3"x6m</t>
  </si>
  <si>
    <t>Grinding Stone 4"</t>
  </si>
  <si>
    <t>Drill bit 3/16</t>
  </si>
  <si>
    <t>VI</t>
  </si>
  <si>
    <t>Skilled Worker ( Painter )</t>
  </si>
  <si>
    <t>Epoxy Primer gray ( Premium quality )</t>
  </si>
  <si>
    <t>Semi-Gloss Latex (Raw Sienna) ( Premium quality )</t>
  </si>
  <si>
    <t>Flat Latex White ( Premium quality )</t>
  </si>
  <si>
    <t>Polytuff with hardener</t>
  </si>
  <si>
    <t>Lacquer Thinner ( Mayon )</t>
  </si>
  <si>
    <t>Roller Brush #7 with pan</t>
  </si>
  <si>
    <t>Paint Brush #1</t>
  </si>
  <si>
    <t>Paint Brush #2</t>
  </si>
  <si>
    <t>Paint Brush #3</t>
  </si>
  <si>
    <t>Paint Brush #4</t>
  </si>
  <si>
    <t>Baby Roller 4"</t>
  </si>
  <si>
    <t>Sand Paper #120</t>
  </si>
  <si>
    <t>VII</t>
  </si>
  <si>
    <t>PLUMBING AND TILE WORKS</t>
  </si>
  <si>
    <t>Skilled Worker ( Plumber )</t>
  </si>
  <si>
    <t>Glazed Ceramic Tiles ( 0.60mx0.460m )</t>
  </si>
  <si>
    <t>Unglazed Ceramic Tiles ( 0.40mx0.40m )</t>
  </si>
  <si>
    <t>Glazed Ceramic Tiles ( 0.40mx0.40m )</t>
  </si>
  <si>
    <t>PVC Pipe 4" S1000</t>
  </si>
  <si>
    <t>PVC Pipe 2" S1000</t>
  </si>
  <si>
    <t>PVC Pipe 1/2" S1000</t>
  </si>
  <si>
    <t>PVC Elbow 90 deg. 4"</t>
  </si>
  <si>
    <t>PVC Elbow 45 deg. 4"</t>
  </si>
  <si>
    <t>PVC WYE Reducer 4"x 2"</t>
  </si>
  <si>
    <t>PVC P - Trap 2"</t>
  </si>
  <si>
    <t xml:space="preserve">PVC Elbow 90 deg. 2" </t>
  </si>
  <si>
    <t>Stainless Faucet 1/2"</t>
  </si>
  <si>
    <t>PVC Elbow 90 deg. 2" ( blue )</t>
  </si>
  <si>
    <t>PVC Tee 2"x2" (blue)</t>
  </si>
  <si>
    <t>Solvent Cement (100cc)</t>
  </si>
  <si>
    <t>Water Close ( Nation )</t>
  </si>
  <si>
    <t>Stainless Floor Drain 4"x4"</t>
  </si>
  <si>
    <t>VIII</t>
  </si>
  <si>
    <t>Jalousie Windows with fixed Glass and complete accessories 2.45mx1.50m</t>
  </si>
  <si>
    <t>Awning Window Analoc Frame with complete accessories</t>
  </si>
  <si>
    <t>1.00mx2.10m Pre Painted Decorative Wooden Panel Door With Heavy duty Door Knob and Complete accessories</t>
  </si>
  <si>
    <t>0.70mx2.10m PVC Door With Heavy duty Door Knob and Complete accessories</t>
  </si>
  <si>
    <t>IX</t>
  </si>
  <si>
    <t>Skilled Worker ( Electrician )</t>
  </si>
  <si>
    <t>THHN Wire #2mm</t>
  </si>
  <si>
    <t>THHN Wire #3.5mm</t>
  </si>
  <si>
    <t>THHN Wire #8mm</t>
  </si>
  <si>
    <t>meter</t>
  </si>
  <si>
    <t>Flexible Hose 1/2</t>
  </si>
  <si>
    <t>PVC Pipe 1/2" S1000 Orange</t>
  </si>
  <si>
    <t>Utility Box</t>
  </si>
  <si>
    <t>Junction Box</t>
  </si>
  <si>
    <t>Convenience Outlet 2 Gang Flash Type</t>
  </si>
  <si>
    <t>Switch Flash Type 3 Gang</t>
  </si>
  <si>
    <t>Switch Flash Type 2 Gang</t>
  </si>
  <si>
    <t>Switch Flash Type 1 Gang</t>
  </si>
  <si>
    <t>Flexible Connector 1/2</t>
  </si>
  <si>
    <t>Electrical Tape Big</t>
  </si>
  <si>
    <t>Receptacle Outlet</t>
  </si>
  <si>
    <t>Led Tube 18Watts with Housing</t>
  </si>
  <si>
    <t>Led Bulb 9 Watts</t>
  </si>
  <si>
    <t>Entrance Cap 1/2</t>
  </si>
  <si>
    <t>PVC Elbow 90 Degree 1/2 Orange ( Long Bend )</t>
  </si>
  <si>
    <t>X</t>
  </si>
  <si>
    <t>Tarpaulin with wood Frame (8'x8')</t>
  </si>
  <si>
    <t>lots</t>
  </si>
  <si>
    <t>LABOR  %</t>
  </si>
  <si>
    <t>XI</t>
  </si>
  <si>
    <t>CEILING WORKS</t>
  </si>
  <si>
    <t>Skilled Worker ( Carpenter)</t>
  </si>
  <si>
    <t xml:space="preserve">Cement Board 4.5mm x 4 x 8 </t>
  </si>
  <si>
    <t>Metal Furring  Double</t>
  </si>
  <si>
    <t>Carrying Channel</t>
  </si>
  <si>
    <t>W. Clip</t>
  </si>
  <si>
    <t>Blind Rivets 1/8" x 1/2"</t>
  </si>
  <si>
    <t>Concrete Nails #1</t>
  </si>
  <si>
    <t>XII</t>
  </si>
  <si>
    <t>Skilled Worker ( Welder)</t>
  </si>
  <si>
    <t>GI Pipe 1.5" Schd. 40</t>
  </si>
  <si>
    <t>Angle Bar 1"x1"x5mm</t>
  </si>
  <si>
    <t>Steel Matting 4.5mm</t>
  </si>
  <si>
    <t>GI Pipe 3" Schd. 40</t>
  </si>
  <si>
    <t>TOTAL LABOR</t>
  </si>
  <si>
    <t>PREPARED BY:</t>
  </si>
  <si>
    <t>CHECKED BY:</t>
  </si>
  <si>
    <t>REVIEWED BY:</t>
  </si>
  <si>
    <t>ENGINEERING ASSITANT</t>
  </si>
  <si>
    <t>RECOMMENDING APPROVAL</t>
  </si>
  <si>
    <t>APPRVED BY:</t>
  </si>
  <si>
    <t>ENGR. RUEL C. TIANCHON, REA, REB</t>
  </si>
  <si>
    <t>Construction of Covered Pathway at City hall Entrance/Exit   ( 29 SPAN, 3m length/span)</t>
  </si>
  <si>
    <t>Construction of Covered Pathway at City hall Entrance/Exit</t>
  </si>
  <si>
    <t xml:space="preserve"> ( 29 SPAN, 3m length/span)</t>
  </si>
  <si>
    <t xml:space="preserve">Net Length: </t>
  </si>
  <si>
    <t>CITY HALL SITE, CITY OF KORONADAL</t>
  </si>
  <si>
    <t>C.D.</t>
  </si>
  <si>
    <t>REQUIRED</t>
  </si>
  <si>
    <t>Structural excavation</t>
  </si>
  <si>
    <t>SPL - 3</t>
  </si>
  <si>
    <t>Formworks</t>
  </si>
  <si>
    <t>900(7)</t>
  </si>
  <si>
    <t>Reinforce Concrete</t>
  </si>
  <si>
    <t>Steel Works ( support ) ( 6.5m )</t>
  </si>
  <si>
    <t>1047(1)</t>
  </si>
  <si>
    <t>Steel Works ( GIRT 1 ) ( 13.41m )</t>
  </si>
  <si>
    <t>Electric drill</t>
  </si>
  <si>
    <t>1047(2)</t>
  </si>
  <si>
    <t>Steel Works ( GIRT 2 ) ( 12.13m )</t>
  </si>
  <si>
    <t>1047(3)</t>
  </si>
  <si>
    <t>Steel Works ( TRUSS 1 ) ( 9.74m )</t>
  </si>
  <si>
    <t>903(1)</t>
  </si>
  <si>
    <t>SPL - 2</t>
  </si>
  <si>
    <t>Billboards</t>
  </si>
  <si>
    <t>SPL - 8</t>
  </si>
  <si>
    <t>Mobilization / Demobilization</t>
  </si>
  <si>
    <t>SPL -4</t>
  </si>
  <si>
    <t>Construction of Safety and Health Program</t>
  </si>
  <si>
    <t>LABOR</t>
  </si>
  <si>
    <t>MATERIALS</t>
  </si>
  <si>
    <t>OCM</t>
  </si>
  <si>
    <t>PROFIT</t>
  </si>
  <si>
    <t>VAT</t>
  </si>
  <si>
    <t>TOTAL DIRECT COST</t>
  </si>
  <si>
    <t>ADJUSTED</t>
  </si>
  <si>
    <t>bd.ft.</t>
  </si>
  <si>
    <t>Engineering and Admin.</t>
  </si>
  <si>
    <t>Overhead (%)</t>
  </si>
  <si>
    <t>OCM, Profit, QC, MCB</t>
  </si>
  <si>
    <t>7.</t>
  </si>
  <si>
    <t>8.</t>
  </si>
  <si>
    <t>9.</t>
  </si>
  <si>
    <t>Const. Contingencies</t>
  </si>
  <si>
    <t>10.</t>
  </si>
  <si>
    <t>Engineering Overhead</t>
  </si>
  <si>
    <t>11.</t>
  </si>
  <si>
    <t>Payment of Affected</t>
  </si>
  <si>
    <t>Improvements</t>
  </si>
  <si>
    <t>12.</t>
  </si>
  <si>
    <t>ENGR. ZALDY A. GAYOSA</t>
  </si>
  <si>
    <t>ENGINEER 1</t>
  </si>
  <si>
    <t>CMO-SEF PROGRAM HOLDER</t>
  </si>
  <si>
    <t>Noted By:</t>
  </si>
  <si>
    <t>Approved by:</t>
  </si>
  <si>
    <t>ENGR. RUEL C. TIANCHON</t>
  </si>
  <si>
    <t>DETAILED UNIT PRICE ANALYSIS</t>
  </si>
  <si>
    <t>PROJECT</t>
  </si>
  <si>
    <t>:</t>
  </si>
  <si>
    <t>Item No.</t>
  </si>
  <si>
    <t>Description</t>
  </si>
  <si>
    <t>Quantity</t>
  </si>
  <si>
    <t>Output Per Hour:</t>
  </si>
  <si>
    <t>hours</t>
  </si>
  <si>
    <t>Designation</t>
  </si>
  <si>
    <t>No. of Person</t>
  </si>
  <si>
    <t>No. of Hours</t>
  </si>
  <si>
    <t>Houry Rate</t>
  </si>
  <si>
    <t xml:space="preserve">AMOUNT </t>
  </si>
  <si>
    <t xml:space="preserve">a. Construction Foreman </t>
  </si>
  <si>
    <t xml:space="preserve">b. Skilled Labor </t>
  </si>
  <si>
    <t xml:space="preserve">c. Unskilled Labor </t>
  </si>
  <si>
    <t>Sub Total for A</t>
  </si>
  <si>
    <t>Name &amp; Capacity</t>
  </si>
  <si>
    <t>No. of units</t>
  </si>
  <si>
    <t xml:space="preserve"> Equipment</t>
  </si>
  <si>
    <t>Sub Total for B</t>
  </si>
  <si>
    <t>Name &amp; Specifications</t>
  </si>
  <si>
    <t xml:space="preserve"> Units</t>
  </si>
  <si>
    <t>Unit cost</t>
  </si>
  <si>
    <t xml:space="preserve"> Materials</t>
  </si>
  <si>
    <t>Sub-Total for C</t>
  </si>
  <si>
    <t>Total Direct Cost</t>
  </si>
  <si>
    <t>A+B+C</t>
  </si>
  <si>
    <t>Overhead,Contingencies and Miscellaneous</t>
  </si>
  <si>
    <t>(OCM)</t>
  </si>
  <si>
    <t>15% of D</t>
  </si>
  <si>
    <t>Contractor's Profit (CP)</t>
  </si>
  <si>
    <t>10%of D</t>
  </si>
  <si>
    <t>G.</t>
  </si>
  <si>
    <t>Value Added Tax (VAT)</t>
  </si>
  <si>
    <t>5%*(D+E+F)</t>
  </si>
  <si>
    <t>H.</t>
  </si>
  <si>
    <t>Total Cost</t>
  </si>
  <si>
    <t>(D+E+F+G)</t>
  </si>
  <si>
    <t>I.</t>
  </si>
  <si>
    <t>Total Unit Cost</t>
  </si>
  <si>
    <t>H/Qty.</t>
  </si>
  <si>
    <t>b. Skilled Labor ( Welder )</t>
  </si>
  <si>
    <t>kgs.</t>
  </si>
  <si>
    <t>Concrete Vibrator</t>
  </si>
  <si>
    <t>Concrete Mixer one bagger</t>
  </si>
  <si>
    <t>Cement</t>
  </si>
  <si>
    <t>12mm RSB</t>
  </si>
  <si>
    <t>10mm RSB</t>
  </si>
  <si>
    <t>Empty container</t>
  </si>
  <si>
    <t>tie wire GA. 16</t>
  </si>
  <si>
    <t>Gravel 3/4</t>
  </si>
  <si>
    <t>Anchor bolt w/ nut &amp; washer ( 12mm )</t>
  </si>
  <si>
    <t>Steel Plate ( 6mm )</t>
  </si>
  <si>
    <t>Electric Sander</t>
  </si>
  <si>
    <t>G.I. Pipe 2 diam. Schd. 20</t>
  </si>
  <si>
    <t>G.I. Pipe 1 1/2 diam. Schd. 20</t>
  </si>
  <si>
    <t>G.I. Pipe 1 diam. Schd. 20</t>
  </si>
  <si>
    <t>Angle Bar ( 1/4 x 1 1/2 )</t>
  </si>
  <si>
    <t>Angle Bar ( 1/4 x 1 1/4 )</t>
  </si>
  <si>
    <t>Angle Bar ( 1/4 x 1  )</t>
  </si>
  <si>
    <t>Welding Rod</t>
  </si>
  <si>
    <t>Cut Off Wheel Blade # 14"</t>
  </si>
  <si>
    <t>Electric sander</t>
  </si>
  <si>
    <t>PRE Painted rib type Long Span ( 0.40mm)</t>
  </si>
  <si>
    <t>PRE Fabricated rib type Blind gutter  ( 0.40mm)</t>
  </si>
  <si>
    <t>2x3x1.2mm CEE   purlins</t>
  </si>
  <si>
    <t>tex crew 2 1/2</t>
  </si>
  <si>
    <t>welding rod ( N 1630 )</t>
  </si>
  <si>
    <t>kl</t>
  </si>
  <si>
    <t>cutting disc</t>
  </si>
  <si>
    <t>Red Oxide</t>
  </si>
  <si>
    <t>Automotive paint ( silver )</t>
  </si>
  <si>
    <t>paint thinner</t>
  </si>
  <si>
    <t>lacquer thinner</t>
  </si>
  <si>
    <t>paint brush ( 4" )</t>
  </si>
  <si>
    <t>paint brush ( 2" )</t>
  </si>
  <si>
    <t>paint brush ( 1" )</t>
  </si>
  <si>
    <t>RENOVATION OF DAY CARE CENTER AT SITIO BADAC BARANGAY SARAVIA</t>
  </si>
  <si>
    <t>IMPROVEMENT OF DAY CARE CENTER AT PUROK SAN FRANCISCO BARANGAY SITE BARANGAY NEW PANGASINAN</t>
  </si>
  <si>
    <t>RENOVATION OF DAY CARE CENTER AT BAGONG LIPUNAN BARANGAY SAN ISIDRO</t>
  </si>
  <si>
    <t xml:space="preserve"> 70 CD</t>
  </si>
  <si>
    <t>Date: February 24,2025</t>
  </si>
  <si>
    <t>Materials for the SITIO BADAC, BARANGAY SARAVIA, PUROK SAN FRANCISCO BARANGAY PUROK BAGONG LIPUNAN BARANGAY SAN ISIDRO AND PUROK KAUSWAGAN BARANGAY SARAVIA CITY OF KORONADAL</t>
  </si>
  <si>
    <t>ENGR. JOHN CHRISTIAN A. DIVINAGRACIA</t>
  </si>
  <si>
    <t>Skilled Worker (Mason )</t>
  </si>
  <si>
    <t>direc cost</t>
  </si>
  <si>
    <t>materials</t>
  </si>
  <si>
    <t>labor</t>
  </si>
  <si>
    <t>wd</t>
  </si>
  <si>
    <t>RATE PER DAY</t>
  </si>
  <si>
    <t>w</t>
  </si>
  <si>
    <t>Def. Bar 10mm x 6m, Grade 40</t>
  </si>
  <si>
    <t>Marine Plywood  10mmx4'x8'</t>
  </si>
  <si>
    <t>Nylon String  0.40mmx37m</t>
  </si>
  <si>
    <t>Level Hose (Yellow)</t>
  </si>
  <si>
    <t>ls</t>
  </si>
  <si>
    <t>APPROVED BY:</t>
  </si>
  <si>
    <t>RECOMMENDING APPROVAL:</t>
  </si>
  <si>
    <t>ENGR. RUEL C. TIANCHON, MPA, REA, REB</t>
  </si>
  <si>
    <t>h</t>
  </si>
  <si>
    <t>volume</t>
  </si>
  <si>
    <t>20% shrinkage</t>
  </si>
  <si>
    <t>total volume</t>
  </si>
  <si>
    <t xml:space="preserve"> FORMWORKS</t>
  </si>
  <si>
    <t>CONCRETE/ MASONRY WORKS</t>
  </si>
  <si>
    <t>1.2mmx2"x3" G.I. Cee Purlins</t>
  </si>
  <si>
    <t>Hardware Cloth, 1/8"</t>
  </si>
  <si>
    <t>CHB LAYING</t>
  </si>
  <si>
    <t>H</t>
  </si>
  <si>
    <t xml:space="preserve">     BDP COORDINATOR</t>
  </si>
  <si>
    <t xml:space="preserve">           CITY MAYOR</t>
  </si>
  <si>
    <t xml:space="preserve">             ENGINEER - I</t>
  </si>
  <si>
    <t xml:space="preserve">                      CITY ENGINEER</t>
  </si>
  <si>
    <t>Project Cost:</t>
  </si>
  <si>
    <t>Duration:</t>
  </si>
  <si>
    <t>Working Days</t>
  </si>
  <si>
    <t>NO. OF DAYS</t>
  </si>
  <si>
    <t xml:space="preserve">TOTAL MATERIAL COST = </t>
  </si>
  <si>
    <t xml:space="preserve">TOTAL LABOR COST = </t>
  </si>
  <si>
    <t xml:space="preserve">TOTAL PROJECT COST  = </t>
  </si>
  <si>
    <t>Project Title:</t>
  </si>
  <si>
    <t>CONSTRUCTION OF SEPTIC TANK</t>
  </si>
  <si>
    <t>CITY OF KORONADAL, PUBLIC MARKET</t>
  </si>
  <si>
    <t>Coco Lumber 2"x3"x12'</t>
  </si>
  <si>
    <t>Coco Lumber 2"x2"x12'</t>
  </si>
  <si>
    <t>CWN #3</t>
  </si>
  <si>
    <t>Cutting Disc 4" (Flexiarapid super A 60U)</t>
  </si>
  <si>
    <t xml:space="preserve">SITE SURVEY, LAYOUT AND </t>
  </si>
  <si>
    <t>INSTALLATION OF BARRACADE</t>
  </si>
  <si>
    <t>Skilled Worker</t>
  </si>
  <si>
    <t>DEMOLITION AND EXCAVATION</t>
  </si>
  <si>
    <t>STEEL REINFORCEMENT</t>
  </si>
  <si>
    <t>lnts</t>
  </si>
  <si>
    <t>kg</t>
  </si>
  <si>
    <t xml:space="preserve">Skilled Worker </t>
  </si>
  <si>
    <t>Def. Bar 12mm x 6m, Grade 40</t>
  </si>
  <si>
    <t>Gravel, 3/4"</t>
  </si>
  <si>
    <t>PVC SANITARY CLEAN OUT #6 S1000</t>
  </si>
  <si>
    <t>PVC SANITARY PIPE #4 S1000</t>
  </si>
  <si>
    <t>PVC SANITARY PIPE #6 S1000</t>
  </si>
  <si>
    <t>PVC SANITARY CLEAN OUT #4 S1000</t>
  </si>
  <si>
    <t>PVC SANITARY PIPE #6 S1000 LONG ELBOW</t>
  </si>
  <si>
    <t>PVC SANITARY WYEE 6"X6" S1000</t>
  </si>
  <si>
    <t>PVC SANITARY WYEE 6"X4" S1000</t>
  </si>
  <si>
    <t>PVC SANITARY TEE 6"X6" S1000</t>
  </si>
  <si>
    <t>PVC SANITARY TEE 4"X4" S1000</t>
  </si>
  <si>
    <t>lngt</t>
  </si>
  <si>
    <t>EMBANKMENT AND CLEAN UP</t>
  </si>
  <si>
    <t>ENGR. SEVERINO JOHNROME E. USERO</t>
  </si>
  <si>
    <t>ENGR. JAYSON CANTOR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</si>
</sst>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-* #,##0.00_-;\-* #,##0.00_-;_-* &quot;-&quot;??_-;_-@_-"/>
    <numFmt numFmtId="165" formatCode="#,##0.00;[Red]#,##0.00"/>
    <numFmt numFmtId="166" formatCode="#,##0.000;[Red]#,##0.000"/>
    <numFmt numFmtId="167" formatCode="[$PHP]\ #,##0.00"/>
    <numFmt numFmtId="168" formatCode="_(* #,##0.000_);_(* \(#,##0.000\);_(* &quot;-&quot;??_);_(@_)"/>
    <numFmt numFmtId="169" formatCode="_([$PHP]\ * #,##0.00_);_([$PHP]\ * \(#,##0.00\);_([$PHP]\ * &quot;-&quot;??_);_(@_)"/>
    <numFmt numFmtId="170" formatCode="#,##0.000"/>
    <numFmt numFmtId="171" formatCode="#,##0.000_);\(#,##0.000\)"/>
    <numFmt numFmtId="172" formatCode="&quot;₱&quot;#,##0.00"/>
    <numFmt numFmtId="173" formatCode="0.00_ "/>
    <numFmt numFmtId="174" formatCode="_(* #,##0.0_);_(* \(#,##0.0\);_(* &quot;-&quot;??_);_(@_)"/>
    <numFmt numFmtId="175" formatCode="[$PHP]\ #,##0.0"/>
    <numFmt numFmtId="176" formatCode="_(* #,##0_);_(* \(#,##0\);_(* &quot;-&quot;??_);_(@_)"/>
    <numFmt numFmtId="177" formatCode="&quot;$&quot;#,##0.00"/>
    <numFmt numFmtId="178" formatCode="#,##0.0;[Red]#,##0.0"/>
    <numFmt numFmtId="179" formatCode="_([$PHP]\ * #,##0.0_);_([$PHP]\ * \(#,##0.0\);_([$PHP]\ * &quot;-&quot;??_);_(@_)"/>
    <numFmt numFmtId="180" formatCode="_(* #,##0.00000_);_(* \(#,##0.00000\);_(* &quot;-&quot;??_);_(@_)"/>
    <numFmt numFmtId="181" formatCode="_(* #,##0.00000000000000000_);_(* \(#,##0.00000000000000000\);_(* &quot;-&quot;??_);_(@_)"/>
    <numFmt numFmtId="182" formatCode="[$₱-3409]#,##0.00"/>
    <numFmt numFmtId="183" formatCode="_(* #,##0.0000000000000_);_(* \(#,##0.0000000000000\);_(* &quot;-&quot;??_);_(@_)"/>
    <numFmt numFmtId="184" formatCode="_(* #,##0.0000000000_);_(* \(#,##0.0000000000\);_(* &quot;-&quot;??_);_(@_)"/>
  </numFmts>
  <fonts count="1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0.5"/>
      <name val="Arial Narrow"/>
      <family val="2"/>
    </font>
    <font>
      <sz val="10"/>
      <name val="Arial Narrow"/>
      <family val="2"/>
    </font>
    <font>
      <b/>
      <u/>
      <sz val="16"/>
      <color indexed="8"/>
      <name val="Aharoni"/>
      <charset val="134"/>
    </font>
    <font>
      <b/>
      <sz val="11"/>
      <name val="Lucida Fax"/>
      <family val="1"/>
    </font>
    <font>
      <b/>
      <sz val="11"/>
      <color indexed="8"/>
      <name val="Calibri"/>
      <family val="2"/>
    </font>
    <font>
      <b/>
      <sz val="12"/>
      <color indexed="8"/>
      <name val="Aharoni"/>
      <charset val="134"/>
    </font>
    <font>
      <b/>
      <sz val="14"/>
      <name val="Calibri"/>
      <family val="2"/>
    </font>
    <font>
      <b/>
      <sz val="12"/>
      <name val="Aharoni"/>
      <charset val="134"/>
    </font>
    <font>
      <b/>
      <sz val="14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4"/>
      <name val="Aharoni"/>
      <charset val="134"/>
    </font>
    <font>
      <b/>
      <sz val="12"/>
      <name val="Lucida Fax"/>
      <family val="1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2"/>
      <name val="Aharoni"/>
      <charset val="134"/>
    </font>
    <font>
      <sz val="14"/>
      <name val="Aharoni"/>
      <charset val="134"/>
    </font>
    <font>
      <b/>
      <sz val="11"/>
      <name val="Calibri"/>
      <family val="2"/>
    </font>
    <font>
      <b/>
      <i/>
      <sz val="14"/>
      <name val="Aharoni"/>
      <charset val="134"/>
    </font>
    <font>
      <sz val="12"/>
      <name val="Calibri"/>
      <family val="2"/>
    </font>
    <font>
      <b/>
      <sz val="10"/>
      <name val="Aharoni"/>
      <charset val="134"/>
    </font>
    <font>
      <sz val="10"/>
      <name val="Aharoni"/>
      <charset val="134"/>
    </font>
    <font>
      <b/>
      <sz val="10"/>
      <name val="Calibri"/>
      <family val="2"/>
    </font>
    <font>
      <sz val="10"/>
      <name val="Calibri"/>
      <family val="2"/>
    </font>
    <font>
      <b/>
      <sz val="14"/>
      <name val="Lucida Fax"/>
      <family val="1"/>
    </font>
    <font>
      <b/>
      <sz val="14"/>
      <name val="Arial Narrow"/>
      <family val="2"/>
    </font>
    <font>
      <b/>
      <sz val="8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  <scheme val="minor"/>
    </font>
    <font>
      <b/>
      <sz val="12"/>
      <name val="Arial Narrow"/>
      <family val="2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u val="singleAccounting"/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i/>
      <u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name val="Calibri"/>
      <family val="2"/>
    </font>
    <font>
      <sz val="11"/>
      <name val="Calibri"/>
      <family val="2"/>
    </font>
    <font>
      <sz val="9.5"/>
      <name val="Calibri"/>
      <family val="2"/>
    </font>
    <font>
      <sz val="9"/>
      <name val="Calibri"/>
      <family val="2"/>
    </font>
    <font>
      <sz val="8"/>
      <name val="Calibri"/>
      <family val="2"/>
      <scheme val="minor"/>
    </font>
    <font>
      <b/>
      <u/>
      <sz val="9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name val="Arial Narrow"/>
      <family val="2"/>
    </font>
    <font>
      <b/>
      <u/>
      <sz val="28"/>
      <color indexed="8"/>
      <name val="Aharoni"/>
      <charset val="134"/>
    </font>
    <font>
      <b/>
      <sz val="28"/>
      <color indexed="8"/>
      <name val="Aharoni"/>
      <charset val="134"/>
    </font>
    <font>
      <b/>
      <sz val="28"/>
      <name val="Calibri"/>
      <family val="2"/>
    </font>
    <font>
      <b/>
      <sz val="28"/>
      <name val="Aharoni"/>
      <charset val="134"/>
    </font>
    <font>
      <sz val="28"/>
      <name val="Arial"/>
      <family val="2"/>
    </font>
    <font>
      <b/>
      <sz val="28"/>
      <name val="Calibri"/>
      <family val="2"/>
      <scheme val="minor"/>
    </font>
    <font>
      <b/>
      <sz val="28"/>
      <name val="Lucida Fax"/>
      <family val="1"/>
    </font>
    <font>
      <sz val="28"/>
      <name val="Calibri"/>
      <family val="2"/>
    </font>
    <font>
      <sz val="28"/>
      <name val="Aharoni"/>
      <charset val="134"/>
    </font>
    <font>
      <sz val="2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/>
      <sz val="28"/>
      <name val="Calibri"/>
      <family val="2"/>
    </font>
    <font>
      <b/>
      <u val="singleAccounting"/>
      <sz val="28"/>
      <name val="Calibri"/>
      <family val="2"/>
    </font>
    <font>
      <b/>
      <u/>
      <sz val="28"/>
      <color theme="1"/>
      <name val="Calibri"/>
      <family val="2"/>
      <scheme val="minor"/>
    </font>
    <font>
      <b/>
      <u/>
      <sz val="28"/>
      <name val="Arial Narrow"/>
      <family val="2"/>
    </font>
    <font>
      <b/>
      <sz val="18"/>
      <name val="Calibri"/>
      <family val="2"/>
      <scheme val="minor"/>
    </font>
    <font>
      <i/>
      <u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2"/>
      <color indexed="8"/>
      <name val="Calibri"/>
      <family val="2"/>
    </font>
    <font>
      <b/>
      <u/>
      <sz val="10"/>
      <color indexed="8"/>
      <name val="Calibri"/>
      <family val="2"/>
    </font>
    <font>
      <sz val="9"/>
      <color indexed="8"/>
      <name val="Calibri"/>
      <family val="2"/>
    </font>
    <font>
      <b/>
      <sz val="16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sz val="8"/>
      <color indexed="8"/>
      <name val="Calibri"/>
      <family val="2"/>
    </font>
    <font>
      <b/>
      <sz val="9"/>
      <color indexed="8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Arial Narrow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28"/>
      <name val="Calibri"/>
      <family val="2"/>
    </font>
    <font>
      <sz val="10"/>
      <name val="Calibri"/>
      <family val="2"/>
    </font>
    <font>
      <b/>
      <sz val="28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Arial"/>
      <family val="2"/>
    </font>
    <font>
      <i/>
      <u/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8" fillId="0" borderId="0"/>
    <xf numFmtId="0" fontId="8" fillId="0" borderId="0"/>
  </cellStyleXfs>
  <cellXfs count="1281">
    <xf numFmtId="0" fontId="0" fillId="0" borderId="0" xfId="0"/>
    <xf numFmtId="0" fontId="0" fillId="2" borderId="0" xfId="0" applyFill="1"/>
    <xf numFmtId="165" fontId="3" fillId="0" borderId="0" xfId="0" applyNumberFormat="1" applyFont="1"/>
    <xf numFmtId="165" fontId="4" fillId="0" borderId="0" xfId="0" applyNumberFormat="1" applyFont="1"/>
    <xf numFmtId="165" fontId="6" fillId="0" borderId="0" xfId="0" applyNumberFormat="1" applyFont="1"/>
    <xf numFmtId="165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165" fontId="8" fillId="0" borderId="0" xfId="0" applyNumberFormat="1" applyFont="1"/>
    <xf numFmtId="165" fontId="8" fillId="3" borderId="3" xfId="0" applyNumberFormat="1" applyFont="1" applyFill="1" applyBorder="1"/>
    <xf numFmtId="0" fontId="9" fillId="3" borderId="4" xfId="0" applyFont="1" applyFill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0" xfId="0" applyFont="1"/>
    <xf numFmtId="0" fontId="9" fillId="3" borderId="7" xfId="0" applyFont="1" applyFill="1" applyBorder="1"/>
    <xf numFmtId="0" fontId="4" fillId="3" borderId="7" xfId="0" applyFont="1" applyFill="1" applyBorder="1"/>
    <xf numFmtId="165" fontId="9" fillId="0" borderId="7" xfId="7" applyNumberFormat="1" applyFont="1" applyBorder="1"/>
    <xf numFmtId="0" fontId="0" fillId="0" borderId="7" xfId="0" applyBorder="1"/>
    <xf numFmtId="0" fontId="9" fillId="3" borderId="8" xfId="0" applyFont="1" applyFill="1" applyBorder="1"/>
    <xf numFmtId="0" fontId="0" fillId="0" borderId="8" xfId="0" applyBorder="1"/>
    <xf numFmtId="0" fontId="0" fillId="0" borderId="9" xfId="0" applyBorder="1"/>
    <xf numFmtId="165" fontId="4" fillId="3" borderId="10" xfId="0" applyNumberFormat="1" applyFont="1" applyFill="1" applyBorder="1" applyAlignment="1">
      <alignment horizontal="center"/>
    </xf>
    <xf numFmtId="165" fontId="4" fillId="0" borderId="2" xfId="0" applyNumberFormat="1" applyFont="1" applyBorder="1"/>
    <xf numFmtId="165" fontId="4" fillId="0" borderId="1" xfId="0" applyNumberFormat="1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0" fillId="0" borderId="14" xfId="0" applyBorder="1"/>
    <xf numFmtId="1" fontId="10" fillId="0" borderId="0" xfId="0" applyNumberFormat="1" applyFont="1"/>
    <xf numFmtId="165" fontId="8" fillId="0" borderId="5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right"/>
    </xf>
    <xf numFmtId="165" fontId="4" fillId="0" borderId="6" xfId="0" applyNumberFormat="1" applyFont="1" applyBorder="1" applyAlignment="1">
      <alignment horizontal="right"/>
    </xf>
    <xf numFmtId="165" fontId="4" fillId="0" borderId="12" xfId="0" applyNumberFormat="1" applyFont="1" applyBorder="1" applyAlignment="1">
      <alignment horizontal="right"/>
    </xf>
    <xf numFmtId="165" fontId="4" fillId="0" borderId="5" xfId="0" applyNumberFormat="1" applyFont="1" applyBorder="1"/>
    <xf numFmtId="165" fontId="8" fillId="0" borderId="7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5" fontId="4" fillId="0" borderId="7" xfId="0" applyNumberFormat="1" applyFont="1" applyBorder="1"/>
    <xf numFmtId="165" fontId="8" fillId="0" borderId="12" xfId="0" applyNumberFormat="1" applyFont="1" applyBorder="1" applyAlignment="1">
      <alignment horizontal="center"/>
    </xf>
    <xf numFmtId="165" fontId="8" fillId="0" borderId="13" xfId="0" applyNumberFormat="1" applyFont="1" applyBorder="1" applyAlignment="1">
      <alignment horizontal="center"/>
    </xf>
    <xf numFmtId="165" fontId="4" fillId="0" borderId="11" xfId="0" applyNumberFormat="1" applyFont="1" applyBorder="1"/>
    <xf numFmtId="0" fontId="9" fillId="0" borderId="2" xfId="0" applyFont="1" applyBorder="1"/>
    <xf numFmtId="165" fontId="4" fillId="0" borderId="2" xfId="0" applyNumberFormat="1" applyFont="1" applyBorder="1" applyAlignment="1">
      <alignment horizontal="left"/>
    </xf>
    <xf numFmtId="165" fontId="0" fillId="0" borderId="0" xfId="0" applyNumberFormat="1"/>
    <xf numFmtId="165" fontId="4" fillId="0" borderId="6" xfId="0" applyNumberFormat="1" applyFont="1" applyBorder="1"/>
    <xf numFmtId="165" fontId="0" fillId="2" borderId="7" xfId="0" applyNumberFormat="1" applyFill="1" applyBorder="1"/>
    <xf numFmtId="0" fontId="11" fillId="0" borderId="0" xfId="0" applyFont="1"/>
    <xf numFmtId="165" fontId="9" fillId="0" borderId="7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0" fontId="0" fillId="0" borderId="2" xfId="0" applyBorder="1"/>
    <xf numFmtId="0" fontId="0" fillId="2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3" fontId="0" fillId="0" borderId="0" xfId="1" applyFont="1"/>
    <xf numFmtId="0" fontId="5" fillId="0" borderId="0" xfId="6" applyFont="1" applyAlignment="1">
      <alignment horizontal="center"/>
    </xf>
    <xf numFmtId="0" fontId="12" fillId="9" borderId="0" xfId="6" applyFont="1" applyFill="1" applyAlignment="1">
      <alignment horizontal="center"/>
    </xf>
    <xf numFmtId="0" fontId="13" fillId="0" borderId="0" xfId="6" applyFont="1" applyAlignment="1">
      <alignment horizontal="center"/>
    </xf>
    <xf numFmtId="43" fontId="14" fillId="0" borderId="0" xfId="6" applyNumberFormat="1" applyFont="1" applyAlignment="1">
      <alignment horizontal="left"/>
    </xf>
    <xf numFmtId="43" fontId="14" fillId="2" borderId="0" xfId="6" applyNumberFormat="1" applyFont="1" applyFill="1" applyAlignment="1">
      <alignment horizontal="left"/>
    </xf>
    <xf numFmtId="0" fontId="15" fillId="0" borderId="0" xfId="6" applyFont="1" applyAlignment="1">
      <alignment horizontal="left"/>
    </xf>
    <xf numFmtId="0" fontId="17" fillId="0" borderId="0" xfId="6" applyFont="1" applyAlignment="1">
      <alignment horizontal="left"/>
    </xf>
    <xf numFmtId="0" fontId="19" fillId="0" borderId="0" xfId="6" applyFont="1"/>
    <xf numFmtId="0" fontId="20" fillId="0" borderId="0" xfId="6" applyFont="1"/>
    <xf numFmtId="0" fontId="20" fillId="2" borderId="0" xfId="6" applyFont="1" applyFill="1"/>
    <xf numFmtId="43" fontId="16" fillId="0" borderId="2" xfId="6" applyNumberFormat="1" applyFont="1" applyBorder="1"/>
    <xf numFmtId="43" fontId="16" fillId="2" borderId="2" xfId="6" applyNumberFormat="1" applyFont="1" applyFill="1" applyBorder="1"/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3" fillId="0" borderId="22" xfId="6" applyFont="1" applyBorder="1" applyAlignment="1">
      <alignment horizontal="center"/>
    </xf>
    <xf numFmtId="0" fontId="23" fillId="0" borderId="11" xfId="6" applyFont="1" applyBorder="1" applyAlignment="1">
      <alignment horizontal="center"/>
    </xf>
    <xf numFmtId="0" fontId="23" fillId="0" borderId="1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43" fontId="23" fillId="2" borderId="2" xfId="1" applyFont="1" applyFill="1" applyBorder="1" applyAlignment="1">
      <alignment horizontal="center" vertical="center"/>
    </xf>
    <xf numFmtId="43" fontId="23" fillId="2" borderId="9" xfId="1" applyFont="1" applyFill="1" applyBorder="1" applyAlignment="1">
      <alignment horizontal="left" vertical="center"/>
    </xf>
    <xf numFmtId="43" fontId="23" fillId="2" borderId="2" xfId="1" applyFont="1" applyFill="1" applyBorder="1" applyAlignment="1">
      <alignment horizontal="left" vertical="center"/>
    </xf>
    <xf numFmtId="0" fontId="22" fillId="0" borderId="0" xfId="6" applyFont="1" applyAlignment="1">
      <alignment horizontal="left"/>
    </xf>
    <xf numFmtId="0" fontId="19" fillId="0" borderId="0" xfId="6" applyFont="1" applyAlignment="1">
      <alignment horizontal="left"/>
    </xf>
    <xf numFmtId="0" fontId="19" fillId="2" borderId="0" xfId="6" applyFont="1" applyFill="1" applyAlignment="1">
      <alignment horizontal="left"/>
    </xf>
    <xf numFmtId="0" fontId="17" fillId="0" borderId="0" xfId="6" applyFont="1" applyAlignment="1">
      <alignment horizontal="left" vertical="center"/>
    </xf>
    <xf numFmtId="0" fontId="17" fillId="0" borderId="0" xfId="6" applyFont="1"/>
    <xf numFmtId="0" fontId="17" fillId="9" borderId="2" xfId="6" applyFont="1" applyFill="1" applyBorder="1" applyAlignment="1">
      <alignment horizontal="left"/>
    </xf>
    <xf numFmtId="0" fontId="16" fillId="9" borderId="2" xfId="6" applyFont="1" applyFill="1" applyBorder="1" applyAlignment="1">
      <alignment horizontal="right"/>
    </xf>
    <xf numFmtId="0" fontId="25" fillId="0" borderId="0" xfId="6" applyFont="1" applyAlignment="1">
      <alignment horizontal="left"/>
    </xf>
    <xf numFmtId="0" fontId="25" fillId="2" borderId="0" xfId="6" applyFont="1" applyFill="1" applyAlignment="1">
      <alignment horizontal="left"/>
    </xf>
    <xf numFmtId="0" fontId="21" fillId="0" borderId="0" xfId="6" applyFont="1" applyAlignment="1">
      <alignment horizontal="left"/>
    </xf>
    <xf numFmtId="0" fontId="26" fillId="0" borderId="0" xfId="6" applyFont="1" applyAlignment="1">
      <alignment horizontal="left"/>
    </xf>
    <xf numFmtId="0" fontId="26" fillId="2" borderId="0" xfId="6" applyFont="1" applyFill="1" applyAlignment="1">
      <alignment horizontal="left"/>
    </xf>
    <xf numFmtId="43" fontId="14" fillId="4" borderId="0" xfId="6" applyNumberFormat="1" applyFont="1" applyFill="1" applyAlignment="1">
      <alignment horizontal="left"/>
    </xf>
    <xf numFmtId="43" fontId="14" fillId="5" borderId="0" xfId="6" applyNumberFormat="1" applyFont="1" applyFill="1" applyAlignment="1">
      <alignment horizontal="left"/>
    </xf>
    <xf numFmtId="43" fontId="14" fillId="6" borderId="0" xfId="6" applyNumberFormat="1" applyFont="1" applyFill="1" applyAlignment="1">
      <alignment horizontal="left"/>
    </xf>
    <xf numFmtId="43" fontId="14" fillId="7" borderId="0" xfId="6" applyNumberFormat="1" applyFont="1" applyFill="1" applyAlignment="1">
      <alignment horizontal="left"/>
    </xf>
    <xf numFmtId="43" fontId="14" fillId="0" borderId="0" xfId="6" applyNumberFormat="1" applyFont="1" applyAlignment="1">
      <alignment horizontal="center"/>
    </xf>
    <xf numFmtId="0" fontId="20" fillId="4" borderId="0" xfId="6" applyFont="1" applyFill="1"/>
    <xf numFmtId="0" fontId="20" fillId="5" borderId="0" xfId="6" applyFont="1" applyFill="1"/>
    <xf numFmtId="0" fontId="20" fillId="6" borderId="0" xfId="6" applyFont="1" applyFill="1"/>
    <xf numFmtId="0" fontId="20" fillId="7" borderId="0" xfId="6" applyFont="1" applyFill="1"/>
    <xf numFmtId="43" fontId="16" fillId="4" borderId="2" xfId="6" applyNumberFormat="1" applyFont="1" applyFill="1" applyBorder="1"/>
    <xf numFmtId="43" fontId="16" fillId="5" borderId="2" xfId="6" applyNumberFormat="1" applyFont="1" applyFill="1" applyBorder="1"/>
    <xf numFmtId="43" fontId="16" fillId="6" borderId="2" xfId="6" applyNumberFormat="1" applyFont="1" applyFill="1" applyBorder="1"/>
    <xf numFmtId="43" fontId="16" fillId="7" borderId="2" xfId="6" applyNumberFormat="1" applyFont="1" applyFill="1" applyBorder="1"/>
    <xf numFmtId="43" fontId="17" fillId="10" borderId="24" xfId="6" applyNumberFormat="1" applyFont="1" applyFill="1" applyBorder="1" applyAlignment="1">
      <alignment horizontal="center"/>
    </xf>
    <xf numFmtId="43" fontId="17" fillId="10" borderId="28" xfId="6" applyNumberFormat="1" applyFont="1" applyFill="1" applyBorder="1" applyAlignment="1">
      <alignment horizontal="center"/>
    </xf>
    <xf numFmtId="10" fontId="23" fillId="9" borderId="21" xfId="2" applyNumberFormat="1" applyFont="1" applyFill="1" applyBorder="1" applyAlignment="1">
      <alignment horizontal="center"/>
    </xf>
    <xf numFmtId="0" fontId="27" fillId="0" borderId="1" xfId="6" applyFont="1" applyBorder="1" applyAlignment="1">
      <alignment horizontal="left"/>
    </xf>
    <xf numFmtId="0" fontId="27" fillId="0" borderId="2" xfId="6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10" fontId="23" fillId="9" borderId="4" xfId="2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10" fontId="23" fillId="9" borderId="10" xfId="2" applyNumberFormat="1" applyFont="1" applyFill="1" applyBorder="1" applyAlignment="1">
      <alignment horizontal="center"/>
    </xf>
    <xf numFmtId="10" fontId="23" fillId="9" borderId="9" xfId="2" applyNumberFormat="1" applyFont="1" applyFill="1" applyBorder="1" applyAlignment="1">
      <alignment horizontal="center"/>
    </xf>
    <xf numFmtId="0" fontId="0" fillId="4" borderId="10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" fontId="23" fillId="0" borderId="1" xfId="4" applyNumberFormat="1" applyFont="1" applyFill="1" applyBorder="1" applyAlignment="1">
      <alignment horizontal="center"/>
    </xf>
    <xf numFmtId="4" fontId="23" fillId="0" borderId="2" xfId="4" applyNumberFormat="1" applyFont="1" applyFill="1" applyBorder="1" applyAlignment="1">
      <alignment horizontal="center"/>
    </xf>
    <xf numFmtId="43" fontId="23" fillId="0" borderId="1" xfId="6" applyNumberFormat="1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43" fontId="23" fillId="4" borderId="9" xfId="1" applyFont="1" applyFill="1" applyBorder="1" applyAlignment="1">
      <alignment horizontal="center" vertical="center"/>
    </xf>
    <xf numFmtId="43" fontId="23" fillId="5" borderId="9" xfId="1" applyFont="1" applyFill="1" applyBorder="1" applyAlignment="1">
      <alignment horizontal="center" vertical="center"/>
    </xf>
    <xf numFmtId="43" fontId="23" fillId="6" borderId="9" xfId="1" applyFont="1" applyFill="1" applyBorder="1" applyAlignment="1">
      <alignment horizontal="center" vertical="center"/>
    </xf>
    <xf numFmtId="43" fontId="23" fillId="7" borderId="9" xfId="1" applyFont="1" applyFill="1" applyBorder="1" applyAlignment="1">
      <alignment horizontal="center" vertical="center"/>
    </xf>
    <xf numFmtId="43" fontId="23" fillId="5" borderId="0" xfId="1" applyFont="1" applyFill="1" applyBorder="1" applyAlignment="1">
      <alignment horizontal="center" vertical="center"/>
    </xf>
    <xf numFmtId="43" fontId="23" fillId="6" borderId="0" xfId="1" applyFont="1" applyFill="1" applyBorder="1" applyAlignment="1">
      <alignment horizontal="center" vertical="center"/>
    </xf>
    <xf numFmtId="43" fontId="23" fillId="7" borderId="0" xfId="1" applyFont="1" applyFill="1" applyBorder="1" applyAlignment="1">
      <alignment horizontal="center" vertical="center"/>
    </xf>
    <xf numFmtId="0" fontId="19" fillId="0" borderId="0" xfId="6" applyFont="1" applyAlignment="1">
      <alignment horizontal="center"/>
    </xf>
    <xf numFmtId="2" fontId="17" fillId="0" borderId="0" xfId="6" applyNumberFormat="1" applyFont="1" applyAlignment="1">
      <alignment horizontal="center"/>
    </xf>
    <xf numFmtId="2" fontId="17" fillId="0" borderId="0" xfId="6" applyNumberFormat="1" applyFont="1" applyAlignment="1">
      <alignment horizontal="left"/>
    </xf>
    <xf numFmtId="43" fontId="17" fillId="0" borderId="0" xfId="6" applyNumberFormat="1" applyFont="1" applyAlignment="1">
      <alignment horizontal="center"/>
    </xf>
    <xf numFmtId="2" fontId="17" fillId="9" borderId="2" xfId="6" applyNumberFormat="1" applyFont="1" applyFill="1" applyBorder="1" applyAlignment="1">
      <alignment horizontal="left"/>
    </xf>
    <xf numFmtId="0" fontId="25" fillId="0" borderId="0" xfId="6" applyFont="1"/>
    <xf numFmtId="0" fontId="25" fillId="4" borderId="0" xfId="6" applyFont="1" applyFill="1" applyAlignment="1">
      <alignment horizontal="left"/>
    </xf>
    <xf numFmtId="0" fontId="25" fillId="5" borderId="0" xfId="6" applyFont="1" applyFill="1" applyAlignment="1">
      <alignment horizontal="left"/>
    </xf>
    <xf numFmtId="0" fontId="25" fillId="6" borderId="0" xfId="6" applyFont="1" applyFill="1" applyAlignment="1">
      <alignment horizontal="left"/>
    </xf>
    <xf numFmtId="0" fontId="25" fillId="7" borderId="0" xfId="6" applyFont="1" applyFill="1" applyAlignment="1">
      <alignment horizontal="left"/>
    </xf>
    <xf numFmtId="0" fontId="26" fillId="4" borderId="0" xfId="6" applyFont="1" applyFill="1" applyAlignment="1">
      <alignment horizontal="left"/>
    </xf>
    <xf numFmtId="0" fontId="26" fillId="5" borderId="0" xfId="6" applyFont="1" applyFill="1" applyAlignment="1">
      <alignment horizontal="left"/>
    </xf>
    <xf numFmtId="0" fontId="26" fillId="6" borderId="0" xfId="6" applyFont="1" applyFill="1" applyAlignment="1">
      <alignment horizontal="left"/>
    </xf>
    <xf numFmtId="0" fontId="26" fillId="7" borderId="0" xfId="6" applyFont="1" applyFill="1" applyAlignment="1">
      <alignment horizontal="left"/>
    </xf>
    <xf numFmtId="2" fontId="21" fillId="0" borderId="0" xfId="6" applyNumberFormat="1" applyFont="1" applyAlignment="1">
      <alignment horizontal="center"/>
    </xf>
    <xf numFmtId="0" fontId="5" fillId="8" borderId="0" xfId="6" applyFont="1" applyFill="1" applyAlignment="1">
      <alignment horizontal="center"/>
    </xf>
    <xf numFmtId="0" fontId="3" fillId="0" borderId="0" xfId="6" applyFont="1" applyAlignment="1">
      <alignment horizontal="center"/>
    </xf>
    <xf numFmtId="0" fontId="12" fillId="8" borderId="0" xfId="6" applyFont="1" applyFill="1" applyAlignment="1">
      <alignment horizontal="center"/>
    </xf>
    <xf numFmtId="43" fontId="14" fillId="8" borderId="0" xfId="6" applyNumberFormat="1" applyFont="1" applyFill="1" applyAlignment="1">
      <alignment horizontal="center"/>
    </xf>
    <xf numFmtId="43" fontId="21" fillId="0" borderId="0" xfId="6" applyNumberFormat="1" applyFont="1" applyAlignment="1">
      <alignment horizontal="left"/>
    </xf>
    <xf numFmtId="15" fontId="16" fillId="8" borderId="0" xfId="6" applyNumberFormat="1" applyFont="1" applyFill="1" applyAlignment="1">
      <alignment horizontal="center"/>
    </xf>
    <xf numFmtId="15" fontId="16" fillId="0" borderId="0" xfId="6" applyNumberFormat="1" applyFont="1" applyAlignment="1">
      <alignment horizontal="center"/>
    </xf>
    <xf numFmtId="43" fontId="21" fillId="0" borderId="0" xfId="6" applyNumberFormat="1" applyFont="1"/>
    <xf numFmtId="43" fontId="16" fillId="8" borderId="0" xfId="6" applyNumberFormat="1" applyFont="1" applyFill="1" applyAlignment="1">
      <alignment horizontal="left"/>
    </xf>
    <xf numFmtId="43" fontId="16" fillId="0" borderId="0" xfId="6" applyNumberFormat="1" applyFont="1" applyAlignment="1">
      <alignment horizontal="left"/>
    </xf>
    <xf numFmtId="0" fontId="26" fillId="0" borderId="0" xfId="6" applyFont="1" applyAlignment="1">
      <alignment horizontal="center"/>
    </xf>
    <xf numFmtId="0" fontId="9" fillId="0" borderId="0" xfId="6" applyFont="1"/>
    <xf numFmtId="0" fontId="16" fillId="0" borderId="0" xfId="6" applyFont="1" applyAlignment="1">
      <alignment horizontal="center" vertical="center"/>
    </xf>
    <xf numFmtId="0" fontId="16" fillId="8" borderId="0" xfId="6" applyFont="1" applyFill="1" applyAlignment="1">
      <alignment horizontal="center" vertical="center"/>
    </xf>
    <xf numFmtId="0" fontId="8" fillId="0" borderId="0" xfId="6"/>
    <xf numFmtId="0" fontId="16" fillId="0" borderId="2" xfId="6" applyFont="1" applyBorder="1"/>
    <xf numFmtId="0" fontId="16" fillId="8" borderId="0" xfId="6" applyFont="1" applyFill="1"/>
    <xf numFmtId="0" fontId="16" fillId="0" borderId="0" xfId="6" applyFont="1"/>
    <xf numFmtId="0" fontId="16" fillId="8" borderId="0" xfId="6" applyFont="1" applyFill="1" applyAlignment="1">
      <alignment horizontal="center"/>
    </xf>
    <xf numFmtId="0" fontId="16" fillId="0" borderId="0" xfId="6" applyFont="1" applyAlignment="1">
      <alignment horizontal="center"/>
    </xf>
    <xf numFmtId="0" fontId="28" fillId="0" borderId="0" xfId="6" applyFont="1" applyAlignment="1">
      <alignment horizontal="center"/>
    </xf>
    <xf numFmtId="1" fontId="16" fillId="8" borderId="0" xfId="6" applyNumberFormat="1" applyFont="1" applyFill="1" applyAlignment="1">
      <alignment horizontal="center"/>
    </xf>
    <xf numFmtId="1" fontId="16" fillId="0" borderId="0" xfId="6" applyNumberFormat="1" applyFont="1" applyAlignment="1">
      <alignment horizontal="center"/>
    </xf>
    <xf numFmtId="43" fontId="20" fillId="0" borderId="0" xfId="6" applyNumberFormat="1" applyFont="1" applyAlignment="1">
      <alignment horizontal="center"/>
    </xf>
    <xf numFmtId="43" fontId="20" fillId="8" borderId="0" xfId="6" applyNumberFormat="1" applyFont="1" applyFill="1" applyAlignment="1">
      <alignment horizontal="center"/>
    </xf>
    <xf numFmtId="43" fontId="21" fillId="8" borderId="0" xfId="6" applyNumberFormat="1" applyFont="1" applyFill="1" applyAlignment="1">
      <alignment horizontal="center"/>
    </xf>
    <xf numFmtId="43" fontId="21" fillId="10" borderId="0" xfId="6" applyNumberFormat="1" applyFont="1" applyFill="1" applyAlignment="1">
      <alignment horizontal="center"/>
    </xf>
    <xf numFmtId="0" fontId="23" fillId="0" borderId="1" xfId="6" applyFont="1" applyBorder="1" applyAlignment="1">
      <alignment horizontal="center"/>
    </xf>
    <xf numFmtId="0" fontId="23" fillId="0" borderId="2" xfId="6" applyFont="1" applyBorder="1" applyAlignment="1">
      <alignment horizontal="center"/>
    </xf>
    <xf numFmtId="0" fontId="23" fillId="8" borderId="10" xfId="6" applyFont="1" applyFill="1" applyBorder="1" applyAlignment="1">
      <alignment horizontal="center"/>
    </xf>
    <xf numFmtId="0" fontId="23" fillId="0" borderId="0" xfId="6" applyFont="1" applyAlignment="1">
      <alignment horizontal="center"/>
    </xf>
    <xf numFmtId="0" fontId="27" fillId="0" borderId="11" xfId="6" applyFont="1" applyBorder="1" applyAlignment="1">
      <alignment horizontal="left"/>
    </xf>
    <xf numFmtId="0" fontId="0" fillId="0" borderId="1" xfId="0" applyBorder="1"/>
    <xf numFmtId="0" fontId="23" fillId="0" borderId="2" xfId="6" applyFont="1" applyBorder="1"/>
    <xf numFmtId="0" fontId="23" fillId="0" borderId="11" xfId="6" applyFont="1" applyBorder="1"/>
    <xf numFmtId="0" fontId="23" fillId="0" borderId="8" xfId="6" applyFont="1" applyBorder="1" applyAlignment="1">
      <alignment horizontal="center"/>
    </xf>
    <xf numFmtId="0" fontId="23" fillId="0" borderId="9" xfId="6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3" fillId="0" borderId="5" xfId="6" applyFont="1" applyBorder="1" applyAlignment="1">
      <alignment horizontal="center"/>
    </xf>
    <xf numFmtId="0" fontId="23" fillId="0" borderId="6" xfId="6" applyFont="1" applyBorder="1" applyAlignment="1">
      <alignment horizontal="center"/>
    </xf>
    <xf numFmtId="0" fontId="23" fillId="8" borderId="3" xfId="6" applyFont="1" applyFill="1" applyBorder="1" applyAlignment="1">
      <alignment horizontal="center"/>
    </xf>
    <xf numFmtId="0" fontId="23" fillId="8" borderId="0" xfId="6" applyFont="1" applyFill="1" applyAlignment="1">
      <alignment horizontal="center"/>
    </xf>
    <xf numFmtId="0" fontId="17" fillId="8" borderId="0" xfId="6" applyFont="1" applyFill="1" applyAlignment="1">
      <alignment horizontal="center"/>
    </xf>
    <xf numFmtId="0" fontId="17" fillId="9" borderId="0" xfId="6" applyFont="1" applyFill="1" applyAlignment="1">
      <alignment horizontal="center"/>
    </xf>
    <xf numFmtId="0" fontId="17" fillId="10" borderId="0" xfId="6" applyFont="1" applyFill="1" applyAlignment="1">
      <alignment horizontal="center"/>
    </xf>
    <xf numFmtId="43" fontId="23" fillId="0" borderId="1" xfId="6" applyNumberFormat="1" applyFont="1" applyBorder="1"/>
    <xf numFmtId="43" fontId="23" fillId="0" borderId="1" xfId="6" applyNumberFormat="1" applyFont="1" applyBorder="1" applyAlignment="1">
      <alignment horizontal="center"/>
    </xf>
    <xf numFmtId="43" fontId="23" fillId="0" borderId="9" xfId="6" applyNumberFormat="1" applyFont="1" applyBorder="1" applyAlignment="1">
      <alignment horizontal="center"/>
    </xf>
    <xf numFmtId="43" fontId="23" fillId="0" borderId="34" xfId="6" applyNumberFormat="1" applyFont="1" applyBorder="1" applyAlignment="1">
      <alignment horizontal="center"/>
    </xf>
    <xf numFmtId="43" fontId="23" fillId="8" borderId="0" xfId="6" applyNumberFormat="1" applyFont="1" applyFill="1" applyAlignment="1">
      <alignment horizontal="center"/>
    </xf>
    <xf numFmtId="43" fontId="23" fillId="0" borderId="0" xfId="6" applyNumberFormat="1" applyFont="1" applyAlignment="1">
      <alignment horizontal="center"/>
    </xf>
    <xf numFmtId="43" fontId="23" fillId="9" borderId="10" xfId="1" applyFont="1" applyFill="1" applyBorder="1" applyAlignment="1">
      <alignment horizontal="left"/>
    </xf>
    <xf numFmtId="168" fontId="23" fillId="9" borderId="11" xfId="6" applyNumberFormat="1" applyFont="1" applyFill="1" applyBorder="1" applyAlignment="1">
      <alignment horizontal="center"/>
    </xf>
    <xf numFmtId="43" fontId="23" fillId="9" borderId="0" xfId="6" applyNumberFormat="1" applyFont="1" applyFill="1" applyAlignment="1">
      <alignment horizontal="center"/>
    </xf>
    <xf numFmtId="168" fontId="23" fillId="9" borderId="1" xfId="6" applyNumberFormat="1" applyFont="1" applyFill="1" applyBorder="1" applyAlignment="1">
      <alignment horizontal="center"/>
    </xf>
    <xf numFmtId="43" fontId="19" fillId="0" borderId="0" xfId="6" applyNumberFormat="1" applyFont="1" applyAlignment="1">
      <alignment horizontal="center"/>
    </xf>
    <xf numFmtId="0" fontId="19" fillId="8" borderId="0" xfId="6" applyFont="1" applyFill="1" applyAlignment="1">
      <alignment horizontal="center"/>
    </xf>
    <xf numFmtId="0" fontId="25" fillId="0" borderId="0" xfId="6" applyFont="1" applyAlignment="1">
      <alignment horizontal="center"/>
    </xf>
    <xf numFmtId="43" fontId="16" fillId="8" borderId="0" xfId="6" applyNumberFormat="1" applyFont="1" applyFill="1" applyAlignment="1">
      <alignment horizontal="center"/>
    </xf>
    <xf numFmtId="43" fontId="16" fillId="0" borderId="0" xfId="6" applyNumberFormat="1" applyFont="1" applyAlignment="1">
      <alignment horizontal="center"/>
    </xf>
    <xf numFmtId="43" fontId="23" fillId="0" borderId="9" xfId="6" applyNumberFormat="1" applyFont="1" applyBorder="1"/>
    <xf numFmtId="43" fontId="23" fillId="8" borderId="0" xfId="6" applyNumberFormat="1" applyFont="1" applyFill="1"/>
    <xf numFmtId="43" fontId="23" fillId="0" borderId="0" xfId="6" applyNumberFormat="1" applyFont="1"/>
    <xf numFmtId="0" fontId="25" fillId="9" borderId="2" xfId="6" applyFont="1" applyFill="1" applyBorder="1" applyAlignment="1">
      <alignment horizontal="center"/>
    </xf>
    <xf numFmtId="0" fontId="23" fillId="9" borderId="2" xfId="6" applyFont="1" applyFill="1" applyBorder="1" applyAlignment="1">
      <alignment horizontal="center"/>
    </xf>
    <xf numFmtId="169" fontId="16" fillId="8" borderId="0" xfId="6" applyNumberFormat="1" applyFont="1" applyFill="1" applyAlignment="1">
      <alignment horizontal="right"/>
    </xf>
    <xf numFmtId="169" fontId="16" fillId="0" borderId="0" xfId="6" applyNumberFormat="1" applyFont="1" applyAlignment="1">
      <alignment horizontal="right"/>
    </xf>
    <xf numFmtId="43" fontId="29" fillId="0" borderId="0" xfId="6" applyNumberFormat="1" applyFont="1" applyAlignment="1">
      <alignment horizontal="center"/>
    </xf>
    <xf numFmtId="43" fontId="29" fillId="8" borderId="0" xfId="6" applyNumberFormat="1" applyFont="1" applyFill="1" applyAlignment="1">
      <alignment horizontal="center"/>
    </xf>
    <xf numFmtId="0" fontId="25" fillId="8" borderId="0" xfId="6" applyFont="1" applyFill="1"/>
    <xf numFmtId="43" fontId="17" fillId="8" borderId="0" xfId="6" applyNumberFormat="1" applyFont="1" applyFill="1" applyAlignment="1">
      <alignment horizontal="center"/>
    </xf>
    <xf numFmtId="43" fontId="25" fillId="0" borderId="0" xfId="6" applyNumberFormat="1" applyFont="1" applyAlignment="1">
      <alignment horizontal="center"/>
    </xf>
    <xf numFmtId="43" fontId="21" fillId="0" borderId="0" xfId="6" applyNumberFormat="1" applyFont="1" applyAlignment="1">
      <alignment horizontal="center"/>
    </xf>
    <xf numFmtId="0" fontId="9" fillId="0" borderId="0" xfId="6" applyFont="1" applyAlignment="1">
      <alignment horizontal="center"/>
    </xf>
    <xf numFmtId="0" fontId="3" fillId="0" borderId="0" xfId="6" applyFont="1"/>
    <xf numFmtId="43" fontId="3" fillId="0" borderId="0" xfId="1" applyFont="1" applyAlignment="1">
      <alignment horizontal="center"/>
    </xf>
    <xf numFmtId="43" fontId="9" fillId="0" borderId="0" xfId="1" applyFont="1"/>
    <xf numFmtId="43" fontId="8" fillId="0" borderId="0" xfId="1" applyFont="1"/>
    <xf numFmtId="10" fontId="0" fillId="0" borderId="0" xfId="1" applyNumberFormat="1" applyFont="1"/>
    <xf numFmtId="10" fontId="0" fillId="0" borderId="2" xfId="1" applyNumberFormat="1" applyFont="1" applyBorder="1"/>
    <xf numFmtId="43" fontId="0" fillId="0" borderId="0" xfId="1" applyFont="1" applyAlignment="1">
      <alignment horizontal="center"/>
    </xf>
    <xf numFmtId="0" fontId="30" fillId="0" borderId="0" xfId="6" applyFont="1" applyAlignment="1">
      <alignment horizontal="left"/>
    </xf>
    <xf numFmtId="0" fontId="31" fillId="0" borderId="0" xfId="6" applyFont="1" applyAlignment="1">
      <alignment horizontal="left"/>
    </xf>
    <xf numFmtId="0" fontId="31" fillId="2" borderId="0" xfId="6" applyFont="1" applyFill="1" applyAlignment="1">
      <alignment horizontal="left"/>
    </xf>
    <xf numFmtId="0" fontId="32" fillId="0" borderId="0" xfId="6" applyFont="1" applyAlignment="1">
      <alignment horizontal="center"/>
    </xf>
    <xf numFmtId="0" fontId="32" fillId="2" borderId="0" xfId="6" applyFont="1" applyFill="1" applyAlignment="1">
      <alignment horizontal="center"/>
    </xf>
    <xf numFmtId="0" fontId="33" fillId="0" borderId="0" xfId="6" applyFont="1" applyAlignment="1">
      <alignment horizontal="center"/>
    </xf>
    <xf numFmtId="0" fontId="33" fillId="2" borderId="0" xfId="6" applyFont="1" applyFill="1" applyAlignment="1">
      <alignment horizontal="center"/>
    </xf>
    <xf numFmtId="0" fontId="23" fillId="0" borderId="0" xfId="6" applyFont="1"/>
    <xf numFmtId="0" fontId="23" fillId="0" borderId="0" xfId="6" applyFont="1" applyAlignment="1">
      <alignment vertical="center"/>
    </xf>
    <xf numFmtId="0" fontId="23" fillId="2" borderId="0" xfId="6" applyFont="1" applyFill="1" applyAlignment="1">
      <alignment vertical="center"/>
    </xf>
    <xf numFmtId="0" fontId="23" fillId="0" borderId="0" xfId="6" applyFont="1" applyAlignment="1">
      <alignment horizontal="left" vertical="center"/>
    </xf>
    <xf numFmtId="0" fontId="23" fillId="2" borderId="0" xfId="6" applyFont="1" applyFill="1" applyAlignment="1">
      <alignment horizontal="left" vertical="center"/>
    </xf>
    <xf numFmtId="0" fontId="34" fillId="0" borderId="0" xfId="6" applyFont="1" applyAlignment="1">
      <alignment horizontal="center"/>
    </xf>
    <xf numFmtId="0" fontId="20" fillId="0" borderId="0" xfId="6" applyFont="1" applyAlignment="1">
      <alignment horizontal="left"/>
    </xf>
    <xf numFmtId="0" fontId="20" fillId="2" borderId="0" xfId="6" applyFont="1" applyFill="1" applyAlignment="1">
      <alignment horizontal="left"/>
    </xf>
    <xf numFmtId="0" fontId="31" fillId="4" borderId="0" xfId="6" applyFont="1" applyFill="1" applyAlignment="1">
      <alignment horizontal="left"/>
    </xf>
    <xf numFmtId="0" fontId="31" fillId="5" borderId="0" xfId="6" applyFont="1" applyFill="1" applyAlignment="1">
      <alignment horizontal="left"/>
    </xf>
    <xf numFmtId="0" fontId="31" fillId="6" borderId="0" xfId="6" applyFont="1" applyFill="1" applyAlignment="1">
      <alignment horizontal="left"/>
    </xf>
    <xf numFmtId="0" fontId="31" fillId="7" borderId="0" xfId="6" applyFont="1" applyFill="1" applyAlignment="1">
      <alignment horizontal="left"/>
    </xf>
    <xf numFmtId="0" fontId="31" fillId="0" borderId="0" xfId="6" applyFont="1" applyAlignment="1">
      <alignment horizontal="center"/>
    </xf>
    <xf numFmtId="0" fontId="31" fillId="0" borderId="0" xfId="6" applyFont="1"/>
    <xf numFmtId="0" fontId="32" fillId="4" borderId="0" xfId="6" applyFont="1" applyFill="1" applyAlignment="1">
      <alignment horizontal="center"/>
    </xf>
    <xf numFmtId="0" fontId="32" fillId="5" borderId="0" xfId="6" applyFont="1" applyFill="1" applyAlignment="1">
      <alignment horizontal="center"/>
    </xf>
    <xf numFmtId="0" fontId="32" fillId="6" borderId="0" xfId="6" applyFont="1" applyFill="1" applyAlignment="1">
      <alignment horizontal="center"/>
    </xf>
    <xf numFmtId="0" fontId="32" fillId="7" borderId="0" xfId="6" applyFont="1" applyFill="1" applyAlignment="1">
      <alignment horizontal="center"/>
    </xf>
    <xf numFmtId="0" fontId="33" fillId="4" borderId="0" xfId="6" applyFont="1" applyFill="1" applyAlignment="1">
      <alignment horizontal="center"/>
    </xf>
    <xf numFmtId="0" fontId="33" fillId="5" borderId="0" xfId="6" applyFont="1" applyFill="1" applyAlignment="1">
      <alignment horizontal="center"/>
    </xf>
    <xf numFmtId="0" fontId="33" fillId="6" borderId="0" xfId="6" applyFont="1" applyFill="1" applyAlignment="1">
      <alignment horizontal="center"/>
    </xf>
    <xf numFmtId="0" fontId="33" fillId="7" borderId="0" xfId="6" applyFont="1" applyFill="1" applyAlignment="1">
      <alignment horizontal="center"/>
    </xf>
    <xf numFmtId="0" fontId="23" fillId="4" borderId="0" xfId="6" applyFont="1" applyFill="1" applyAlignment="1">
      <alignment vertical="center"/>
    </xf>
    <xf numFmtId="0" fontId="23" fillId="5" borderId="0" xfId="6" applyFont="1" applyFill="1" applyAlignment="1">
      <alignment vertical="center"/>
    </xf>
    <xf numFmtId="0" fontId="23" fillId="6" borderId="0" xfId="6" applyFont="1" applyFill="1" applyAlignment="1">
      <alignment vertical="center"/>
    </xf>
    <xf numFmtId="0" fontId="23" fillId="7" borderId="0" xfId="6" applyFont="1" applyFill="1" applyAlignment="1">
      <alignment vertical="center"/>
    </xf>
    <xf numFmtId="4" fontId="23" fillId="0" borderId="0" xfId="4" applyNumberFormat="1" applyFont="1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23" fillId="0" borderId="0" xfId="4" applyNumberFormat="1" applyFont="1" applyFill="1" applyBorder="1" applyAlignment="1"/>
    <xf numFmtId="0" fontId="23" fillId="4" borderId="0" xfId="6" applyFont="1" applyFill="1" applyAlignment="1">
      <alignment horizontal="left" vertical="center"/>
    </xf>
    <xf numFmtId="0" fontId="23" fillId="5" borderId="0" xfId="6" applyFont="1" applyFill="1" applyAlignment="1">
      <alignment horizontal="left" vertical="center"/>
    </xf>
    <xf numFmtId="0" fontId="23" fillId="6" borderId="0" xfId="6" applyFont="1" applyFill="1" applyAlignment="1">
      <alignment horizontal="left" vertical="center"/>
    </xf>
    <xf numFmtId="0" fontId="23" fillId="7" borderId="0" xfId="6" applyFont="1" applyFill="1" applyAlignment="1">
      <alignment horizontal="left" vertical="center"/>
    </xf>
    <xf numFmtId="0" fontId="2" fillId="0" borderId="0" xfId="0" applyFont="1"/>
    <xf numFmtId="0" fontId="20" fillId="4" borderId="0" xfId="6" applyFont="1" applyFill="1" applyAlignment="1">
      <alignment horizontal="left"/>
    </xf>
    <xf numFmtId="0" fontId="20" fillId="5" borderId="0" xfId="6" applyFont="1" applyFill="1" applyAlignment="1">
      <alignment horizontal="left"/>
    </xf>
    <xf numFmtId="0" fontId="20" fillId="6" borderId="0" xfId="6" applyFont="1" applyFill="1" applyAlignment="1">
      <alignment horizontal="left"/>
    </xf>
    <xf numFmtId="0" fontId="20" fillId="7" borderId="0" xfId="6" applyFont="1" applyFill="1" applyAlignment="1">
      <alignment horizontal="left"/>
    </xf>
    <xf numFmtId="0" fontId="20" fillId="0" borderId="0" xfId="6" applyFont="1" applyAlignment="1">
      <alignment horizontal="center"/>
    </xf>
    <xf numFmtId="43" fontId="30" fillId="0" borderId="0" xfId="6" applyNumberFormat="1" applyFont="1"/>
    <xf numFmtId="43" fontId="30" fillId="8" borderId="0" xfId="6" applyNumberFormat="1" applyFont="1" applyFill="1"/>
    <xf numFmtId="43" fontId="30" fillId="0" borderId="0" xfId="6" applyNumberFormat="1" applyFont="1" applyAlignment="1">
      <alignment horizontal="center"/>
    </xf>
    <xf numFmtId="43" fontId="30" fillId="8" borderId="0" xfId="6" applyNumberFormat="1" applyFont="1" applyFill="1" applyAlignment="1">
      <alignment horizontal="center"/>
    </xf>
    <xf numFmtId="43" fontId="31" fillId="0" borderId="0" xfId="6" applyNumberFormat="1" applyFont="1" applyAlignment="1">
      <alignment horizontal="center"/>
    </xf>
    <xf numFmtId="43" fontId="31" fillId="8" borderId="0" xfId="6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43" fontId="23" fillId="0" borderId="0" xfId="1" applyFont="1" applyFill="1" applyBorder="1" applyAlignment="1">
      <alignment horizontal="left"/>
    </xf>
    <xf numFmtId="171" fontId="23" fillId="0" borderId="0" xfId="6" applyNumberFormat="1" applyFont="1"/>
    <xf numFmtId="168" fontId="23" fillId="0" borderId="0" xfId="6" applyNumberFormat="1" applyFont="1"/>
    <xf numFmtId="43" fontId="36" fillId="0" borderId="0" xfId="6" applyNumberFormat="1" applyFont="1" applyAlignment="1">
      <alignment horizontal="center"/>
    </xf>
    <xf numFmtId="43" fontId="37" fillId="0" borderId="0" xfId="6" applyNumberFormat="1" applyFont="1" applyAlignment="1">
      <alignment horizontal="center"/>
    </xf>
    <xf numFmtId="43" fontId="37" fillId="8" borderId="0" xfId="6" applyNumberFormat="1" applyFont="1" applyFill="1" applyAlignment="1">
      <alignment horizontal="center"/>
    </xf>
    <xf numFmtId="0" fontId="30" fillId="0" borderId="0" xfId="6" applyFont="1" applyAlignment="1">
      <alignment horizontal="center"/>
    </xf>
    <xf numFmtId="0" fontId="31" fillId="8" borderId="0" xfId="6" applyFont="1" applyFill="1" applyAlignment="1">
      <alignment horizontal="center"/>
    </xf>
    <xf numFmtId="4" fontId="0" fillId="0" borderId="0" xfId="0" applyNumberFormat="1"/>
    <xf numFmtId="43" fontId="0" fillId="0" borderId="0" xfId="0" applyNumberFormat="1"/>
    <xf numFmtId="167" fontId="0" fillId="0" borderId="0" xfId="0" applyNumberFormat="1"/>
    <xf numFmtId="43" fontId="38" fillId="0" borderId="0" xfId="1" applyFont="1" applyAlignment="1">
      <alignment horizontal="center"/>
    </xf>
    <xf numFmtId="43" fontId="38" fillId="0" borderId="0" xfId="1" applyFont="1" applyAlignment="1">
      <alignment horizontal="left"/>
    </xf>
    <xf numFmtId="0" fontId="39" fillId="0" borderId="0" xfId="6" applyFont="1" applyAlignment="1">
      <alignment horizontal="center"/>
    </xf>
    <xf numFmtId="0" fontId="39" fillId="0" borderId="0" xfId="6" applyFont="1"/>
    <xf numFmtId="9" fontId="39" fillId="0" borderId="0" xfId="6" applyNumberFormat="1" applyFont="1"/>
    <xf numFmtId="43" fontId="39" fillId="0" borderId="0" xfId="6" applyNumberFormat="1" applyFont="1"/>
    <xf numFmtId="43" fontId="40" fillId="0" borderId="0" xfId="1" applyFont="1" applyAlignment="1">
      <alignment horizontal="left"/>
    </xf>
    <xf numFmtId="172" fontId="40" fillId="0" borderId="0" xfId="1" applyNumberFormat="1" applyFont="1" applyAlignment="1">
      <alignment horizontal="left" vertical="center"/>
    </xf>
    <xf numFmtId="43" fontId="40" fillId="0" borderId="0" xfId="1" applyFont="1" applyAlignment="1">
      <alignment horizontal="center"/>
    </xf>
    <xf numFmtId="43" fontId="40" fillId="0" borderId="0" xfId="1" applyFont="1" applyFill="1" applyAlignment="1">
      <alignment horizontal="left"/>
    </xf>
    <xf numFmtId="43" fontId="41" fillId="0" borderId="0" xfId="1" applyFont="1" applyFill="1" applyAlignment="1">
      <alignment horizontal="center"/>
    </xf>
    <xf numFmtId="43" fontId="40" fillId="0" borderId="0" xfId="1" applyFont="1" applyFill="1" applyAlignment="1">
      <alignment horizontal="center"/>
    </xf>
    <xf numFmtId="43" fontId="40" fillId="0" borderId="0" xfId="1" applyFont="1" applyFill="1" applyAlignment="1">
      <alignment horizontal="center" vertical="center"/>
    </xf>
    <xf numFmtId="43" fontId="40" fillId="0" borderId="0" xfId="1" applyFont="1" applyFill="1" applyAlignment="1">
      <alignment horizontal="center" vertical="center" wrapText="1"/>
    </xf>
    <xf numFmtId="43" fontId="40" fillId="0" borderId="0" xfId="1" applyFont="1" applyFill="1" applyBorder="1" applyAlignment="1">
      <alignment horizontal="right" wrapText="1"/>
    </xf>
    <xf numFmtId="2" fontId="40" fillId="0" borderId="0" xfId="1" applyNumberFormat="1" applyFont="1" applyFill="1" applyAlignment="1">
      <alignment horizontal="center" vertical="center"/>
    </xf>
    <xf numFmtId="43" fontId="38" fillId="0" borderId="0" xfId="1" applyFont="1" applyFill="1" applyAlignment="1">
      <alignment horizontal="left"/>
    </xf>
    <xf numFmtId="2" fontId="38" fillId="0" borderId="0" xfId="1" applyNumberFormat="1" applyFont="1" applyFill="1" applyAlignment="1">
      <alignment horizontal="center"/>
    </xf>
    <xf numFmtId="2" fontId="38" fillId="0" borderId="0" xfId="1" applyNumberFormat="1" applyFont="1" applyFill="1" applyAlignment="1">
      <alignment horizontal="center" wrapText="1"/>
    </xf>
    <xf numFmtId="43" fontId="38" fillId="0" borderId="0" xfId="1" applyFont="1" applyFill="1" applyAlignment="1">
      <alignment horizontal="center" vertical="center" wrapText="1"/>
    </xf>
    <xf numFmtId="43" fontId="38" fillId="0" borderId="9" xfId="1" applyFont="1" applyFill="1" applyBorder="1" applyAlignment="1">
      <alignment horizontal="center" vertical="center" wrapText="1"/>
    </xf>
    <xf numFmtId="43" fontId="40" fillId="0" borderId="0" xfId="1" applyFont="1" applyBorder="1" applyAlignment="1">
      <alignment horizontal="center"/>
    </xf>
    <xf numFmtId="43" fontId="38" fillId="6" borderId="0" xfId="1" applyFont="1" applyFill="1" applyAlignment="1">
      <alignment horizontal="center"/>
    </xf>
    <xf numFmtId="43" fontId="40" fillId="0" borderId="0" xfId="1" applyFont="1" applyFill="1" applyBorder="1" applyAlignment="1">
      <alignment horizontal="left" wrapText="1"/>
    </xf>
    <xf numFmtId="0" fontId="38" fillId="0" borderId="0" xfId="0" applyFont="1" applyAlignment="1">
      <alignment horizontal="left"/>
    </xf>
    <xf numFmtId="2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4" fontId="38" fillId="0" borderId="0" xfId="0" applyNumberFormat="1" applyFont="1" applyAlignment="1">
      <alignment horizontal="center"/>
    </xf>
    <xf numFmtId="0" fontId="38" fillId="0" borderId="0" xfId="1" applyNumberFormat="1" applyFont="1" applyFill="1" applyBorder="1" applyAlignment="1">
      <alignment horizontal="left"/>
    </xf>
    <xf numFmtId="43" fontId="42" fillId="0" borderId="9" xfId="1" applyFont="1" applyFill="1" applyBorder="1" applyAlignment="1">
      <alignment horizontal="center" vertical="center" wrapText="1"/>
    </xf>
    <xf numFmtId="43" fontId="38" fillId="0" borderId="0" xfId="1" applyFont="1" applyFill="1" applyAlignment="1">
      <alignment horizontal="center" vertical="center"/>
    </xf>
    <xf numFmtId="43" fontId="40" fillId="0" borderId="0" xfId="1" applyFont="1" applyFill="1" applyBorder="1" applyAlignment="1">
      <alignment horizontal="left"/>
    </xf>
    <xf numFmtId="0" fontId="38" fillId="0" borderId="0" xfId="0" applyFont="1"/>
    <xf numFmtId="165" fontId="38" fillId="0" borderId="0" xfId="7" applyNumberFormat="1" applyFont="1"/>
    <xf numFmtId="2" fontId="38" fillId="0" borderId="0" xfId="1" applyNumberFormat="1" applyFont="1" applyFill="1" applyAlignment="1">
      <alignment horizontal="center" vertical="center"/>
    </xf>
    <xf numFmtId="2" fontId="38" fillId="0" borderId="0" xfId="1" applyNumberFormat="1" applyFont="1" applyAlignment="1">
      <alignment horizontal="center"/>
    </xf>
    <xf numFmtId="2" fontId="38" fillId="0" borderId="0" xfId="1" applyNumberFormat="1" applyFont="1" applyBorder="1" applyAlignment="1">
      <alignment horizontal="center"/>
    </xf>
    <xf numFmtId="43" fontId="38" fillId="0" borderId="0" xfId="1" applyFont="1" applyFill="1" applyBorder="1" applyAlignment="1">
      <alignment horizontal="center" vertical="center" wrapText="1"/>
    </xf>
    <xf numFmtId="43" fontId="40" fillId="0" borderId="0" xfId="1" applyFont="1" applyFill="1" applyAlignment="1">
      <alignment horizontal="left" wrapText="1"/>
    </xf>
    <xf numFmtId="0" fontId="38" fillId="0" borderId="0" xfId="1" applyNumberFormat="1" applyFont="1" applyFill="1" applyBorder="1" applyAlignment="1">
      <alignment horizontal="left" vertical="center"/>
    </xf>
    <xf numFmtId="0" fontId="43" fillId="0" borderId="0" xfId="1" applyNumberFormat="1" applyFont="1" applyFill="1" applyBorder="1" applyAlignment="1">
      <alignment horizontal="left" wrapText="1"/>
    </xf>
    <xf numFmtId="0" fontId="44" fillId="0" borderId="0" xfId="1" applyNumberFormat="1" applyFont="1" applyFill="1" applyBorder="1" applyAlignment="1">
      <alignment horizontal="center" vertical="center"/>
    </xf>
    <xf numFmtId="43" fontId="43" fillId="0" borderId="0" xfId="1" applyFont="1" applyFill="1" applyBorder="1" applyAlignment="1">
      <alignment horizontal="center" vertical="center"/>
    </xf>
    <xf numFmtId="43" fontId="44" fillId="0" borderId="0" xfId="1" applyFont="1" applyFill="1" applyBorder="1" applyAlignment="1">
      <alignment horizontal="center" vertical="center" wrapText="1"/>
    </xf>
    <xf numFmtId="0" fontId="43" fillId="0" borderId="0" xfId="0" applyFont="1" applyAlignment="1">
      <alignment horizontal="left"/>
    </xf>
    <xf numFmtId="2" fontId="44" fillId="0" borderId="0" xfId="1" applyNumberFormat="1" applyFont="1" applyFill="1" applyBorder="1" applyAlignment="1">
      <alignment horizontal="right"/>
    </xf>
    <xf numFmtId="0" fontId="43" fillId="0" borderId="0" xfId="1" applyNumberFormat="1" applyFont="1" applyFill="1" applyBorder="1" applyAlignment="1">
      <alignment horizontal="left" vertical="center"/>
    </xf>
    <xf numFmtId="43" fontId="43" fillId="0" borderId="0" xfId="1" applyFont="1" applyFill="1" applyBorder="1" applyAlignment="1">
      <alignment vertical="center" wrapText="1"/>
    </xf>
    <xf numFmtId="0" fontId="43" fillId="0" borderId="0" xfId="1" applyNumberFormat="1" applyFont="1" applyFill="1" applyBorder="1" applyAlignment="1">
      <alignment horizontal="left"/>
    </xf>
    <xf numFmtId="0" fontId="44" fillId="0" borderId="0" xfId="1" applyNumberFormat="1" applyFont="1" applyFill="1" applyBorder="1" applyAlignment="1">
      <alignment horizontal="left" vertical="center"/>
    </xf>
    <xf numFmtId="43" fontId="44" fillId="0" borderId="0" xfId="1" applyFont="1" applyFill="1" applyBorder="1" applyAlignment="1">
      <alignment horizontal="center" vertical="center"/>
    </xf>
    <xf numFmtId="43" fontId="44" fillId="0" borderId="0" xfId="1" applyFont="1" applyFill="1" applyBorder="1" applyAlignment="1">
      <alignment vertical="center" wrapText="1"/>
    </xf>
    <xf numFmtId="0" fontId="43" fillId="0" borderId="0" xfId="1" applyNumberFormat="1" applyFont="1" applyFill="1" applyBorder="1" applyAlignment="1">
      <alignment horizontal="left" vertical="center" wrapText="1"/>
    </xf>
    <xf numFmtId="43" fontId="40" fillId="0" borderId="0" xfId="1" applyFont="1" applyFill="1" applyBorder="1" applyAlignment="1">
      <alignment horizontal="center" vertical="center"/>
    </xf>
    <xf numFmtId="2" fontId="44" fillId="0" borderId="0" xfId="1" applyNumberFormat="1" applyFont="1" applyFill="1" applyBorder="1" applyAlignment="1">
      <alignment horizontal="center" vertical="center"/>
    </xf>
    <xf numFmtId="43" fontId="40" fillId="0" borderId="0" xfId="1" applyFont="1" applyAlignment="1">
      <alignment horizontal="right"/>
    </xf>
    <xf numFmtId="43" fontId="40" fillId="0" borderId="0" xfId="1" applyFont="1" applyFill="1" applyAlignment="1">
      <alignment vertical="center" wrapText="1"/>
    </xf>
    <xf numFmtId="43" fontId="40" fillId="0" borderId="0" xfId="1" applyFont="1" applyBorder="1" applyAlignment="1">
      <alignment horizontal="right"/>
    </xf>
    <xf numFmtId="9" fontId="38" fillId="6" borderId="0" xfId="2" applyFont="1" applyFill="1" applyAlignment="1">
      <alignment horizont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73" fontId="44" fillId="0" borderId="0" xfId="1" applyNumberFormat="1" applyFont="1" applyFill="1" applyBorder="1" applyAlignment="1">
      <alignment horizontal="center" vertical="center"/>
    </xf>
    <xf numFmtId="43" fontId="47" fillId="0" borderId="0" xfId="1" applyFont="1" applyFill="1" applyAlignment="1">
      <alignment horizontal="left"/>
    </xf>
    <xf numFmtId="2" fontId="47" fillId="0" borderId="0" xfId="1" applyNumberFormat="1" applyFont="1" applyFill="1" applyAlignment="1">
      <alignment horizontal="center"/>
    </xf>
    <xf numFmtId="2" fontId="47" fillId="0" borderId="0" xfId="1" applyNumberFormat="1" applyFont="1" applyFill="1" applyAlignment="1">
      <alignment horizontal="center" wrapText="1"/>
    </xf>
    <xf numFmtId="0" fontId="47" fillId="0" borderId="0" xfId="0" applyFont="1" applyAlignment="1">
      <alignment horizontal="left"/>
    </xf>
    <xf numFmtId="2" fontId="47" fillId="0" borderId="0" xfId="0" applyNumberFormat="1" applyFont="1" applyAlignment="1">
      <alignment horizontal="center"/>
    </xf>
    <xf numFmtId="0" fontId="47" fillId="0" borderId="0" xfId="0" applyFont="1" applyAlignment="1">
      <alignment horizontal="center"/>
    </xf>
    <xf numFmtId="4" fontId="47" fillId="0" borderId="0" xfId="0" applyNumberFormat="1" applyFont="1" applyAlignment="1">
      <alignment horizontal="center"/>
    </xf>
    <xf numFmtId="43" fontId="38" fillId="0" borderId="0" xfId="1" applyFont="1" applyFill="1" applyAlignment="1">
      <alignment horizontal="center"/>
    </xf>
    <xf numFmtId="43" fontId="38" fillId="0" borderId="0" xfId="1" applyFont="1" applyFill="1" applyAlignment="1">
      <alignment horizontal="right"/>
    </xf>
    <xf numFmtId="0" fontId="47" fillId="0" borderId="0" xfId="0" applyFont="1"/>
    <xf numFmtId="43" fontId="47" fillId="0" borderId="0" xfId="1" applyFont="1" applyFill="1" applyBorder="1" applyAlignment="1"/>
    <xf numFmtId="0" fontId="48" fillId="0" borderId="0" xfId="0" applyFont="1"/>
    <xf numFmtId="0" fontId="47" fillId="11" borderId="0" xfId="0" applyFont="1" applyFill="1"/>
    <xf numFmtId="0" fontId="47" fillId="0" borderId="0" xfId="0" applyFont="1" applyAlignment="1">
      <alignment horizontal="left" vertical="top" wrapText="1"/>
    </xf>
    <xf numFmtId="0" fontId="27" fillId="0" borderId="0" xfId="0" applyFont="1" applyAlignment="1">
      <alignment horizontal="center"/>
    </xf>
    <xf numFmtId="0" fontId="27" fillId="0" borderId="0" xfId="0" applyFont="1"/>
    <xf numFmtId="0" fontId="23" fillId="0" borderId="0" xfId="0" applyFont="1"/>
    <xf numFmtId="0" fontId="32" fillId="0" borderId="5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/>
    </xf>
    <xf numFmtId="43" fontId="47" fillId="0" borderId="4" xfId="0" applyNumberFormat="1" applyFont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2" fontId="50" fillId="0" borderId="4" xfId="0" applyNumberFormat="1" applyFont="1" applyBorder="1" applyAlignment="1">
      <alignment horizontal="center" vertical="center"/>
    </xf>
    <xf numFmtId="43" fontId="50" fillId="0" borderId="0" xfId="0" applyNumberFormat="1" applyFont="1" applyAlignment="1">
      <alignment horizontal="center" vertical="center"/>
    </xf>
    <xf numFmtId="39" fontId="50" fillId="0" borderId="4" xfId="0" applyNumberFormat="1" applyFont="1" applyBorder="1"/>
    <xf numFmtId="43" fontId="47" fillId="0" borderId="0" xfId="1" applyFont="1" applyFill="1" applyBorder="1" applyAlignment="1">
      <alignment vertical="center"/>
    </xf>
    <xf numFmtId="0" fontId="50" fillId="0" borderId="7" xfId="0" applyFont="1" applyBorder="1" applyAlignment="1">
      <alignment horizontal="left" vertical="center"/>
    </xf>
    <xf numFmtId="0" fontId="50" fillId="0" borderId="13" xfId="0" applyFont="1" applyBorder="1" applyAlignment="1">
      <alignment horizontal="left" vertical="center"/>
    </xf>
    <xf numFmtId="174" fontId="27" fillId="0" borderId="10" xfId="1" applyNumberFormat="1" applyFont="1" applyBorder="1" applyAlignment="1">
      <alignment horizontal="center" vertical="center"/>
    </xf>
    <xf numFmtId="0" fontId="47" fillId="0" borderId="5" xfId="0" applyFont="1" applyBorder="1"/>
    <xf numFmtId="0" fontId="47" fillId="0" borderId="6" xfId="0" applyFont="1" applyBorder="1"/>
    <xf numFmtId="0" fontId="48" fillId="0" borderId="3" xfId="0" applyFont="1" applyBorder="1"/>
    <xf numFmtId="0" fontId="48" fillId="0" borderId="5" xfId="0" applyFont="1" applyBorder="1"/>
    <xf numFmtId="0" fontId="47" fillId="0" borderId="12" xfId="0" applyFont="1" applyBorder="1"/>
    <xf numFmtId="0" fontId="47" fillId="0" borderId="7" xfId="0" applyFont="1" applyBorder="1"/>
    <xf numFmtId="0" fontId="47" fillId="0" borderId="4" xfId="0" applyFont="1" applyBorder="1"/>
    <xf numFmtId="0" fontId="47" fillId="0" borderId="13" xfId="0" applyFont="1" applyBorder="1"/>
    <xf numFmtId="0" fontId="48" fillId="0" borderId="10" xfId="0" applyFont="1" applyBorder="1"/>
    <xf numFmtId="0" fontId="48" fillId="0" borderId="1" xfId="0" applyFont="1" applyBorder="1"/>
    <xf numFmtId="0" fontId="54" fillId="0" borderId="4" xfId="0" applyFont="1" applyBorder="1" applyAlignment="1">
      <alignment horizontal="center"/>
    </xf>
    <xf numFmtId="0" fontId="48" fillId="0" borderId="4" xfId="0" applyFont="1" applyBorder="1" applyAlignment="1">
      <alignment horizontal="center" vertical="center"/>
    </xf>
    <xf numFmtId="0" fontId="48" fillId="0" borderId="2" xfId="0" applyFont="1" applyBorder="1"/>
    <xf numFmtId="0" fontId="47" fillId="0" borderId="21" xfId="0" applyFont="1" applyBorder="1"/>
    <xf numFmtId="0" fontId="47" fillId="0" borderId="9" xfId="0" applyFont="1" applyBorder="1"/>
    <xf numFmtId="0" fontId="47" fillId="0" borderId="14" xfId="0" applyFont="1" applyBorder="1"/>
    <xf numFmtId="0" fontId="47" fillId="0" borderId="8" xfId="0" applyFont="1" applyBorder="1"/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left"/>
    </xf>
    <xf numFmtId="43" fontId="29" fillId="0" borderId="0" xfId="1" applyFont="1" applyFill="1" applyBorder="1" applyAlignment="1">
      <alignment horizontal="center" vertical="center" wrapText="1"/>
    </xf>
    <xf numFmtId="39" fontId="33" fillId="0" borderId="0" xfId="0" applyNumberFormat="1" applyFont="1"/>
    <xf numFmtId="43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vertical="center"/>
    </xf>
    <xf numFmtId="43" fontId="27" fillId="0" borderId="0" xfId="1" applyFont="1" applyBorder="1" applyAlignment="1">
      <alignment horizontal="center" vertical="center"/>
    </xf>
    <xf numFmtId="0" fontId="33" fillId="0" borderId="0" xfId="0" applyFont="1"/>
    <xf numFmtId="0" fontId="58" fillId="0" borderId="0" xfId="0" applyFont="1" applyAlignment="1">
      <alignment vertical="center"/>
    </xf>
    <xf numFmtId="43" fontId="47" fillId="0" borderId="0" xfId="0" applyNumberFormat="1" applyFont="1"/>
    <xf numFmtId="174" fontId="27" fillId="0" borderId="21" xfId="1" applyNumberFormat="1" applyFont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0" fillId="12" borderId="0" xfId="0" applyFont="1" applyFill="1" applyAlignment="1">
      <alignment horizontal="center"/>
    </xf>
    <xf numFmtId="0" fontId="60" fillId="12" borderId="0" xfId="0" applyFont="1" applyFill="1" applyAlignment="1">
      <alignment horizontal="center" vertical="center"/>
    </xf>
    <xf numFmtId="0" fontId="63" fillId="0" borderId="0" xfId="6" applyFont="1" applyAlignment="1">
      <alignment horizontal="left" vertical="center"/>
    </xf>
    <xf numFmtId="0" fontId="65" fillId="0" borderId="0" xfId="6" applyFont="1" applyAlignment="1">
      <alignment horizontal="left" vertical="center"/>
    </xf>
    <xf numFmtId="0" fontId="66" fillId="0" borderId="0" xfId="6" applyFont="1" applyAlignment="1">
      <alignment vertical="center"/>
    </xf>
    <xf numFmtId="0" fontId="66" fillId="0" borderId="2" xfId="6" applyFont="1" applyBorder="1" applyAlignment="1">
      <alignment vertical="center"/>
    </xf>
    <xf numFmtId="0" fontId="67" fillId="0" borderId="9" xfId="6" applyFont="1" applyBorder="1" applyAlignment="1">
      <alignment vertical="center"/>
    </xf>
    <xf numFmtId="0" fontId="66" fillId="0" borderId="9" xfId="6" applyFont="1" applyBorder="1" applyAlignment="1">
      <alignment vertical="center"/>
    </xf>
    <xf numFmtId="0" fontId="60" fillId="12" borderId="21" xfId="0" applyFont="1" applyFill="1" applyBorder="1" applyAlignment="1">
      <alignment horizontal="center" vertical="center"/>
    </xf>
    <xf numFmtId="0" fontId="60" fillId="12" borderId="1" xfId="0" applyFont="1" applyFill="1" applyBorder="1" applyAlignment="1">
      <alignment horizontal="center" vertical="center"/>
    </xf>
    <xf numFmtId="0" fontId="60" fillId="12" borderId="8" xfId="0" applyFont="1" applyFill="1" applyBorder="1" applyAlignment="1">
      <alignment horizontal="center" vertical="center"/>
    </xf>
    <xf numFmtId="0" fontId="60" fillId="6" borderId="8" xfId="0" applyFont="1" applyFill="1" applyBorder="1" applyAlignment="1">
      <alignment horizontal="center" vertical="center"/>
    </xf>
    <xf numFmtId="43" fontId="69" fillId="6" borderId="8" xfId="6" applyNumberFormat="1" applyFont="1" applyFill="1" applyBorder="1" applyAlignment="1">
      <alignment vertical="center"/>
    </xf>
    <xf numFmtId="0" fontId="69" fillId="6" borderId="9" xfId="6" applyFont="1" applyFill="1" applyBorder="1" applyAlignment="1">
      <alignment vertical="center"/>
    </xf>
    <xf numFmtId="43" fontId="64" fillId="0" borderId="6" xfId="6" applyNumberFormat="1" applyFont="1" applyBorder="1" applyAlignment="1">
      <alignment vertical="center" wrapText="1"/>
    </xf>
    <xf numFmtId="0" fontId="70" fillId="0" borderId="0" xfId="6" applyFont="1" applyAlignment="1">
      <alignment horizontal="left" vertical="center"/>
    </xf>
    <xf numFmtId="43" fontId="64" fillId="0" borderId="9" xfId="6" applyNumberFormat="1" applyFont="1" applyBorder="1" applyAlignment="1">
      <alignment vertical="center" wrapText="1"/>
    </xf>
    <xf numFmtId="43" fontId="65" fillId="0" borderId="0" xfId="6" applyNumberFormat="1" applyFont="1" applyAlignment="1">
      <alignment horizontal="left" vertical="center"/>
    </xf>
    <xf numFmtId="43" fontId="65" fillId="0" borderId="0" xfId="6" applyNumberFormat="1" applyFont="1" applyAlignment="1">
      <alignment vertical="center"/>
    </xf>
    <xf numFmtId="0" fontId="64" fillId="0" borderId="0" xfId="6" applyFont="1" applyAlignment="1">
      <alignment vertical="center"/>
    </xf>
    <xf numFmtId="43" fontId="64" fillId="0" borderId="2" xfId="6" applyNumberFormat="1" applyFont="1" applyBorder="1" applyAlignment="1">
      <alignment vertical="center"/>
    </xf>
    <xf numFmtId="43" fontId="66" fillId="0" borderId="0" xfId="6" applyNumberFormat="1" applyFont="1" applyAlignment="1">
      <alignment horizontal="center" vertical="center"/>
    </xf>
    <xf numFmtId="43" fontId="65" fillId="10" borderId="24" xfId="6" applyNumberFormat="1" applyFont="1" applyFill="1" applyBorder="1" applyAlignment="1">
      <alignment horizontal="center" vertical="center"/>
    </xf>
    <xf numFmtId="43" fontId="65" fillId="10" borderId="4" xfId="6" applyNumberFormat="1" applyFont="1" applyFill="1" applyBorder="1" applyAlignment="1">
      <alignment horizontal="center" vertical="center"/>
    </xf>
    <xf numFmtId="0" fontId="69" fillId="6" borderId="14" xfId="6" applyFont="1" applyFill="1" applyBorder="1" applyAlignment="1">
      <alignment vertical="center"/>
    </xf>
    <xf numFmtId="10" fontId="69" fillId="0" borderId="10" xfId="1" applyNumberFormat="1" applyFont="1" applyFill="1" applyBorder="1" applyAlignment="1" applyProtection="1">
      <alignment horizontal="center" vertical="center"/>
    </xf>
    <xf numFmtId="10" fontId="64" fillId="0" borderId="10" xfId="6" applyNumberFormat="1" applyFont="1" applyBorder="1" applyAlignment="1">
      <alignment horizontal="center" vertical="center"/>
    </xf>
    <xf numFmtId="177" fontId="60" fillId="0" borderId="0" xfId="0" applyNumberFormat="1" applyFont="1" applyAlignment="1">
      <alignment vertical="center"/>
    </xf>
    <xf numFmtId="169" fontId="60" fillId="0" borderId="0" xfId="0" applyNumberFormat="1" applyFont="1" applyAlignment="1">
      <alignment vertical="center"/>
    </xf>
    <xf numFmtId="0" fontId="60" fillId="6" borderId="0" xfId="0" applyFont="1" applyFill="1" applyAlignment="1">
      <alignment horizontal="center" vertical="center"/>
    </xf>
    <xf numFmtId="0" fontId="60" fillId="12" borderId="10" xfId="0" applyFont="1" applyFill="1" applyBorder="1" applyAlignment="1">
      <alignment horizontal="center" vertical="center"/>
    </xf>
    <xf numFmtId="0" fontId="60" fillId="12" borderId="2" xfId="0" applyFont="1" applyFill="1" applyBorder="1" applyAlignment="1">
      <alignment horizontal="center" vertical="center"/>
    </xf>
    <xf numFmtId="10" fontId="64" fillId="9" borderId="8" xfId="2" applyNumberFormat="1" applyFont="1" applyFill="1" applyBorder="1" applyAlignment="1">
      <alignment horizontal="center" vertical="center"/>
    </xf>
    <xf numFmtId="43" fontId="69" fillId="0" borderId="11" xfId="1" applyFont="1" applyFill="1" applyBorder="1" applyAlignment="1">
      <alignment horizontal="center" vertical="center"/>
    </xf>
    <xf numFmtId="10" fontId="60" fillId="0" borderId="0" xfId="0" applyNumberFormat="1" applyFont="1" applyAlignment="1">
      <alignment vertical="center"/>
    </xf>
    <xf numFmtId="0" fontId="60" fillId="0" borderId="0" xfId="0" applyFont="1" applyAlignment="1">
      <alignment horizontal="center" vertical="center"/>
    </xf>
    <xf numFmtId="43" fontId="60" fillId="0" borderId="20" xfId="0" applyNumberFormat="1" applyFont="1" applyBorder="1" applyAlignment="1">
      <alignment vertical="center"/>
    </xf>
    <xf numFmtId="0" fontId="65" fillId="9" borderId="2" xfId="6" applyFont="1" applyFill="1" applyBorder="1" applyAlignment="1">
      <alignment horizontal="left" vertical="center"/>
    </xf>
    <xf numFmtId="174" fontId="64" fillId="9" borderId="2" xfId="6" applyNumberFormat="1" applyFont="1" applyFill="1" applyBorder="1" applyAlignment="1">
      <alignment horizontal="right" vertical="center"/>
    </xf>
    <xf numFmtId="0" fontId="65" fillId="0" borderId="0" xfId="6" applyFont="1" applyAlignment="1">
      <alignment vertical="center"/>
    </xf>
    <xf numFmtId="0" fontId="65" fillId="0" borderId="0" xfId="6" applyFont="1" applyAlignment="1">
      <alignment horizontal="center" vertical="center"/>
    </xf>
    <xf numFmtId="0" fontId="60" fillId="12" borderId="0" xfId="0" applyFont="1" applyFill="1" applyAlignment="1">
      <alignment vertical="center"/>
    </xf>
    <xf numFmtId="0" fontId="72" fillId="12" borderId="0" xfId="0" applyFont="1" applyFill="1" applyAlignment="1">
      <alignment vertical="center"/>
    </xf>
    <xf numFmtId="0" fontId="72" fillId="0" borderId="0" xfId="0" applyFont="1" applyAlignment="1">
      <alignment vertical="center"/>
    </xf>
    <xf numFmtId="0" fontId="73" fillId="0" borderId="0" xfId="6" applyFont="1" applyAlignment="1">
      <alignment horizontal="center" vertical="center"/>
    </xf>
    <xf numFmtId="0" fontId="69" fillId="0" borderId="0" xfId="6" applyFont="1" applyAlignment="1">
      <alignment horizontal="center" vertical="center"/>
    </xf>
    <xf numFmtId="0" fontId="64" fillId="0" borderId="0" xfId="6" applyFont="1" applyAlignment="1">
      <alignment horizontal="right" vertical="center"/>
    </xf>
    <xf numFmtId="2" fontId="65" fillId="0" borderId="0" xfId="6" applyNumberFormat="1" applyFont="1" applyAlignment="1">
      <alignment horizontal="center" vertical="center"/>
    </xf>
    <xf numFmtId="2" fontId="65" fillId="0" borderId="0" xfId="6" applyNumberFormat="1" applyFont="1" applyAlignment="1">
      <alignment horizontal="left" vertical="center"/>
    </xf>
    <xf numFmtId="43" fontId="64" fillId="0" borderId="6" xfId="6" applyNumberFormat="1" applyFont="1" applyBorder="1" applyAlignment="1">
      <alignment vertical="center"/>
    </xf>
    <xf numFmtId="43" fontId="65" fillId="0" borderId="0" xfId="6" applyNumberFormat="1" applyFont="1" applyAlignment="1">
      <alignment horizontal="center" vertical="center"/>
    </xf>
    <xf numFmtId="0" fontId="75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9" fillId="0" borderId="0" xfId="6" applyFont="1" applyAlignment="1">
      <alignment vertical="center" wrapText="1"/>
    </xf>
    <xf numFmtId="167" fontId="64" fillId="0" borderId="0" xfId="6" applyNumberFormat="1" applyFont="1" applyAlignment="1">
      <alignment horizontal="right" vertical="center"/>
    </xf>
    <xf numFmtId="43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165" fontId="60" fillId="0" borderId="0" xfId="0" applyNumberFormat="1" applyFont="1" applyAlignment="1">
      <alignment vertical="center"/>
    </xf>
    <xf numFmtId="173" fontId="60" fillId="0" borderId="0" xfId="0" applyNumberFormat="1" applyFont="1" applyAlignment="1">
      <alignment vertical="center"/>
    </xf>
    <xf numFmtId="43" fontId="70" fillId="0" borderId="0" xfId="6" applyNumberFormat="1" applyFont="1" applyAlignment="1">
      <alignment horizontal="center" vertical="center"/>
    </xf>
    <xf numFmtId="0" fontId="60" fillId="0" borderId="0" xfId="0" applyFont="1" applyAlignment="1">
      <alignment vertical="center" wrapText="1"/>
    </xf>
    <xf numFmtId="0" fontId="60" fillId="12" borderId="0" xfId="0" applyFont="1" applyFill="1"/>
    <xf numFmtId="43" fontId="70" fillId="0" borderId="0" xfId="6" applyNumberFormat="1" applyFont="1" applyAlignment="1">
      <alignment vertical="center"/>
    </xf>
    <xf numFmtId="0" fontId="69" fillId="0" borderId="0" xfId="6" applyFont="1" applyAlignment="1">
      <alignment vertical="center"/>
    </xf>
    <xf numFmtId="0" fontId="61" fillId="0" borderId="0" xfId="0" applyFont="1" applyAlignment="1">
      <alignment horizontal="center" vertical="center"/>
    </xf>
    <xf numFmtId="0" fontId="70" fillId="0" borderId="0" xfId="6" applyFont="1" applyAlignment="1">
      <alignment horizontal="center" vertical="center"/>
    </xf>
    <xf numFmtId="43" fontId="47" fillId="0" borderId="0" xfId="1" applyFont="1" applyFill="1" applyAlignment="1">
      <alignment horizontal="center"/>
    </xf>
    <xf numFmtId="43" fontId="47" fillId="0" borderId="0" xfId="1" applyFont="1" applyAlignment="1">
      <alignment horizontal="center"/>
    </xf>
    <xf numFmtId="43" fontId="47" fillId="0" borderId="0" xfId="1" applyFont="1" applyAlignment="1">
      <alignment horizontal="left"/>
    </xf>
    <xf numFmtId="0" fontId="5" fillId="0" borderId="0" xfId="6" applyFont="1"/>
    <xf numFmtId="43" fontId="59" fillId="0" borderId="0" xfId="1" applyFont="1" applyAlignment="1">
      <alignment horizontal="left"/>
    </xf>
    <xf numFmtId="172" fontId="59" fillId="0" borderId="0" xfId="1" applyNumberFormat="1" applyFont="1" applyAlignment="1">
      <alignment horizontal="left" vertical="center"/>
    </xf>
    <xf numFmtId="43" fontId="59" fillId="0" borderId="0" xfId="1" applyFont="1" applyAlignment="1">
      <alignment horizontal="center"/>
    </xf>
    <xf numFmtId="43" fontId="59" fillId="0" borderId="0" xfId="1" applyFont="1" applyFill="1" applyAlignment="1">
      <alignment horizontal="left"/>
    </xf>
    <xf numFmtId="43" fontId="77" fillId="0" borderId="0" xfId="1" applyFont="1" applyFill="1" applyAlignment="1">
      <alignment horizontal="center"/>
    </xf>
    <xf numFmtId="43" fontId="59" fillId="0" borderId="0" xfId="1" applyFont="1" applyFill="1" applyAlignment="1">
      <alignment horizontal="center"/>
    </xf>
    <xf numFmtId="43" fontId="59" fillId="0" borderId="0" xfId="1" applyFont="1" applyFill="1" applyAlignment="1">
      <alignment horizontal="center" vertical="center"/>
    </xf>
    <xf numFmtId="43" fontId="59" fillId="0" borderId="0" xfId="1" applyFont="1" applyFill="1" applyAlignment="1">
      <alignment horizontal="center" vertical="center" wrapText="1"/>
    </xf>
    <xf numFmtId="43" fontId="59" fillId="0" borderId="0" xfId="1" applyFont="1" applyFill="1" applyBorder="1" applyAlignment="1">
      <alignment horizontal="right" wrapText="1"/>
    </xf>
    <xf numFmtId="2" fontId="59" fillId="0" borderId="0" xfId="1" applyNumberFormat="1" applyFont="1" applyFill="1" applyAlignment="1">
      <alignment horizontal="center" vertical="center"/>
    </xf>
    <xf numFmtId="43" fontId="59" fillId="0" borderId="0" xfId="1" applyFont="1" applyFill="1" applyAlignment="1">
      <alignment horizontal="center" wrapText="1"/>
    </xf>
    <xf numFmtId="2" fontId="47" fillId="0" borderId="0" xfId="0" applyNumberFormat="1" applyFont="1" applyAlignment="1">
      <alignment horizontal="center" vertical="center"/>
    </xf>
    <xf numFmtId="43" fontId="47" fillId="0" borderId="0" xfId="1" applyFont="1" applyFill="1" applyAlignment="1">
      <alignment horizontal="center" vertical="center" wrapText="1"/>
    </xf>
    <xf numFmtId="43" fontId="47" fillId="0" borderId="0" xfId="1" applyFont="1" applyFill="1" applyAlignment="1">
      <alignment horizontal="left" wrapText="1"/>
    </xf>
    <xf numFmtId="43" fontId="47" fillId="0" borderId="0" xfId="1" applyFont="1" applyFill="1" applyAlignment="1">
      <alignment wrapText="1"/>
    </xf>
    <xf numFmtId="43" fontId="59" fillId="0" borderId="0" xfId="1" applyFont="1" applyBorder="1" applyAlignment="1">
      <alignment horizontal="center"/>
    </xf>
    <xf numFmtId="43" fontId="59" fillId="0" borderId="0" xfId="1" applyFont="1" applyFill="1" applyBorder="1" applyAlignment="1">
      <alignment horizontal="left" wrapText="1"/>
    </xf>
    <xf numFmtId="43" fontId="47" fillId="0" borderId="0" xfId="1" applyFont="1" applyFill="1" applyAlignment="1">
      <alignment horizontal="center" vertical="center"/>
    </xf>
    <xf numFmtId="43" fontId="59" fillId="0" borderId="0" xfId="1" applyFont="1" applyFill="1" applyBorder="1" applyAlignment="1">
      <alignment horizontal="left"/>
    </xf>
    <xf numFmtId="165" fontId="47" fillId="0" borderId="0" xfId="7" applyNumberFormat="1" applyFont="1"/>
    <xf numFmtId="2" fontId="47" fillId="0" borderId="0" xfId="1" applyNumberFormat="1" applyFont="1" applyFill="1" applyAlignment="1">
      <alignment horizontal="center" vertical="center"/>
    </xf>
    <xf numFmtId="2" fontId="47" fillId="0" borderId="0" xfId="1" applyNumberFormat="1" applyFont="1" applyAlignment="1">
      <alignment horizontal="center"/>
    </xf>
    <xf numFmtId="2" fontId="47" fillId="0" borderId="0" xfId="1" applyNumberFormat="1" applyFont="1" applyBorder="1" applyAlignment="1">
      <alignment horizontal="center"/>
    </xf>
    <xf numFmtId="43" fontId="47" fillId="0" borderId="9" xfId="1" applyFont="1" applyFill="1" applyBorder="1" applyAlignment="1">
      <alignment horizontal="center" vertical="center" wrapText="1"/>
    </xf>
    <xf numFmtId="43" fontId="59" fillId="0" borderId="0" xfId="1" applyFont="1" applyAlignment="1">
      <alignment horizontal="right"/>
    </xf>
    <xf numFmtId="0" fontId="0" fillId="0" borderId="0" xfId="0" applyAlignment="1">
      <alignment horizontal="left"/>
    </xf>
    <xf numFmtId="43" fontId="59" fillId="0" borderId="0" xfId="1" applyFont="1" applyFill="1" applyBorder="1" applyAlignment="1">
      <alignment horizontal="center" vertical="center" wrapText="1"/>
    </xf>
    <xf numFmtId="43" fontId="59" fillId="0" borderId="9" xfId="1" applyFont="1" applyFill="1" applyBorder="1" applyAlignment="1">
      <alignment horizontal="center" vertical="center" wrapText="1"/>
    </xf>
    <xf numFmtId="0" fontId="47" fillId="0" borderId="0" xfId="6" applyFont="1" applyAlignment="1">
      <alignment horizontal="left"/>
    </xf>
    <xf numFmtId="43" fontId="47" fillId="0" borderId="0" xfId="1" applyFont="1" applyBorder="1" applyAlignment="1">
      <alignment horizontal="center"/>
    </xf>
    <xf numFmtId="43" fontId="47" fillId="0" borderId="9" xfId="1" applyFont="1" applyBorder="1" applyAlignment="1">
      <alignment horizontal="center"/>
    </xf>
    <xf numFmtId="43" fontId="47" fillId="0" borderId="0" xfId="1" applyFont="1" applyFill="1" applyBorder="1" applyAlignment="1">
      <alignment horizontal="center" vertical="center" wrapText="1"/>
    </xf>
    <xf numFmtId="43" fontId="59" fillId="0" borderId="0" xfId="1" applyFont="1" applyFill="1" applyAlignment="1">
      <alignment horizontal="right"/>
    </xf>
    <xf numFmtId="2" fontId="47" fillId="0" borderId="0" xfId="1" applyNumberFormat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47" fillId="0" borderId="0" xfId="0" applyFont="1" applyAlignment="1">
      <alignment horizontal="center" vertical="center"/>
    </xf>
    <xf numFmtId="4" fontId="47" fillId="0" borderId="0" xfId="0" applyNumberFormat="1" applyFont="1" applyAlignment="1">
      <alignment horizontal="center" vertical="center"/>
    </xf>
    <xf numFmtId="180" fontId="47" fillId="0" borderId="0" xfId="1" applyNumberFormat="1" applyFont="1" applyAlignment="1">
      <alignment horizontal="center"/>
    </xf>
    <xf numFmtId="43" fontId="47" fillId="6" borderId="0" xfId="1" applyFont="1" applyFill="1" applyAlignment="1">
      <alignment horizontal="center"/>
    </xf>
    <xf numFmtId="181" fontId="47" fillId="0" borderId="0" xfId="1" applyNumberFormat="1" applyFont="1" applyAlignment="1">
      <alignment horizontal="center"/>
    </xf>
    <xf numFmtId="43" fontId="47" fillId="0" borderId="0" xfId="0" applyNumberFormat="1" applyFont="1" applyAlignment="1">
      <alignment horizontal="center"/>
    </xf>
    <xf numFmtId="43" fontId="59" fillId="0" borderId="0" xfId="1" applyFont="1" applyBorder="1" applyAlignment="1">
      <alignment horizontal="right"/>
    </xf>
    <xf numFmtId="43" fontId="59" fillId="0" borderId="9" xfId="1" applyFont="1" applyBorder="1" applyAlignment="1">
      <alignment horizontal="center"/>
    </xf>
    <xf numFmtId="0" fontId="78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81" fillId="0" borderId="1" xfId="0" applyFont="1" applyBorder="1"/>
    <xf numFmtId="0" fontId="81" fillId="0" borderId="11" xfId="0" applyFont="1" applyBorder="1"/>
    <xf numFmtId="0" fontId="81" fillId="0" borderId="10" xfId="0" applyFont="1" applyBorder="1"/>
    <xf numFmtId="0" fontId="81" fillId="0" borderId="5" xfId="0" applyFont="1" applyBorder="1"/>
    <xf numFmtId="0" fontId="81" fillId="0" borderId="12" xfId="0" applyFont="1" applyBorder="1"/>
    <xf numFmtId="0" fontId="81" fillId="0" borderId="7" xfId="0" applyFont="1" applyBorder="1"/>
    <xf numFmtId="0" fontId="81" fillId="0" borderId="13" xfId="0" applyFont="1" applyBorder="1"/>
    <xf numFmtId="0" fontId="81" fillId="0" borderId="3" xfId="0" applyFont="1" applyBorder="1"/>
    <xf numFmtId="0" fontId="81" fillId="0" borderId="8" xfId="0" applyFont="1" applyBorder="1"/>
    <xf numFmtId="0" fontId="81" fillId="0" borderId="14" xfId="0" applyFont="1" applyBorder="1"/>
    <xf numFmtId="0" fontId="81" fillId="0" borderId="5" xfId="0" applyFont="1" applyBorder="1" applyAlignment="1">
      <alignment horizontal="center" vertical="center"/>
    </xf>
    <xf numFmtId="0" fontId="81" fillId="0" borderId="21" xfId="0" applyFont="1" applyBorder="1"/>
    <xf numFmtId="0" fontId="81" fillId="0" borderId="8" xfId="0" applyFont="1" applyBorder="1" applyAlignment="1">
      <alignment horizontal="center" vertical="center"/>
    </xf>
    <xf numFmtId="0" fontId="82" fillId="0" borderId="4" xfId="0" applyFont="1" applyBorder="1"/>
    <xf numFmtId="0" fontId="81" fillId="0" borderId="4" xfId="0" applyFont="1" applyBorder="1"/>
    <xf numFmtId="0" fontId="81" fillId="0" borderId="7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43" fontId="81" fillId="0" borderId="13" xfId="0" applyNumberFormat="1" applyFont="1" applyBorder="1"/>
    <xf numFmtId="0" fontId="0" fillId="0" borderId="13" xfId="0" applyBorder="1"/>
    <xf numFmtId="0" fontId="83" fillId="0" borderId="4" xfId="0" applyFont="1" applyBorder="1" applyAlignment="1">
      <alignment horizontal="left"/>
    </xf>
    <xf numFmtId="43" fontId="81" fillId="0" borderId="13" xfId="5" applyFont="1" applyBorder="1"/>
    <xf numFmtId="0" fontId="81" fillId="0" borderId="7" xfId="0" applyFont="1" applyBorder="1" applyAlignment="1">
      <alignment horizontal="left"/>
    </xf>
    <xf numFmtId="0" fontId="82" fillId="0" borderId="1" xfId="0" applyFont="1" applyBorder="1"/>
    <xf numFmtId="43" fontId="82" fillId="0" borderId="12" xfId="5" applyFont="1" applyBorder="1"/>
    <xf numFmtId="0" fontId="81" fillId="0" borderId="0" xfId="0" applyFont="1" applyAlignment="1">
      <alignment horizontal="center"/>
    </xf>
    <xf numFmtId="0" fontId="81" fillId="0" borderId="13" xfId="0" applyFont="1" applyBorder="1" applyAlignment="1">
      <alignment horizontal="center"/>
    </xf>
    <xf numFmtId="0" fontId="81" fillId="0" borderId="0" xfId="0" applyFont="1"/>
    <xf numFmtId="0" fontId="81" fillId="0" borderId="9" xfId="0" applyFont="1" applyBorder="1" applyAlignment="1">
      <alignment horizontal="center"/>
    </xf>
    <xf numFmtId="0" fontId="81" fillId="0" borderId="14" xfId="0" applyFont="1" applyBorder="1" applyAlignment="1">
      <alignment horizontal="center"/>
    </xf>
    <xf numFmtId="0" fontId="81" fillId="0" borderId="9" xfId="0" applyFont="1" applyBorder="1"/>
    <xf numFmtId="43" fontId="85" fillId="0" borderId="13" xfId="0" applyNumberFormat="1" applyFont="1" applyBorder="1"/>
    <xf numFmtId="0" fontId="81" fillId="0" borderId="4" xfId="0" applyFont="1" applyBorder="1" applyAlignment="1">
      <alignment horizontal="left"/>
    </xf>
    <xf numFmtId="43" fontId="87" fillId="0" borderId="13" xfId="5" applyFont="1" applyBorder="1"/>
    <xf numFmtId="0" fontId="81" fillId="0" borderId="4" xfId="0" applyFont="1" applyBorder="1" applyAlignment="1">
      <alignment horizontal="left" wrapText="1"/>
    </xf>
    <xf numFmtId="0" fontId="0" fillId="0" borderId="9" xfId="0" applyBorder="1" applyAlignment="1">
      <alignment horizontal="center"/>
    </xf>
    <xf numFmtId="43" fontId="87" fillId="0" borderId="0" xfId="5" applyFont="1"/>
    <xf numFmtId="0" fontId="81" fillId="0" borderId="7" xfId="0" applyFont="1" applyBorder="1" applyAlignment="1">
      <alignment wrapText="1"/>
    </xf>
    <xf numFmtId="43" fontId="81" fillId="0" borderId="13" xfId="5" applyFont="1" applyBorder="1" applyAlignment="1">
      <alignment vertical="top"/>
    </xf>
    <xf numFmtId="0" fontId="85" fillId="0" borderId="0" xfId="0" applyFont="1"/>
    <xf numFmtId="0" fontId="89" fillId="0" borderId="0" xfId="0" applyFont="1"/>
    <xf numFmtId="0" fontId="85" fillId="0" borderId="7" xfId="0" applyFont="1" applyBorder="1" applyAlignment="1">
      <alignment horizontal="left" vertical="center"/>
    </xf>
    <xf numFmtId="0" fontId="82" fillId="0" borderId="5" xfId="0" applyFont="1" applyBorder="1"/>
    <xf numFmtId="0" fontId="85" fillId="0" borderId="7" xfId="0" applyFont="1" applyBorder="1"/>
    <xf numFmtId="0" fontId="85" fillId="0" borderId="4" xfId="0" applyFont="1" applyBorder="1"/>
    <xf numFmtId="0" fontId="89" fillId="0" borderId="7" xfId="0" applyFont="1" applyBorder="1"/>
    <xf numFmtId="0" fontId="81" fillId="0" borderId="7" xfId="0" applyFont="1" applyBorder="1" applyAlignment="1">
      <alignment horizontal="left" wrapText="1"/>
    </xf>
    <xf numFmtId="43" fontId="85" fillId="0" borderId="13" xfId="5" applyFont="1" applyFill="1" applyBorder="1" applyAlignment="1">
      <alignment horizontal="right"/>
    </xf>
    <xf numFmtId="0" fontId="85" fillId="0" borderId="4" xfId="0" applyFont="1" applyBorder="1" applyAlignment="1">
      <alignment horizontal="left" vertical="center"/>
    </xf>
    <xf numFmtId="43" fontId="90" fillId="0" borderId="13" xfId="0" applyNumberFormat="1" applyFont="1" applyBorder="1"/>
    <xf numFmtId="43" fontId="90" fillId="0" borderId="13" xfId="5" applyFont="1" applyFill="1" applyBorder="1" applyAlignment="1">
      <alignment horizontal="right"/>
    </xf>
    <xf numFmtId="43" fontId="82" fillId="0" borderId="13" xfId="5" applyFont="1" applyBorder="1" applyAlignment="1">
      <alignment vertical="top"/>
    </xf>
    <xf numFmtId="0" fontId="87" fillId="0" borderId="7" xfId="0" applyFont="1" applyBorder="1"/>
    <xf numFmtId="43" fontId="0" fillId="0" borderId="11" xfId="0" applyNumberFormat="1" applyBorder="1"/>
    <xf numFmtId="43" fontId="2" fillId="0" borderId="11" xfId="0" applyNumberFormat="1" applyFont="1" applyBorder="1"/>
    <xf numFmtId="0" fontId="0" fillId="0" borderId="4" xfId="0" applyBorder="1"/>
    <xf numFmtId="43" fontId="0" fillId="0" borderId="13" xfId="0" applyNumberFormat="1" applyBorder="1"/>
    <xf numFmtId="0" fontId="0" fillId="3" borderId="0" xfId="0" applyFill="1"/>
    <xf numFmtId="0" fontId="56" fillId="0" borderId="0" xfId="0" applyFont="1"/>
    <xf numFmtId="0" fontId="91" fillId="0" borderId="0" xfId="0" applyFont="1"/>
    <xf numFmtId="4" fontId="91" fillId="0" borderId="0" xfId="0" applyNumberFormat="1" applyFont="1"/>
    <xf numFmtId="0" fontId="90" fillId="0" borderId="10" xfId="0" applyFont="1" applyBorder="1"/>
    <xf numFmtId="0" fontId="14" fillId="0" borderId="10" xfId="0" applyFont="1" applyBorder="1" applyAlignment="1">
      <alignment horizontal="center"/>
    </xf>
    <xf numFmtId="0" fontId="82" fillId="0" borderId="10" xfId="0" applyFont="1" applyBorder="1" applyAlignment="1">
      <alignment horizontal="center"/>
    </xf>
    <xf numFmtId="0" fontId="56" fillId="0" borderId="10" xfId="0" applyFont="1" applyBorder="1"/>
    <xf numFmtId="0" fontId="92" fillId="9" borderId="10" xfId="0" applyFont="1" applyFill="1" applyBorder="1"/>
    <xf numFmtId="0" fontId="91" fillId="9" borderId="10" xfId="0" applyFont="1" applyFill="1" applyBorder="1"/>
    <xf numFmtId="0" fontId="82" fillId="0" borderId="10" xfId="0" applyFont="1" applyBorder="1" applyAlignment="1">
      <alignment horizontal="center" vertical="center" wrapText="1"/>
    </xf>
    <xf numFmtId="0" fontId="93" fillId="0" borderId="10" xfId="0" applyFont="1" applyBorder="1" applyAlignment="1">
      <alignment horizontal="center" vertical="center"/>
    </xf>
    <xf numFmtId="4" fontId="93" fillId="0" borderId="10" xfId="0" applyNumberFormat="1" applyFont="1" applyBorder="1" applyAlignment="1">
      <alignment horizontal="center" vertical="center" wrapText="1"/>
    </xf>
    <xf numFmtId="0" fontId="90" fillId="3" borderId="10" xfId="0" applyFont="1" applyFill="1" applyBorder="1"/>
    <xf numFmtId="0" fontId="92" fillId="3" borderId="10" xfId="0" applyFont="1" applyFill="1" applyBorder="1"/>
    <xf numFmtId="0" fontId="91" fillId="3" borderId="10" xfId="0" applyFont="1" applyFill="1" applyBorder="1"/>
    <xf numFmtId="0" fontId="82" fillId="3" borderId="10" xfId="0" applyFont="1" applyFill="1" applyBorder="1" applyAlignment="1">
      <alignment horizontal="center" vertical="center" wrapText="1"/>
    </xf>
    <xf numFmtId="0" fontId="93" fillId="3" borderId="10" xfId="0" applyFont="1" applyFill="1" applyBorder="1" applyAlignment="1">
      <alignment horizontal="center" vertical="center"/>
    </xf>
    <xf numFmtId="4" fontId="93" fillId="3" borderId="10" xfId="0" applyNumberFormat="1" applyFont="1" applyFill="1" applyBorder="1" applyAlignment="1">
      <alignment horizontal="center" vertical="center" wrapText="1"/>
    </xf>
    <xf numFmtId="0" fontId="94" fillId="0" borderId="10" xfId="0" applyFont="1" applyBorder="1"/>
    <xf numFmtId="43" fontId="91" fillId="9" borderId="10" xfId="1" applyFont="1" applyFill="1" applyBorder="1"/>
    <xf numFmtId="43" fontId="91" fillId="3" borderId="10" xfId="1" applyFont="1" applyFill="1" applyBorder="1"/>
    <xf numFmtId="43" fontId="91" fillId="0" borderId="0" xfId="1" applyFont="1"/>
    <xf numFmtId="0" fontId="92" fillId="0" borderId="10" xfId="0" applyFont="1" applyBorder="1" applyAlignment="1">
      <alignment horizontal="left"/>
    </xf>
    <xf numFmtId="0" fontId="91" fillId="0" borderId="10" xfId="0" applyFont="1" applyBorder="1" applyAlignment="1">
      <alignment horizontal="center"/>
    </xf>
    <xf numFmtId="43" fontId="81" fillId="0" borderId="10" xfId="1" applyFont="1" applyBorder="1" applyAlignment="1">
      <alignment horizontal="center"/>
    </xf>
    <xf numFmtId="0" fontId="91" fillId="0" borderId="10" xfId="0" applyFont="1" applyBorder="1"/>
    <xf numFmtId="4" fontId="91" fillId="0" borderId="10" xfId="0" applyNumberFormat="1" applyFont="1" applyBorder="1"/>
    <xf numFmtId="0" fontId="95" fillId="0" borderId="7" xfId="0" applyFont="1" applyBorder="1"/>
    <xf numFmtId="0" fontId="9" fillId="0" borderId="10" xfId="0" applyFont="1" applyBorder="1" applyAlignment="1">
      <alignment horizontal="center"/>
    </xf>
    <xf numFmtId="0" fontId="11" fillId="0" borderId="10" xfId="0" applyFont="1" applyBorder="1"/>
    <xf numFmtId="0" fontId="91" fillId="3" borderId="10" xfId="0" applyFont="1" applyFill="1" applyBorder="1" applyAlignment="1">
      <alignment horizontal="center"/>
    </xf>
    <xf numFmtId="0" fontId="0" fillId="0" borderId="10" xfId="0" applyBorder="1"/>
    <xf numFmtId="0" fontId="92" fillId="0" borderId="10" xfId="0" applyFont="1" applyBorder="1"/>
    <xf numFmtId="0" fontId="91" fillId="0" borderId="10" xfId="0" applyFont="1" applyBorder="1" applyAlignment="1">
      <alignment horizontal="center" vertical="center"/>
    </xf>
    <xf numFmtId="43" fontId="81" fillId="0" borderId="10" xfId="1" applyFont="1" applyBorder="1"/>
    <xf numFmtId="43" fontId="91" fillId="0" borderId="10" xfId="1" applyFont="1" applyBorder="1"/>
    <xf numFmtId="4" fontId="93" fillId="0" borderId="10" xfId="0" applyNumberFormat="1" applyFont="1" applyBorder="1" applyAlignment="1">
      <alignment horizontal="center" vertical="center"/>
    </xf>
    <xf numFmtId="4" fontId="93" fillId="0" borderId="2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4" fontId="93" fillId="3" borderId="10" xfId="0" applyNumberFormat="1" applyFont="1" applyFill="1" applyBorder="1" applyAlignment="1">
      <alignment horizontal="center" vertical="center"/>
    </xf>
    <xf numFmtId="4" fontId="93" fillId="3" borderId="21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wrapText="1"/>
    </xf>
    <xf numFmtId="2" fontId="9" fillId="0" borderId="10" xfId="0" applyNumberFormat="1" applyFont="1" applyBorder="1"/>
    <xf numFmtId="165" fontId="9" fillId="0" borderId="0" xfId="0" applyNumberFormat="1" applyFont="1"/>
    <xf numFmtId="4" fontId="91" fillId="0" borderId="10" xfId="1" applyNumberFormat="1" applyFont="1" applyBorder="1"/>
    <xf numFmtId="4" fontId="91" fillId="0" borderId="21" xfId="0" applyNumberFormat="1" applyFont="1" applyBorder="1"/>
    <xf numFmtId="43" fontId="81" fillId="0" borderId="10" xfId="1" applyFont="1" applyFill="1" applyBorder="1" applyAlignment="1">
      <alignment horizontal="center" vertical="center"/>
    </xf>
    <xf numFmtId="43" fontId="81" fillId="0" borderId="10" xfId="1" applyFont="1" applyFill="1" applyBorder="1" applyAlignment="1">
      <alignment horizontal="center" vertical="center" wrapText="1"/>
    </xf>
    <xf numFmtId="0" fontId="0" fillId="9" borderId="10" xfId="0" applyFill="1" applyBorder="1"/>
    <xf numFmtId="43" fontId="91" fillId="0" borderId="10" xfId="1" applyFont="1" applyBorder="1" applyAlignment="1">
      <alignment horizontal="left" vertical="center"/>
    </xf>
    <xf numFmtId="0" fontId="91" fillId="0" borderId="10" xfId="0" applyFont="1" applyBorder="1" applyAlignment="1">
      <alignment horizontal="left" vertical="center"/>
    </xf>
    <xf numFmtId="2" fontId="0" fillId="0" borderId="10" xfId="0" applyNumberFormat="1" applyBorder="1"/>
    <xf numFmtId="4" fontId="91" fillId="0" borderId="4" xfId="0" applyNumberFormat="1" applyFont="1" applyBorder="1"/>
    <xf numFmtId="43" fontId="81" fillId="3" borderId="10" xfId="1" applyFont="1" applyFill="1" applyBorder="1"/>
    <xf numFmtId="4" fontId="91" fillId="3" borderId="10" xfId="0" applyNumberFormat="1" applyFont="1" applyFill="1" applyBorder="1"/>
    <xf numFmtId="0" fontId="90" fillId="9" borderId="10" xfId="0" applyFont="1" applyFill="1" applyBorder="1"/>
    <xf numFmtId="43" fontId="81" fillId="9" borderId="10" xfId="1" applyFont="1" applyFill="1" applyBorder="1"/>
    <xf numFmtId="0" fontId="90" fillId="12" borderId="10" xfId="0" applyFont="1" applyFill="1" applyBorder="1"/>
    <xf numFmtId="0" fontId="91" fillId="12" borderId="10" xfId="0" applyFont="1" applyFill="1" applyBorder="1"/>
    <xf numFmtId="43" fontId="81" fillId="12" borderId="10" xfId="1" applyFont="1" applyFill="1" applyBorder="1"/>
    <xf numFmtId="4" fontId="91" fillId="12" borderId="10" xfId="0" applyNumberFormat="1" applyFont="1" applyFill="1" applyBorder="1"/>
    <xf numFmtId="0" fontId="0" fillId="3" borderId="10" xfId="0" applyFill="1" applyBorder="1"/>
    <xf numFmtId="0" fontId="0" fillId="12" borderId="10" xfId="0" applyFill="1" applyBorder="1"/>
    <xf numFmtId="43" fontId="81" fillId="0" borderId="10" xfId="1" applyFont="1" applyFill="1" applyBorder="1"/>
    <xf numFmtId="0" fontId="91" fillId="9" borderId="10" xfId="0" applyFont="1" applyFill="1" applyBorder="1" applyAlignment="1">
      <alignment horizontal="center"/>
    </xf>
    <xf numFmtId="0" fontId="92" fillId="0" borderId="10" xfId="0" applyFont="1" applyBorder="1" applyAlignment="1">
      <alignment horizontal="left" wrapText="1"/>
    </xf>
    <xf numFmtId="43" fontId="81" fillId="0" borderId="10" xfId="1" applyFont="1" applyBorder="1" applyAlignment="1">
      <alignment horizontal="center" vertical="center"/>
    </xf>
    <xf numFmtId="0" fontId="56" fillId="0" borderId="3" xfId="0" applyFont="1" applyBorder="1" applyAlignment="1">
      <alignment horizontal="center"/>
    </xf>
    <xf numFmtId="0" fontId="92" fillId="0" borderId="3" xfId="0" applyFont="1" applyBorder="1" applyAlignment="1">
      <alignment horizontal="left" wrapText="1"/>
    </xf>
    <xf numFmtId="0" fontId="91" fillId="0" borderId="3" xfId="0" applyFont="1" applyBorder="1" applyAlignment="1">
      <alignment horizontal="center" vertical="center"/>
    </xf>
    <xf numFmtId="0" fontId="91" fillId="0" borderId="10" xfId="0" applyFont="1" applyBorder="1" applyAlignment="1">
      <alignment horizontal="left" vertical="center" wrapText="1"/>
    </xf>
    <xf numFmtId="0" fontId="91" fillId="0" borderId="10" xfId="0" applyFont="1" applyBorder="1" applyAlignment="1">
      <alignment horizontal="left" wrapText="1"/>
    </xf>
    <xf numFmtId="0" fontId="92" fillId="0" borderId="10" xfId="0" applyFont="1" applyBorder="1" applyAlignment="1">
      <alignment horizontal="left" vertical="center" wrapText="1"/>
    </xf>
    <xf numFmtId="43" fontId="91" fillId="0" borderId="10" xfId="0" applyNumberFormat="1" applyFont="1" applyBorder="1"/>
    <xf numFmtId="0" fontId="33" fillId="0" borderId="10" xfId="0" applyFont="1" applyBorder="1" applyAlignment="1">
      <alignment horizontal="center" vertical="center"/>
    </xf>
    <xf numFmtId="43" fontId="33" fillId="0" borderId="10" xfId="1" applyFont="1" applyFill="1" applyBorder="1" applyAlignment="1">
      <alignment horizontal="center" vertical="center"/>
    </xf>
    <xf numFmtId="0" fontId="92" fillId="0" borderId="1" xfId="0" applyFont="1" applyBorder="1"/>
    <xf numFmtId="165" fontId="19" fillId="0" borderId="10" xfId="7" applyNumberFormat="1" applyFont="1" applyBorder="1"/>
    <xf numFmtId="165" fontId="8" fillId="0" borderId="10" xfId="7" applyNumberFormat="1" applyBorder="1" applyAlignment="1">
      <alignment horizontal="center"/>
    </xf>
    <xf numFmtId="165" fontId="96" fillId="0" borderId="10" xfId="7" applyNumberFormat="1" applyFont="1" applyBorder="1" applyAlignment="1">
      <alignment horizontal="right" vertical="center"/>
    </xf>
    <xf numFmtId="0" fontId="9" fillId="0" borderId="10" xfId="0" applyFont="1" applyBorder="1"/>
    <xf numFmtId="43" fontId="9" fillId="0" borderId="10" xfId="1" applyFont="1" applyBorder="1" applyAlignment="1"/>
    <xf numFmtId="165" fontId="9" fillId="0" borderId="10" xfId="0" applyNumberFormat="1" applyFont="1" applyBorder="1"/>
    <xf numFmtId="43" fontId="9" fillId="0" borderId="10" xfId="3" applyFont="1" applyBorder="1" applyAlignment="1"/>
    <xf numFmtId="43" fontId="9" fillId="0" borderId="0" xfId="3" applyFont="1" applyBorder="1" applyAlignment="1"/>
    <xf numFmtId="43" fontId="9" fillId="0" borderId="13" xfId="3" applyFont="1" applyBorder="1" applyAlignment="1"/>
    <xf numFmtId="0" fontId="97" fillId="0" borderId="0" xfId="0" applyFont="1"/>
    <xf numFmtId="2" fontId="97" fillId="0" borderId="0" xfId="0" applyNumberFormat="1" applyFont="1"/>
    <xf numFmtId="0" fontId="97" fillId="0" borderId="10" xfId="0" applyFont="1" applyBorder="1"/>
    <xf numFmtId="2" fontId="97" fillId="0" borderId="10" xfId="0" applyNumberFormat="1" applyFont="1" applyBorder="1"/>
    <xf numFmtId="0" fontId="98" fillId="0" borderId="10" xfId="0" applyFont="1" applyBorder="1" applyAlignment="1">
      <alignment horizontal="right"/>
    </xf>
    <xf numFmtId="0" fontId="97" fillId="0" borderId="10" xfId="0" applyFont="1" applyBorder="1" applyAlignment="1">
      <alignment horizontal="right"/>
    </xf>
    <xf numFmtId="0" fontId="97" fillId="0" borderId="10" xfId="0" applyFont="1" applyBorder="1" applyAlignment="1">
      <alignment horizontal="left"/>
    </xf>
    <xf numFmtId="0" fontId="0" fillId="10" borderId="0" xfId="0" applyFill="1"/>
    <xf numFmtId="0" fontId="0" fillId="13" borderId="0" xfId="0" applyFill="1"/>
    <xf numFmtId="0" fontId="2" fillId="13" borderId="0" xfId="0" applyFont="1" applyFill="1"/>
    <xf numFmtId="0" fontId="0" fillId="14" borderId="0" xfId="0" applyFill="1"/>
    <xf numFmtId="0" fontId="0" fillId="15" borderId="0" xfId="0" applyFill="1"/>
    <xf numFmtId="0" fontId="2" fillId="3" borderId="0" xfId="0" applyFont="1" applyFill="1"/>
    <xf numFmtId="0" fontId="0" fillId="3" borderId="0" xfId="0" applyFill="1" applyAlignment="1">
      <alignment horizontal="right"/>
    </xf>
    <xf numFmtId="43" fontId="2" fillId="3" borderId="10" xfId="1" applyFont="1" applyFill="1" applyBorder="1"/>
    <xf numFmtId="2" fontId="0" fillId="3" borderId="10" xfId="0" applyNumberFormat="1" applyFill="1" applyBorder="1"/>
    <xf numFmtId="2" fontId="0" fillId="3" borderId="0" xfId="0" applyNumberFormat="1" applyFill="1"/>
    <xf numFmtId="0" fontId="0" fillId="3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 applyAlignment="1">
      <alignment horizontal="right"/>
    </xf>
    <xf numFmtId="2" fontId="2" fillId="10" borderId="10" xfId="0" applyNumberFormat="1" applyFont="1" applyFill="1" applyBorder="1"/>
    <xf numFmtId="2" fontId="0" fillId="10" borderId="10" xfId="0" applyNumberFormat="1" applyFill="1" applyBorder="1"/>
    <xf numFmtId="2" fontId="0" fillId="10" borderId="0" xfId="0" applyNumberFormat="1" applyFill="1"/>
    <xf numFmtId="2" fontId="0" fillId="10" borderId="10" xfId="0" applyNumberFormat="1" applyFill="1" applyBorder="1" applyAlignment="1">
      <alignment horizontal="right"/>
    </xf>
    <xf numFmtId="2" fontId="0" fillId="10" borderId="0" xfId="0" applyNumberFormat="1" applyFill="1" applyAlignment="1">
      <alignment horizontal="right"/>
    </xf>
    <xf numFmtId="0" fontId="2" fillId="6" borderId="0" xfId="0" applyFont="1" applyFill="1"/>
    <xf numFmtId="43" fontId="0" fillId="6" borderId="10" xfId="1" applyFont="1" applyFill="1" applyBorder="1"/>
    <xf numFmtId="2" fontId="0" fillId="13" borderId="0" xfId="0" applyNumberFormat="1" applyFill="1"/>
    <xf numFmtId="2" fontId="0" fillId="13" borderId="0" xfId="0" applyNumberFormat="1" applyFill="1" applyAlignment="1">
      <alignment horizontal="center"/>
    </xf>
    <xf numFmtId="2" fontId="0" fillId="16" borderId="10" xfId="0" applyNumberFormat="1" applyFill="1" applyBorder="1"/>
    <xf numFmtId="2" fontId="0" fillId="13" borderId="10" xfId="0" applyNumberFormat="1" applyFill="1" applyBorder="1"/>
    <xf numFmtId="2" fontId="91" fillId="16" borderId="10" xfId="0" applyNumberFormat="1" applyFont="1" applyFill="1" applyBorder="1"/>
    <xf numFmtId="0" fontId="0" fillId="13" borderId="0" xfId="0" applyFill="1" applyAlignment="1">
      <alignment horizontal="right"/>
    </xf>
    <xf numFmtId="0" fontId="0" fillId="13" borderId="10" xfId="0" applyFill="1" applyBorder="1"/>
    <xf numFmtId="0" fontId="91" fillId="13" borderId="0" xfId="0" applyFont="1" applyFill="1"/>
    <xf numFmtId="0" fontId="94" fillId="13" borderId="0" xfId="0" applyFont="1" applyFill="1" applyAlignment="1">
      <alignment horizontal="center"/>
    </xf>
    <xf numFmtId="2" fontId="0" fillId="16" borderId="0" xfId="0" applyNumberFormat="1" applyFill="1"/>
    <xf numFmtId="1" fontId="0" fillId="13" borderId="0" xfId="0" applyNumberFormat="1" applyFill="1"/>
    <xf numFmtId="43" fontId="0" fillId="13" borderId="10" xfId="1" applyFont="1" applyFill="1" applyBorder="1"/>
    <xf numFmtId="2" fontId="47" fillId="16" borderId="10" xfId="0" applyNumberFormat="1" applyFont="1" applyFill="1" applyBorder="1"/>
    <xf numFmtId="2" fontId="94" fillId="13" borderId="0" xfId="0" applyNumberFormat="1" applyFont="1" applyFill="1"/>
    <xf numFmtId="0" fontId="2" fillId="7" borderId="0" xfId="0" applyFont="1" applyFill="1"/>
    <xf numFmtId="2" fontId="0" fillId="7" borderId="10" xfId="0" applyNumberFormat="1" applyFill="1" applyBorder="1"/>
    <xf numFmtId="0" fontId="0" fillId="17" borderId="0" xfId="0" applyFill="1"/>
    <xf numFmtId="2" fontId="0" fillId="17" borderId="10" xfId="0" applyNumberFormat="1" applyFill="1" applyBorder="1"/>
    <xf numFmtId="0" fontId="0" fillId="7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8" borderId="0" xfId="0" applyFill="1"/>
    <xf numFmtId="2" fontId="0" fillId="18" borderId="0" xfId="0" applyNumberFormat="1" applyFill="1"/>
    <xf numFmtId="0" fontId="0" fillId="18" borderId="0" xfId="0" applyFill="1" applyAlignment="1">
      <alignment horizontal="right"/>
    </xf>
    <xf numFmtId="2" fontId="0" fillId="18" borderId="10" xfId="0" applyNumberFormat="1" applyFill="1" applyBorder="1"/>
    <xf numFmtId="0" fontId="0" fillId="2" borderId="0" xfId="0" applyFill="1" applyAlignment="1">
      <alignment horizontal="right"/>
    </xf>
    <xf numFmtId="2" fontId="0" fillId="2" borderId="10" xfId="0" applyNumberFormat="1" applyFill="1" applyBorder="1"/>
    <xf numFmtId="0" fontId="0" fillId="5" borderId="10" xfId="0" applyFill="1" applyBorder="1"/>
    <xf numFmtId="0" fontId="0" fillId="6" borderId="10" xfId="0" applyFill="1" applyBorder="1"/>
    <xf numFmtId="0" fontId="0" fillId="14" borderId="10" xfId="0" applyFill="1" applyBorder="1"/>
    <xf numFmtId="0" fontId="0" fillId="15" borderId="10" xfId="0" applyFill="1" applyBorder="1"/>
    <xf numFmtId="0" fontId="0" fillId="16" borderId="0" xfId="0" applyFill="1"/>
    <xf numFmtId="0" fontId="0" fillId="6" borderId="0" xfId="0" applyFill="1" applyAlignment="1">
      <alignment horizontal="left"/>
    </xf>
    <xf numFmtId="0" fontId="0" fillId="0" borderId="0" xfId="0" applyAlignment="1">
      <alignment horizontal="right"/>
    </xf>
    <xf numFmtId="0" fontId="0" fillId="16" borderId="0" xfId="0" applyFill="1" applyAlignment="1">
      <alignment horizontal="right"/>
    </xf>
    <xf numFmtId="2" fontId="0" fillId="0" borderId="3" xfId="0" applyNumberFormat="1" applyBorder="1"/>
    <xf numFmtId="2" fontId="0" fillId="0" borderId="4" xfId="0" applyNumberFormat="1" applyBorder="1"/>
    <xf numFmtId="2" fontId="0" fillId="0" borderId="21" xfId="0" applyNumberFormat="1" applyBorder="1"/>
    <xf numFmtId="2" fontId="0" fillId="0" borderId="0" xfId="0" applyNumberFormat="1"/>
    <xf numFmtId="0" fontId="0" fillId="0" borderId="3" xfId="0" applyBorder="1"/>
    <xf numFmtId="2" fontId="0" fillId="0" borderId="4" xfId="0" applyNumberFormat="1" applyBorder="1" applyAlignment="1">
      <alignment vertical="center"/>
    </xf>
    <xf numFmtId="2" fontId="0" fillId="0" borderId="21" xfId="0" applyNumberFormat="1" applyBorder="1" applyAlignment="1">
      <alignment vertical="center"/>
    </xf>
    <xf numFmtId="0" fontId="99" fillId="0" borderId="0" xfId="0" applyFont="1" applyAlignment="1">
      <alignment horizontal="right"/>
    </xf>
    <xf numFmtId="0" fontId="0" fillId="0" borderId="13" xfId="0" applyBorder="1" applyAlignment="1">
      <alignment horizontal="left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10" xfId="0" applyNumberFormat="1" applyBorder="1" applyAlignment="1">
      <alignment horizontal="center"/>
    </xf>
    <xf numFmtId="0" fontId="0" fillId="6" borderId="0" xfId="0" applyFill="1" applyAlignment="1">
      <alignment horizontal="right"/>
    </xf>
    <xf numFmtId="0" fontId="0" fillId="16" borderId="10" xfId="0" applyFill="1" applyBorder="1"/>
    <xf numFmtId="2" fontId="0" fillId="6" borderId="10" xfId="0" applyNumberFormat="1" applyFill="1" applyBorder="1"/>
    <xf numFmtId="0" fontId="23" fillId="0" borderId="37" xfId="6" applyFont="1" applyBorder="1" applyAlignment="1">
      <alignment horizontal="center"/>
    </xf>
    <xf numFmtId="0" fontId="65" fillId="0" borderId="0" xfId="6" quotePrefix="1" applyFont="1" applyAlignment="1">
      <alignment horizontal="left" vertical="center"/>
    </xf>
    <xf numFmtId="0" fontId="17" fillId="0" borderId="0" xfId="6" quotePrefix="1" applyFont="1" applyAlignment="1">
      <alignment horizontal="left"/>
    </xf>
    <xf numFmtId="0" fontId="17" fillId="9" borderId="2" xfId="6" quotePrefix="1" applyFont="1" applyFill="1" applyBorder="1" applyAlignment="1">
      <alignment horizontal="left"/>
    </xf>
    <xf numFmtId="0" fontId="103" fillId="0" borderId="0" xfId="0" applyFont="1" applyAlignment="1">
      <alignment horizontal="center"/>
    </xf>
    <xf numFmtId="2" fontId="50" fillId="0" borderId="0" xfId="0" applyNumberFormat="1" applyFont="1" applyAlignment="1">
      <alignment horizontal="center" vertical="center"/>
    </xf>
    <xf numFmtId="39" fontId="50" fillId="0" borderId="0" xfId="0" applyNumberFormat="1" applyFont="1"/>
    <xf numFmtId="0" fontId="47" fillId="0" borderId="4" xfId="0" applyFont="1" applyBorder="1" applyAlignment="1">
      <alignment horizontal="center"/>
    </xf>
    <xf numFmtId="43" fontId="47" fillId="0" borderId="3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horizontal="center"/>
    </xf>
    <xf numFmtId="0" fontId="47" fillId="0" borderId="3" xfId="0" applyFont="1" applyBorder="1"/>
    <xf numFmtId="39" fontId="50" fillId="0" borderId="3" xfId="0" applyNumberFormat="1" applyFont="1" applyBorder="1"/>
    <xf numFmtId="43" fontId="47" fillId="0" borderId="0" xfId="0" applyNumberFormat="1" applyFont="1" applyAlignment="1">
      <alignment vertical="center"/>
    </xf>
    <xf numFmtId="0" fontId="104" fillId="0" borderId="0" xfId="0" applyFont="1" applyAlignment="1">
      <alignment horizontal="left" vertical="center"/>
    </xf>
    <xf numFmtId="0" fontId="109" fillId="0" borderId="0" xfId="0" applyFont="1" applyAlignment="1">
      <alignment horizontal="center" vertical="center"/>
    </xf>
    <xf numFmtId="0" fontId="109" fillId="0" borderId="0" xfId="0" applyFont="1" applyAlignment="1">
      <alignment vertical="center"/>
    </xf>
    <xf numFmtId="0" fontId="107" fillId="0" borderId="2" xfId="6" applyFont="1" applyBorder="1" applyAlignment="1">
      <alignment horizontal="left" vertical="center"/>
    </xf>
    <xf numFmtId="43" fontId="110" fillId="0" borderId="0" xfId="1" applyFont="1" applyAlignment="1">
      <alignment horizontal="center"/>
    </xf>
    <xf numFmtId="43" fontId="110" fillId="0" borderId="0" xfId="1" applyFont="1" applyAlignment="1">
      <alignment horizontal="left"/>
    </xf>
    <xf numFmtId="0" fontId="111" fillId="0" borderId="0" xfId="0" applyFont="1" applyAlignment="1">
      <alignment vertical="center"/>
    </xf>
    <xf numFmtId="0" fontId="110" fillId="0" borderId="0" xfId="6" applyFont="1" applyAlignment="1">
      <alignment horizontal="center"/>
    </xf>
    <xf numFmtId="0" fontId="110" fillId="0" borderId="0" xfId="6" applyFont="1"/>
    <xf numFmtId="9" fontId="110" fillId="0" borderId="0" xfId="6" applyNumberFormat="1" applyFont="1"/>
    <xf numFmtId="43" fontId="110" fillId="0" borderId="0" xfId="6" applyNumberFormat="1" applyFont="1"/>
    <xf numFmtId="172" fontId="110" fillId="0" borderId="0" xfId="6" applyNumberFormat="1" applyFont="1"/>
    <xf numFmtId="43" fontId="110" fillId="0" borderId="0" xfId="1" applyFont="1" applyAlignment="1">
      <alignment wrapText="1"/>
    </xf>
    <xf numFmtId="43" fontId="112" fillId="0" borderId="0" xfId="1" applyFont="1" applyAlignment="1">
      <alignment horizontal="left"/>
    </xf>
    <xf numFmtId="43" fontId="112" fillId="20" borderId="0" xfId="1" applyFont="1" applyFill="1" applyAlignment="1">
      <alignment horizontal="left"/>
    </xf>
    <xf numFmtId="2" fontId="112" fillId="0" borderId="0" xfId="1" applyNumberFormat="1" applyFont="1" applyFill="1" applyAlignment="1">
      <alignment horizontal="center" vertical="center"/>
    </xf>
    <xf numFmtId="43" fontId="112" fillId="20" borderId="0" xfId="1" applyFont="1" applyFill="1" applyAlignment="1">
      <alignment horizontal="left" vertical="center" wrapText="1"/>
    </xf>
    <xf numFmtId="43" fontId="112" fillId="20" borderId="0" xfId="1" applyFont="1" applyFill="1" applyAlignment="1">
      <alignment vertical="center" wrapText="1"/>
    </xf>
    <xf numFmtId="0" fontId="113" fillId="0" borderId="0" xfId="0" applyFont="1" applyAlignment="1">
      <alignment horizontal="left" vertical="center"/>
    </xf>
    <xf numFmtId="43" fontId="112" fillId="0" borderId="0" xfId="1" applyFont="1" applyBorder="1" applyAlignment="1">
      <alignment horizontal="right"/>
    </xf>
    <xf numFmtId="43" fontId="112" fillId="0" borderId="0" xfId="1" applyFont="1" applyAlignment="1">
      <alignment horizontal="center"/>
    </xf>
    <xf numFmtId="43" fontId="112" fillId="0" borderId="0" xfId="1" applyFont="1" applyAlignment="1">
      <alignment horizontal="right"/>
    </xf>
    <xf numFmtId="182" fontId="112" fillId="0" borderId="0" xfId="1" applyNumberFormat="1" applyFont="1" applyFill="1" applyAlignment="1">
      <alignment horizontal="right" vertical="center" wrapText="1"/>
    </xf>
    <xf numFmtId="182" fontId="112" fillId="0" borderId="0" xfId="1" applyNumberFormat="1" applyFont="1" applyAlignment="1">
      <alignment horizontal="right"/>
    </xf>
    <xf numFmtId="10" fontId="110" fillId="0" borderId="0" xfId="2" applyNumberFormat="1" applyFont="1" applyAlignment="1">
      <alignment horizontal="center"/>
    </xf>
    <xf numFmtId="183" fontId="110" fillId="0" borderId="0" xfId="1" applyNumberFormat="1" applyFont="1" applyAlignment="1">
      <alignment horizontal="center"/>
    </xf>
    <xf numFmtId="184" fontId="110" fillId="0" borderId="0" xfId="6" applyNumberFormat="1" applyFont="1"/>
    <xf numFmtId="184" fontId="110" fillId="0" borderId="0" xfId="1" applyNumberFormat="1" applyFont="1" applyAlignment="1">
      <alignment horizontal="center"/>
    </xf>
    <xf numFmtId="43" fontId="112" fillId="0" borderId="0" xfId="1" applyFont="1" applyFill="1" applyAlignment="1">
      <alignment horizontal="center" vertical="center"/>
    </xf>
    <xf numFmtId="43" fontId="112" fillId="0" borderId="0" xfId="1" applyFont="1" applyFill="1" applyAlignment="1">
      <alignment horizontal="center" vertical="center"/>
    </xf>
    <xf numFmtId="0" fontId="19" fillId="0" borderId="0" xfId="1" applyNumberFormat="1" applyFont="1" applyAlignment="1">
      <alignment horizontal="left"/>
    </xf>
    <xf numFmtId="182" fontId="112" fillId="0" borderId="0" xfId="1" applyNumberFormat="1" applyFont="1" applyAlignment="1">
      <alignment horizontal="left" vertical="center"/>
    </xf>
    <xf numFmtId="43" fontId="19" fillId="0" borderId="0" xfId="1" applyFont="1" applyAlignment="1">
      <alignment horizontal="left"/>
    </xf>
    <xf numFmtId="43" fontId="19" fillId="0" borderId="0" xfId="1" applyFont="1" applyAlignment="1">
      <alignment horizontal="center"/>
    </xf>
    <xf numFmtId="43" fontId="19" fillId="0" borderId="0" xfId="1" applyFont="1" applyFill="1" applyAlignment="1">
      <alignment horizontal="left"/>
    </xf>
    <xf numFmtId="43" fontId="19" fillId="0" borderId="0" xfId="1" applyFont="1" applyFill="1" applyAlignment="1">
      <alignment horizontal="center"/>
    </xf>
    <xf numFmtId="43" fontId="19" fillId="0" borderId="0" xfId="1" applyFont="1" applyFill="1" applyAlignment="1">
      <alignment horizontal="center" vertical="center"/>
    </xf>
    <xf numFmtId="43" fontId="19" fillId="0" borderId="0" xfId="1" applyFont="1" applyFill="1" applyAlignment="1">
      <alignment horizontal="center" vertical="center" wrapText="1"/>
    </xf>
    <xf numFmtId="0" fontId="19" fillId="0" borderId="0" xfId="1" applyNumberFormat="1" applyFont="1" applyAlignment="1">
      <alignment horizontal="center"/>
    </xf>
    <xf numFmtId="43" fontId="19" fillId="0" borderId="0" xfId="1" applyFont="1" applyFill="1" applyBorder="1" applyAlignment="1">
      <alignment horizontal="right" wrapText="1"/>
    </xf>
    <xf numFmtId="43" fontId="19" fillId="0" borderId="0" xfId="1" applyFont="1" applyAlignment="1">
      <alignment horizontal="center" vertical="center"/>
    </xf>
    <xf numFmtId="2" fontId="19" fillId="0" borderId="0" xfId="1" applyNumberFormat="1" applyFont="1" applyFill="1" applyAlignment="1">
      <alignment horizontal="center"/>
    </xf>
    <xf numFmtId="2" fontId="19" fillId="0" borderId="0" xfId="1" applyNumberFormat="1" applyFont="1" applyFill="1" applyAlignment="1">
      <alignment horizontal="center" wrapText="1"/>
    </xf>
    <xf numFmtId="43" fontId="19" fillId="6" borderId="0" xfId="1" applyFont="1" applyFill="1" applyAlignment="1">
      <alignment horizontal="center"/>
    </xf>
    <xf numFmtId="43" fontId="19" fillId="0" borderId="9" xfId="1" applyFont="1" applyFill="1" applyBorder="1" applyAlignment="1">
      <alignment horizontal="center" vertical="center" wrapText="1"/>
    </xf>
    <xf numFmtId="43" fontId="19" fillId="0" borderId="0" xfId="1" applyFont="1" applyBorder="1" applyAlignment="1">
      <alignment horizontal="center"/>
    </xf>
    <xf numFmtId="43" fontId="19" fillId="0" borderId="0" xfId="1" applyFont="1" applyFill="1" applyBorder="1" applyAlignment="1">
      <alignment horizontal="left" wrapText="1"/>
    </xf>
    <xf numFmtId="0" fontId="19" fillId="0" borderId="0" xfId="0" applyFont="1" applyAlignment="1">
      <alignment horizontal="left"/>
    </xf>
    <xf numFmtId="2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43" fontId="19" fillId="0" borderId="0" xfId="1" applyFont="1" applyFill="1" applyAlignment="1">
      <alignment horizontal="right"/>
    </xf>
    <xf numFmtId="0" fontId="19" fillId="0" borderId="0" xfId="1" applyNumberFormat="1" applyFont="1" applyAlignment="1">
      <alignment horizontal="center" vertical="center"/>
    </xf>
    <xf numFmtId="43" fontId="19" fillId="0" borderId="0" xfId="1" applyFont="1" applyFill="1" applyBorder="1" applyAlignment="1">
      <alignment horizontal="right" vertical="center" wrapText="1"/>
    </xf>
    <xf numFmtId="43" fontId="19" fillId="0" borderId="0" xfId="1" applyFont="1" applyAlignment="1">
      <alignment horizontal="right"/>
    </xf>
    <xf numFmtId="43" fontId="19" fillId="0" borderId="0" xfId="1" applyFont="1" applyFill="1" applyAlignment="1">
      <alignment vertical="center" wrapText="1"/>
    </xf>
    <xf numFmtId="182" fontId="112" fillId="0" borderId="9" xfId="1" applyNumberFormat="1" applyFont="1" applyFill="1" applyBorder="1" applyAlignment="1">
      <alignment horizontal="right" vertical="center" wrapText="1"/>
    </xf>
    <xf numFmtId="180" fontId="19" fillId="16" borderId="0" xfId="1" applyNumberFormat="1" applyFont="1" applyFill="1" applyAlignment="1">
      <alignment horizontal="center"/>
    </xf>
    <xf numFmtId="0" fontId="19" fillId="0" borderId="0" xfId="0" applyFont="1" applyAlignment="1">
      <alignment vertical="center"/>
    </xf>
    <xf numFmtId="43" fontId="19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7" fillId="0" borderId="1" xfId="6" quotePrefix="1" applyFont="1" applyBorder="1" applyAlignment="1">
      <alignment horizontal="left"/>
    </xf>
    <xf numFmtId="0" fontId="27" fillId="0" borderId="2" xfId="6" applyFont="1" applyBorder="1" applyAlignment="1">
      <alignment horizontal="left"/>
    </xf>
    <xf numFmtId="0" fontId="27" fillId="0" borderId="11" xfId="6" applyFont="1" applyBorder="1" applyAlignment="1">
      <alignment horizontal="left"/>
    </xf>
    <xf numFmtId="0" fontId="0" fillId="16" borderId="0" xfId="0" applyFill="1" applyAlignment="1">
      <alignment horizontal="left"/>
    </xf>
    <xf numFmtId="0" fontId="0" fillId="16" borderId="13" xfId="0" applyFill="1" applyBorder="1" applyAlignment="1">
      <alignment horizontal="left"/>
    </xf>
    <xf numFmtId="0" fontId="0" fillId="16" borderId="0" xfId="0" applyFill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13" xfId="0" applyFill="1" applyBorder="1" applyAlignment="1">
      <alignment horizontal="center"/>
    </xf>
    <xf numFmtId="0" fontId="80" fillId="0" borderId="10" xfId="0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8" fillId="0" borderId="13" xfId="0" applyNumberFormat="1" applyFont="1" applyBorder="1" applyAlignment="1">
      <alignment horizontal="center"/>
    </xf>
    <xf numFmtId="165" fontId="9" fillId="0" borderId="7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5" fontId="9" fillId="0" borderId="13" xfId="0" applyNumberFormat="1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9" fillId="0" borderId="0" xfId="0" applyFont="1"/>
    <xf numFmtId="165" fontId="8" fillId="0" borderId="7" xfId="0" applyNumberFormat="1" applyFont="1" applyBorder="1" applyAlignment="1">
      <alignment horizontal="center" wrapText="1"/>
    </xf>
    <xf numFmtId="165" fontId="8" fillId="0" borderId="0" xfId="0" applyNumberFormat="1" applyFont="1" applyAlignment="1">
      <alignment horizontal="center" wrapText="1"/>
    </xf>
    <xf numFmtId="165" fontId="8" fillId="0" borderId="13" xfId="0" applyNumberFormat="1" applyFont="1" applyBorder="1" applyAlignment="1">
      <alignment horizontal="center" wrapText="1"/>
    </xf>
    <xf numFmtId="43" fontId="9" fillId="0" borderId="7" xfId="3" applyFont="1" applyBorder="1" applyAlignment="1">
      <alignment horizontal="center"/>
    </xf>
    <xf numFmtId="43" fontId="9" fillId="0" borderId="0" xfId="3" applyFont="1" applyBorder="1" applyAlignment="1">
      <alignment horizontal="center"/>
    </xf>
    <xf numFmtId="43" fontId="9" fillId="0" borderId="13" xfId="3" applyFont="1" applyBorder="1" applyAlignment="1">
      <alignment horizontal="center"/>
    </xf>
    <xf numFmtId="0" fontId="81" fillId="0" borderId="5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14" xfId="0" applyFont="1" applyBorder="1" applyAlignment="1">
      <alignment horizontal="center" vertical="center"/>
    </xf>
    <xf numFmtId="0" fontId="81" fillId="0" borderId="1" xfId="0" applyFont="1" applyBorder="1" applyAlignment="1">
      <alignment horizontal="left"/>
    </xf>
    <xf numFmtId="0" fontId="81" fillId="0" borderId="1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8" xfId="0" applyBorder="1" applyAlignment="1">
      <alignment horizontal="center"/>
    </xf>
    <xf numFmtId="0" fontId="80" fillId="0" borderId="1" xfId="0" applyFont="1" applyBorder="1" applyAlignment="1">
      <alignment horizontal="center"/>
    </xf>
    <xf numFmtId="0" fontId="81" fillId="0" borderId="10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88" fillId="0" borderId="10" xfId="0" applyFont="1" applyBorder="1" applyAlignment="1">
      <alignment horizontal="left"/>
    </xf>
    <xf numFmtId="0" fontId="88" fillId="0" borderId="1" xfId="0" applyFont="1" applyBorder="1" applyAlignment="1">
      <alignment horizontal="left"/>
    </xf>
    <xf numFmtId="0" fontId="81" fillId="0" borderId="10" xfId="0" applyFont="1" applyBorder="1" applyAlignment="1">
      <alignment horizontal="left"/>
    </xf>
    <xf numFmtId="0" fontId="82" fillId="0" borderId="1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0" fontId="81" fillId="0" borderId="6" xfId="0" applyFont="1" applyBorder="1" applyAlignment="1">
      <alignment horizontal="left"/>
    </xf>
    <xf numFmtId="0" fontId="81" fillId="0" borderId="12" xfId="0" applyFont="1" applyBorder="1" applyAlignment="1">
      <alignment horizontal="left"/>
    </xf>
    <xf numFmtId="0" fontId="81" fillId="0" borderId="6" xfId="0" applyFont="1" applyBorder="1" applyAlignment="1">
      <alignment horizontal="center"/>
    </xf>
    <xf numFmtId="0" fontId="81" fillId="0" borderId="12" xfId="0" applyFont="1" applyBorder="1" applyAlignment="1">
      <alignment horizontal="center"/>
    </xf>
    <xf numFmtId="0" fontId="81" fillId="0" borderId="0" xfId="0" applyFont="1" applyAlignment="1">
      <alignment horizontal="left"/>
    </xf>
    <xf numFmtId="0" fontId="81" fillId="0" borderId="13" xfId="0" applyFont="1" applyBorder="1" applyAlignment="1">
      <alignment horizontal="left"/>
    </xf>
    <xf numFmtId="0" fontId="81" fillId="0" borderId="0" xfId="0" applyFont="1" applyAlignment="1">
      <alignment horizontal="center"/>
    </xf>
    <xf numFmtId="0" fontId="81" fillId="0" borderId="13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3" xfId="0" applyFont="1" applyBorder="1" applyAlignment="1">
      <alignment horizontal="center" vertical="center"/>
    </xf>
    <xf numFmtId="0" fontId="81" fillId="0" borderId="21" xfId="0" applyFont="1" applyBorder="1" applyAlignment="1">
      <alignment horizontal="center" vertical="center"/>
    </xf>
    <xf numFmtId="0" fontId="84" fillId="0" borderId="0" xfId="0" applyFont="1" applyAlignment="1">
      <alignment horizontal="left"/>
    </xf>
    <xf numFmtId="0" fontId="84" fillId="0" borderId="13" xfId="0" applyFont="1" applyBorder="1" applyAlignment="1">
      <alignment horizontal="left"/>
    </xf>
    <xf numFmtId="0" fontId="84" fillId="0" borderId="0" xfId="0" applyFont="1" applyAlignment="1">
      <alignment horizontal="center"/>
    </xf>
    <xf numFmtId="0" fontId="84" fillId="0" borderId="13" xfId="0" applyFont="1" applyBorder="1" applyAlignment="1">
      <alignment horizontal="center"/>
    </xf>
    <xf numFmtId="0" fontId="81" fillId="0" borderId="9" xfId="0" applyFont="1" applyBorder="1" applyAlignment="1">
      <alignment horizontal="center"/>
    </xf>
    <xf numFmtId="0" fontId="81" fillId="0" borderId="14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11" xfId="0" applyFont="1" applyBorder="1" applyAlignment="1">
      <alignment horizontal="center"/>
    </xf>
    <xf numFmtId="0" fontId="81" fillId="0" borderId="4" xfId="0" applyFont="1" applyBorder="1" applyAlignment="1">
      <alignment horizontal="left" wrapText="1"/>
    </xf>
    <xf numFmtId="0" fontId="81" fillId="0" borderId="4" xfId="0" applyFont="1" applyBorder="1" applyAlignment="1">
      <alignment horizontal="left" vertical="center" wrapText="1"/>
    </xf>
    <xf numFmtId="0" fontId="80" fillId="0" borderId="2" xfId="0" applyFont="1" applyBorder="1" applyAlignment="1">
      <alignment horizontal="center"/>
    </xf>
    <xf numFmtId="0" fontId="80" fillId="0" borderId="11" xfId="0" applyFont="1" applyBorder="1" applyAlignment="1">
      <alignment horizontal="center"/>
    </xf>
    <xf numFmtId="0" fontId="88" fillId="0" borderId="2" xfId="0" applyFont="1" applyBorder="1" applyAlignment="1">
      <alignment horizontal="left"/>
    </xf>
    <xf numFmtId="0" fontId="88" fillId="0" borderId="11" xfId="0" applyFont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2" fillId="0" borderId="11" xfId="0" applyFont="1" applyBorder="1" applyAlignment="1">
      <alignment horizontal="center"/>
    </xf>
    <xf numFmtId="0" fontId="81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82" fillId="0" borderId="13" xfId="0" applyFont="1" applyBorder="1" applyAlignment="1">
      <alignment horizontal="left"/>
    </xf>
    <xf numFmtId="0" fontId="82" fillId="0" borderId="13" xfId="0" applyFont="1" applyBorder="1" applyAlignment="1">
      <alignment horizontal="center"/>
    </xf>
    <xf numFmtId="0" fontId="85" fillId="0" borderId="7" xfId="0" applyFont="1" applyBorder="1" applyAlignment="1">
      <alignment horizontal="left" vertical="center"/>
    </xf>
    <xf numFmtId="0" fontId="85" fillId="0" borderId="13" xfId="0" applyFont="1" applyBorder="1" applyAlignment="1">
      <alignment horizontal="left" vertical="center"/>
    </xf>
    <xf numFmtId="0" fontId="86" fillId="0" borderId="10" xfId="0" applyFont="1" applyBorder="1" applyAlignment="1">
      <alignment horizontal="left"/>
    </xf>
    <xf numFmtId="0" fontId="86" fillId="0" borderId="1" xfId="0" applyFont="1" applyBorder="1" applyAlignment="1">
      <alignment horizontal="left"/>
    </xf>
    <xf numFmtId="0" fontId="81" fillId="0" borderId="4" xfId="0" applyFont="1" applyBorder="1" applyAlignment="1">
      <alignment horizontal="center"/>
    </xf>
    <xf numFmtId="0" fontId="81" fillId="0" borderId="21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2" fillId="0" borderId="10" xfId="0" applyFont="1" applyBorder="1" applyAlignment="1">
      <alignment horizontal="left"/>
    </xf>
    <xf numFmtId="0" fontId="82" fillId="0" borderId="1" xfId="0" applyFont="1" applyBorder="1" applyAlignment="1">
      <alignment horizontal="left"/>
    </xf>
    <xf numFmtId="2" fontId="47" fillId="0" borderId="0" xfId="0" applyNumberFormat="1" applyFont="1" applyAlignment="1">
      <alignment horizontal="center" vertical="center"/>
    </xf>
    <xf numFmtId="4" fontId="47" fillId="0" borderId="0" xfId="0" applyNumberFormat="1" applyFont="1" applyAlignment="1">
      <alignment horizontal="center" vertical="center"/>
    </xf>
    <xf numFmtId="43" fontId="47" fillId="0" borderId="0" xfId="1" applyFont="1" applyFill="1" applyAlignment="1">
      <alignment horizontal="center" vertical="center" wrapText="1"/>
    </xf>
    <xf numFmtId="0" fontId="5" fillId="6" borderId="0" xfId="6" applyFont="1" applyFill="1" applyAlignment="1">
      <alignment horizontal="center" vertical="center"/>
    </xf>
    <xf numFmtId="43" fontId="47" fillId="0" borderId="0" xfId="1" applyFont="1" applyFill="1" applyAlignment="1">
      <alignment horizontal="left" wrapText="1"/>
    </xf>
    <xf numFmtId="0" fontId="47" fillId="0" borderId="0" xfId="0" applyFont="1" applyAlignment="1">
      <alignment horizontal="center" vertical="center"/>
    </xf>
    <xf numFmtId="43" fontId="59" fillId="0" borderId="0" xfId="1" applyFont="1" applyFill="1" applyAlignment="1">
      <alignment horizontal="center" wrapText="1"/>
    </xf>
    <xf numFmtId="0" fontId="47" fillId="0" borderId="0" xfId="0" applyFont="1" applyAlignment="1">
      <alignment horizontal="left" wrapText="1"/>
    </xf>
    <xf numFmtId="0" fontId="5" fillId="0" borderId="0" xfId="6" applyFont="1" applyAlignment="1">
      <alignment horizontal="center"/>
    </xf>
    <xf numFmtId="43" fontId="77" fillId="0" borderId="0" xfId="1" applyFont="1" applyFill="1" applyAlignment="1">
      <alignment horizontal="center"/>
    </xf>
    <xf numFmtId="43" fontId="69" fillId="0" borderId="10" xfId="6" applyNumberFormat="1" applyFont="1" applyBorder="1" applyAlignment="1">
      <alignment horizontal="left" vertical="center"/>
    </xf>
    <xf numFmtId="0" fontId="69" fillId="0" borderId="10" xfId="6" applyFont="1" applyBorder="1" applyAlignment="1">
      <alignment horizontal="left" vertical="center"/>
    </xf>
    <xf numFmtId="0" fontId="64" fillId="0" borderId="10" xfId="6" applyFont="1" applyBorder="1" applyAlignment="1">
      <alignment horizontal="center" vertical="center"/>
    </xf>
    <xf numFmtId="43" fontId="69" fillId="0" borderId="10" xfId="6" applyNumberFormat="1" applyFont="1" applyBorder="1" applyAlignment="1">
      <alignment horizontal="center" vertical="center"/>
    </xf>
    <xf numFmtId="0" fontId="69" fillId="0" borderId="10" xfId="6" applyFont="1" applyBorder="1" applyAlignment="1">
      <alignment horizontal="center" vertical="center"/>
    </xf>
    <xf numFmtId="43" fontId="69" fillId="0" borderId="8" xfId="6" applyNumberFormat="1" applyFont="1" applyBorder="1" applyAlignment="1">
      <alignment horizontal="center" vertical="center"/>
    </xf>
    <xf numFmtId="43" fontId="69" fillId="0" borderId="9" xfId="6" applyNumberFormat="1" applyFont="1" applyBorder="1" applyAlignment="1">
      <alignment horizontal="center" vertical="center"/>
    </xf>
    <xf numFmtId="43" fontId="69" fillId="0" borderId="22" xfId="6" applyNumberFormat="1" applyFont="1" applyBorder="1" applyAlignment="1">
      <alignment horizontal="center" vertical="center"/>
    </xf>
    <xf numFmtId="0" fontId="69" fillId="0" borderId="11" xfId="6" applyFont="1" applyBorder="1" applyAlignment="1">
      <alignment horizontal="center" vertical="center"/>
    </xf>
    <xf numFmtId="43" fontId="69" fillId="0" borderId="1" xfId="6" applyNumberFormat="1" applyFont="1" applyBorder="1" applyAlignment="1">
      <alignment horizontal="left" vertical="center"/>
    </xf>
    <xf numFmtId="0" fontId="69" fillId="0" borderId="2" xfId="6" applyFont="1" applyBorder="1" applyAlignment="1">
      <alignment horizontal="left" vertical="center"/>
    </xf>
    <xf numFmtId="4" fontId="69" fillId="0" borderId="21" xfId="4" applyNumberFormat="1" applyFont="1" applyFill="1" applyBorder="1" applyAlignment="1">
      <alignment horizontal="center" vertical="center"/>
    </xf>
    <xf numFmtId="4" fontId="69" fillId="0" borderId="10" xfId="4" applyNumberFormat="1" applyFont="1" applyFill="1" applyBorder="1" applyAlignment="1">
      <alignment horizontal="center" vertical="center"/>
    </xf>
    <xf numFmtId="43" fontId="71" fillId="0" borderId="1" xfId="0" applyNumberFormat="1" applyFont="1" applyBorder="1" applyAlignment="1">
      <alignment horizontal="center" vertical="center"/>
    </xf>
    <xf numFmtId="0" fontId="71" fillId="0" borderId="11" xfId="0" applyFont="1" applyBorder="1" applyAlignment="1">
      <alignment horizontal="center" vertical="center"/>
    </xf>
    <xf numFmtId="43" fontId="69" fillId="0" borderId="1" xfId="6" applyNumberFormat="1" applyFont="1" applyBorder="1" applyAlignment="1">
      <alignment horizontal="center" vertical="center"/>
    </xf>
    <xf numFmtId="43" fontId="69" fillId="0" borderId="37" xfId="6" applyNumberFormat="1" applyFont="1" applyBorder="1" applyAlignment="1">
      <alignment horizontal="center" vertical="center"/>
    </xf>
    <xf numFmtId="43" fontId="60" fillId="0" borderId="20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73" fillId="0" borderId="0" xfId="6" applyFont="1" applyAlignment="1">
      <alignment horizontal="center" vertical="center"/>
    </xf>
    <xf numFmtId="0" fontId="69" fillId="0" borderId="0" xfId="6" applyFont="1" applyAlignment="1">
      <alignment horizontal="center" vertical="center"/>
    </xf>
    <xf numFmtId="0" fontId="60" fillId="12" borderId="3" xfId="0" applyFont="1" applyFill="1" applyBorder="1" applyAlignment="1">
      <alignment horizontal="center" vertical="center"/>
    </xf>
    <xf numFmtId="0" fontId="60" fillId="12" borderId="21" xfId="0" applyFont="1" applyFill="1" applyBorder="1" applyAlignment="1">
      <alignment horizontal="center" vertical="center"/>
    </xf>
    <xf numFmtId="0" fontId="60" fillId="12" borderId="5" xfId="0" applyFont="1" applyFill="1" applyBorder="1" applyAlignment="1">
      <alignment horizontal="center" vertical="center"/>
    </xf>
    <xf numFmtId="0" fontId="60" fillId="12" borderId="7" xfId="0" applyFont="1" applyFill="1" applyBorder="1" applyAlignment="1">
      <alignment horizontal="center" vertical="center"/>
    </xf>
    <xf numFmtId="2" fontId="65" fillId="9" borderId="6" xfId="6" applyNumberFormat="1" applyFont="1" applyFill="1" applyBorder="1" applyAlignment="1">
      <alignment horizontal="left" vertical="center"/>
    </xf>
    <xf numFmtId="2" fontId="65" fillId="9" borderId="0" xfId="6" applyNumberFormat="1" applyFont="1" applyFill="1" applyAlignment="1">
      <alignment horizontal="left" vertical="center"/>
    </xf>
    <xf numFmtId="0" fontId="65" fillId="0" borderId="0" xfId="6" applyFont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10" borderId="6" xfId="6" applyFont="1" applyFill="1" applyBorder="1" applyAlignment="1">
      <alignment horizontal="center" vertical="center"/>
    </xf>
    <xf numFmtId="0" fontId="65" fillId="10" borderId="12" xfId="6" applyFont="1" applyFill="1" applyBorder="1" applyAlignment="1">
      <alignment horizontal="center" vertical="center"/>
    </xf>
    <xf numFmtId="0" fontId="65" fillId="10" borderId="0" xfId="6" applyFont="1" applyFill="1" applyAlignment="1">
      <alignment horizontal="center" vertical="center"/>
    </xf>
    <xf numFmtId="0" fontId="65" fillId="10" borderId="13" xfId="6" applyFont="1" applyFill="1" applyBorder="1" applyAlignment="1">
      <alignment horizontal="center" vertical="center"/>
    </xf>
    <xf numFmtId="0" fontId="65" fillId="10" borderId="16" xfId="6" applyFont="1" applyFill="1" applyBorder="1" applyAlignment="1">
      <alignment horizontal="center" vertical="center"/>
    </xf>
    <xf numFmtId="0" fontId="65" fillId="10" borderId="23" xfId="6" applyFont="1" applyFill="1" applyBorder="1" applyAlignment="1">
      <alignment horizontal="center" vertical="center"/>
    </xf>
    <xf numFmtId="0" fontId="65" fillId="10" borderId="5" xfId="6" applyFont="1" applyFill="1" applyBorder="1" applyAlignment="1">
      <alignment horizontal="center" vertical="center"/>
    </xf>
    <xf numFmtId="0" fontId="65" fillId="10" borderId="35" xfId="6" applyFont="1" applyFill="1" applyBorder="1" applyAlignment="1">
      <alignment horizontal="center" vertical="center"/>
    </xf>
    <xf numFmtId="0" fontId="65" fillId="10" borderId="8" xfId="6" applyFont="1" applyFill="1" applyBorder="1" applyAlignment="1">
      <alignment horizontal="center" vertical="center"/>
    </xf>
    <xf numFmtId="0" fontId="65" fillId="10" borderId="34" xfId="6" applyFont="1" applyFill="1" applyBorder="1" applyAlignment="1">
      <alignment horizontal="center" vertical="center"/>
    </xf>
    <xf numFmtId="0" fontId="65" fillId="10" borderId="19" xfId="6" applyFont="1" applyFill="1" applyBorder="1" applyAlignment="1">
      <alignment horizontal="center" vertical="center"/>
    </xf>
    <xf numFmtId="0" fontId="65" fillId="10" borderId="20" xfId="6" applyFont="1" applyFill="1" applyBorder="1" applyAlignment="1">
      <alignment horizontal="center" vertical="center"/>
    </xf>
    <xf numFmtId="0" fontId="65" fillId="10" borderId="7" xfId="6" applyFont="1" applyFill="1" applyBorder="1" applyAlignment="1">
      <alignment horizontal="center" vertical="center"/>
    </xf>
    <xf numFmtId="0" fontId="65" fillId="10" borderId="10" xfId="6" applyFont="1" applyFill="1" applyBorder="1" applyAlignment="1">
      <alignment horizontal="center" vertical="center"/>
    </xf>
    <xf numFmtId="0" fontId="65" fillId="9" borderId="6" xfId="6" applyFont="1" applyFill="1" applyBorder="1" applyAlignment="1">
      <alignment horizontal="center" vertical="center"/>
    </xf>
    <xf numFmtId="0" fontId="65" fillId="9" borderId="0" xfId="6" applyFont="1" applyFill="1" applyAlignment="1">
      <alignment horizontal="center" vertical="center"/>
    </xf>
    <xf numFmtId="179" fontId="74" fillId="0" borderId="6" xfId="6" applyNumberFormat="1" applyFont="1" applyBorder="1" applyAlignment="1">
      <alignment horizontal="center" vertical="center"/>
    </xf>
    <xf numFmtId="179" fontId="74" fillId="0" borderId="9" xfId="6" applyNumberFormat="1" applyFont="1" applyBorder="1" applyAlignment="1">
      <alignment horizontal="center" vertical="center"/>
    </xf>
    <xf numFmtId="43" fontId="64" fillId="0" borderId="0" xfId="6" applyNumberFormat="1" applyFont="1" applyAlignment="1">
      <alignment horizontal="center" vertical="center"/>
    </xf>
    <xf numFmtId="0" fontId="65" fillId="0" borderId="0" xfId="6" applyFont="1" applyAlignment="1">
      <alignment horizontal="center" vertical="center"/>
    </xf>
    <xf numFmtId="0" fontId="64" fillId="0" borderId="0" xfId="6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178" fontId="64" fillId="0" borderId="9" xfId="6" applyNumberFormat="1" applyFont="1" applyBorder="1" applyAlignment="1">
      <alignment horizontal="right" vertical="center"/>
    </xf>
    <xf numFmtId="174" fontId="64" fillId="0" borderId="2" xfId="6" applyNumberFormat="1" applyFont="1" applyBorder="1" applyAlignment="1">
      <alignment horizontal="center" vertical="center"/>
    </xf>
    <xf numFmtId="43" fontId="64" fillId="0" borderId="2" xfId="3" applyFont="1" applyBorder="1" applyAlignment="1">
      <alignment horizontal="right" vertical="center"/>
    </xf>
    <xf numFmtId="0" fontId="65" fillId="0" borderId="2" xfId="6" applyFont="1" applyBorder="1" applyAlignment="1">
      <alignment horizontal="center" vertical="center"/>
    </xf>
    <xf numFmtId="43" fontId="60" fillId="0" borderId="0" xfId="0" applyNumberFormat="1" applyFont="1" applyAlignment="1">
      <alignment horizontal="center" vertical="center"/>
    </xf>
    <xf numFmtId="174" fontId="64" fillId="0" borderId="2" xfId="6" applyNumberFormat="1" applyFont="1" applyBorder="1" applyAlignment="1">
      <alignment horizontal="right" vertical="center"/>
    </xf>
    <xf numFmtId="43" fontId="64" fillId="0" borderId="6" xfId="6" applyNumberFormat="1" applyFont="1" applyBorder="1" applyAlignment="1">
      <alignment horizontal="center" vertical="center"/>
    </xf>
    <xf numFmtId="0" fontId="65" fillId="0" borderId="10" xfId="6" applyFont="1" applyBorder="1" applyAlignment="1">
      <alignment horizontal="center" vertical="center"/>
    </xf>
    <xf numFmtId="43" fontId="64" fillId="0" borderId="22" xfId="6" applyNumberFormat="1" applyFont="1" applyBorder="1" applyAlignment="1">
      <alignment horizontal="right" vertical="center"/>
    </xf>
    <xf numFmtId="43" fontId="64" fillId="0" borderId="2" xfId="6" applyNumberFormat="1" applyFont="1" applyBorder="1" applyAlignment="1">
      <alignment horizontal="right" vertical="center"/>
    </xf>
    <xf numFmtId="43" fontId="64" fillId="0" borderId="11" xfId="6" applyNumberFormat="1" applyFont="1" applyBorder="1" applyAlignment="1">
      <alignment horizontal="right" vertical="center"/>
    </xf>
    <xf numFmtId="43" fontId="64" fillId="0" borderId="1" xfId="6" applyNumberFormat="1" applyFont="1" applyBorder="1" applyAlignment="1">
      <alignment horizontal="center" vertical="center"/>
    </xf>
    <xf numFmtId="43" fontId="64" fillId="0" borderId="37" xfId="6" applyNumberFormat="1" applyFont="1" applyBorder="1" applyAlignment="1">
      <alignment horizontal="center" vertical="center"/>
    </xf>
    <xf numFmtId="43" fontId="69" fillId="6" borderId="22" xfId="6" applyNumberFormat="1" applyFont="1" applyFill="1" applyBorder="1" applyAlignment="1">
      <alignment horizontal="left" vertical="center"/>
    </xf>
    <xf numFmtId="43" fontId="69" fillId="6" borderId="2" xfId="6" applyNumberFormat="1" applyFont="1" applyFill="1" applyBorder="1" applyAlignment="1">
      <alignment horizontal="left" vertical="center"/>
    </xf>
    <xf numFmtId="43" fontId="69" fillId="6" borderId="37" xfId="6" applyNumberFormat="1" applyFont="1" applyFill="1" applyBorder="1" applyAlignment="1">
      <alignment horizontal="left" vertical="center"/>
    </xf>
    <xf numFmtId="0" fontId="64" fillId="0" borderId="1" xfId="6" applyFont="1" applyBorder="1" applyAlignment="1">
      <alignment horizontal="right" vertical="center"/>
    </xf>
    <xf numFmtId="0" fontId="64" fillId="0" borderId="2" xfId="6" applyFont="1" applyBorder="1" applyAlignment="1">
      <alignment horizontal="right" vertical="center"/>
    </xf>
    <xf numFmtId="0" fontId="64" fillId="0" borderId="11" xfId="6" applyFont="1" applyBorder="1" applyAlignment="1">
      <alignment horizontal="right" vertical="center"/>
    </xf>
    <xf numFmtId="0" fontId="65" fillId="9" borderId="10" xfId="6" applyFont="1" applyFill="1" applyBorder="1" applyAlignment="1">
      <alignment horizontal="center" vertical="center"/>
    </xf>
    <xf numFmtId="0" fontId="65" fillId="10" borderId="10" xfId="6" applyFont="1" applyFill="1" applyBorder="1" applyAlignment="1">
      <alignment horizontal="center" vertical="center" wrapText="1"/>
    </xf>
    <xf numFmtId="43" fontId="64" fillId="0" borderId="10" xfId="6" applyNumberFormat="1" applyFont="1" applyBorder="1" applyAlignment="1">
      <alignment horizontal="right" vertical="center"/>
    </xf>
    <xf numFmtId="43" fontId="64" fillId="0" borderId="8" xfId="6" applyNumberFormat="1" applyFont="1" applyBorder="1" applyAlignment="1">
      <alignment horizontal="right" vertical="center"/>
    </xf>
    <xf numFmtId="43" fontId="64" fillId="0" borderId="9" xfId="6" applyNumberFormat="1" applyFont="1" applyBorder="1" applyAlignment="1">
      <alignment horizontal="right" vertical="center"/>
    </xf>
    <xf numFmtId="175" fontId="64" fillId="0" borderId="9" xfId="6" applyNumberFormat="1" applyFont="1" applyBorder="1" applyAlignment="1">
      <alignment horizontal="left" vertical="center" wrapText="1"/>
    </xf>
    <xf numFmtId="43" fontId="64" fillId="0" borderId="2" xfId="6" applyNumberFormat="1" applyFont="1" applyBorder="1" applyAlignment="1">
      <alignment horizontal="left" vertical="center"/>
    </xf>
    <xf numFmtId="43" fontId="64" fillId="0" borderId="2" xfId="6" applyNumberFormat="1" applyFont="1" applyBorder="1" applyAlignment="1">
      <alignment horizontal="center" vertical="center"/>
    </xf>
    <xf numFmtId="1" fontId="64" fillId="0" borderId="2" xfId="6" applyNumberFormat="1" applyFont="1" applyBorder="1" applyAlignment="1">
      <alignment horizontal="center" vertical="center"/>
    </xf>
    <xf numFmtId="0" fontId="68" fillId="0" borderId="15" xfId="6" applyFont="1" applyBorder="1" applyAlignment="1">
      <alignment horizontal="center" vertical="center"/>
    </xf>
    <xf numFmtId="43" fontId="65" fillId="10" borderId="25" xfId="6" applyNumberFormat="1" applyFont="1" applyFill="1" applyBorder="1" applyAlignment="1">
      <alignment horizontal="center" vertical="center"/>
    </xf>
    <xf numFmtId="43" fontId="65" fillId="10" borderId="26" xfId="6" applyNumberFormat="1" applyFont="1" applyFill="1" applyBorder="1" applyAlignment="1">
      <alignment horizontal="center" vertical="center"/>
    </xf>
    <xf numFmtId="43" fontId="65" fillId="10" borderId="30" xfId="6" applyNumberFormat="1" applyFont="1" applyFill="1" applyBorder="1" applyAlignment="1">
      <alignment horizontal="center" vertical="center"/>
    </xf>
    <xf numFmtId="43" fontId="65" fillId="10" borderId="10" xfId="6" applyNumberFormat="1" applyFont="1" applyFill="1" applyBorder="1" applyAlignment="1">
      <alignment horizontal="center" vertical="center"/>
    </xf>
    <xf numFmtId="0" fontId="61" fillId="0" borderId="0" xfId="6" applyFont="1" applyAlignment="1">
      <alignment horizontal="center" vertical="center"/>
    </xf>
    <xf numFmtId="15" fontId="64" fillId="0" borderId="9" xfId="6" applyNumberFormat="1" applyFont="1" applyBorder="1" applyAlignment="1">
      <alignment horizontal="center" vertical="center"/>
    </xf>
    <xf numFmtId="43" fontId="64" fillId="0" borderId="2" xfId="1" applyFont="1" applyBorder="1" applyAlignment="1">
      <alignment horizontal="center" vertical="center"/>
    </xf>
    <xf numFmtId="43" fontId="105" fillId="0" borderId="2" xfId="6" applyNumberFormat="1" applyFont="1" applyBorder="1" applyAlignment="1">
      <alignment horizontal="left" vertical="center" wrapText="1"/>
    </xf>
    <xf numFmtId="176" fontId="105" fillId="0" borderId="2" xfId="1" applyNumberFormat="1" applyFont="1" applyBorder="1" applyAlignment="1">
      <alignment horizontal="center" vertical="center"/>
    </xf>
    <xf numFmtId="176" fontId="64" fillId="0" borderId="2" xfId="1" applyNumberFormat="1" applyFont="1" applyBorder="1" applyAlignment="1">
      <alignment horizontal="center" vertical="center"/>
    </xf>
    <xf numFmtId="0" fontId="63" fillId="0" borderId="0" xfId="6" applyFont="1" applyAlignment="1">
      <alignment horizontal="center" vertical="center"/>
    </xf>
    <xf numFmtId="43" fontId="64" fillId="0" borderId="6" xfId="6" applyNumberFormat="1" applyFont="1" applyBorder="1" applyAlignment="1">
      <alignment horizontal="left" vertical="center"/>
    </xf>
    <xf numFmtId="43" fontId="64" fillId="0" borderId="9" xfId="6" applyNumberFormat="1" applyFont="1" applyBorder="1" applyAlignment="1">
      <alignment horizontal="left" vertical="center"/>
    </xf>
    <xf numFmtId="0" fontId="62" fillId="9" borderId="0" xfId="6" applyFont="1" applyFill="1" applyAlignment="1">
      <alignment horizontal="center" vertical="center"/>
    </xf>
    <xf numFmtId="0" fontId="64" fillId="0" borderId="9" xfId="6" applyFont="1" applyBorder="1" applyAlignment="1">
      <alignment horizontal="left" vertical="center"/>
    </xf>
    <xf numFmtId="0" fontId="27" fillId="0" borderId="10" xfId="0" applyFont="1" applyBorder="1" applyAlignment="1">
      <alignment horizontal="right"/>
    </xf>
    <xf numFmtId="0" fontId="27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104" fillId="0" borderId="7" xfId="0" applyFont="1" applyBorder="1" applyAlignment="1">
      <alignment horizontal="center" vertical="center"/>
    </xf>
    <xf numFmtId="0" fontId="104" fillId="0" borderId="13" xfId="0" applyFont="1" applyBorder="1" applyAlignment="1">
      <alignment horizontal="center" vertical="center"/>
    </xf>
    <xf numFmtId="43" fontId="47" fillId="0" borderId="0" xfId="0" applyNumberFormat="1" applyFont="1" applyAlignment="1">
      <alignment horizontal="left" vertical="top" wrapText="1"/>
    </xf>
    <xf numFmtId="43" fontId="47" fillId="0" borderId="0" xfId="0" applyNumberFormat="1" applyFont="1" applyAlignment="1">
      <alignment horizontal="left" vertical="center" wrapText="1"/>
    </xf>
    <xf numFmtId="43" fontId="50" fillId="0" borderId="4" xfId="0" applyNumberFormat="1" applyFont="1" applyBorder="1" applyAlignment="1">
      <alignment horizontal="center" vertical="center"/>
    </xf>
    <xf numFmtId="39" fontId="50" fillId="0" borderId="4" xfId="0" applyNumberFormat="1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51" fillId="0" borderId="5" xfId="0" applyFont="1" applyBorder="1" applyAlignment="1">
      <alignment horizontal="left" vertical="center"/>
    </xf>
    <xf numFmtId="0" fontId="51" fillId="0" borderId="12" xfId="0" applyFont="1" applyBorder="1" applyAlignment="1">
      <alignment horizontal="left" vertical="center"/>
    </xf>
    <xf numFmtId="0" fontId="51" fillId="0" borderId="8" xfId="0" applyFont="1" applyBorder="1" applyAlignment="1">
      <alignment horizontal="left" vertical="center"/>
    </xf>
    <xf numFmtId="0" fontId="51" fillId="0" borderId="14" xfId="0" applyFont="1" applyBorder="1" applyAlignment="1">
      <alignment horizontal="left" vertical="center"/>
    </xf>
    <xf numFmtId="0" fontId="106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center" wrapText="1"/>
    </xf>
    <xf numFmtId="0" fontId="33" fillId="0" borderId="14" xfId="0" applyFont="1" applyBorder="1" applyAlignment="1">
      <alignment horizontal="left" vertical="center" wrapText="1"/>
    </xf>
    <xf numFmtId="0" fontId="52" fillId="0" borderId="5" xfId="0" applyFont="1" applyBorder="1" applyAlignment="1">
      <alignment horizontal="left" vertical="top" wrapText="1"/>
    </xf>
    <xf numFmtId="0" fontId="53" fillId="0" borderId="12" xfId="0" applyFont="1" applyBorder="1" applyAlignment="1">
      <alignment horizontal="left" vertical="top" wrapText="1"/>
    </xf>
    <xf numFmtId="0" fontId="53" fillId="0" borderId="7" xfId="0" applyFont="1" applyBorder="1" applyAlignment="1">
      <alignment horizontal="left" vertical="top" wrapText="1"/>
    </xf>
    <xf numFmtId="0" fontId="53" fillId="0" borderId="13" xfId="0" applyFont="1" applyBorder="1" applyAlignment="1">
      <alignment horizontal="left" vertical="top" wrapText="1"/>
    </xf>
    <xf numFmtId="0" fontId="54" fillId="0" borderId="0" xfId="0" applyFont="1" applyAlignment="1">
      <alignment horizontal="center"/>
    </xf>
    <xf numFmtId="0" fontId="55" fillId="0" borderId="13" xfId="0" applyFont="1" applyBorder="1" applyAlignment="1">
      <alignment horizontal="center"/>
    </xf>
    <xf numFmtId="0" fontId="56" fillId="0" borderId="0" xfId="0" applyFont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43" fontId="47" fillId="0" borderId="4" xfId="0" applyNumberFormat="1" applyFont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0" fillId="0" borderId="7" xfId="0" applyFont="1" applyBorder="1" applyAlignment="1">
      <alignment horizontal="left" vertical="center" wrapText="1"/>
    </xf>
    <xf numFmtId="0" fontId="50" fillId="0" borderId="13" xfId="0" applyFont="1" applyBorder="1" applyAlignment="1">
      <alignment horizontal="left" vertical="center" wrapText="1"/>
    </xf>
    <xf numFmtId="0" fontId="50" fillId="0" borderId="7" xfId="0" applyFont="1" applyBorder="1" applyAlignment="1">
      <alignment horizontal="left" vertical="center"/>
    </xf>
    <xf numFmtId="0" fontId="50" fillId="0" borderId="13" xfId="0" applyFont="1" applyBorder="1" applyAlignment="1">
      <alignment horizontal="left" vertical="center"/>
    </xf>
    <xf numFmtId="2" fontId="50" fillId="0" borderId="4" xfId="0" applyNumberFormat="1" applyFont="1" applyBorder="1" applyAlignment="1">
      <alignment horizontal="center" vertical="center"/>
    </xf>
    <xf numFmtId="0" fontId="104" fillId="0" borderId="10" xfId="0" applyFont="1" applyBorder="1" applyAlignment="1">
      <alignment horizontal="right"/>
    </xf>
    <xf numFmtId="0" fontId="32" fillId="0" borderId="3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43" fontId="47" fillId="0" borderId="0" xfId="0" applyNumberFormat="1" applyFont="1" applyAlignment="1">
      <alignment horizontal="left" wrapText="1"/>
    </xf>
    <xf numFmtId="0" fontId="47" fillId="0" borderId="0" xfId="0" applyFont="1" applyAlignment="1">
      <alignment horizontal="left" vertical="top" wrapText="1"/>
    </xf>
    <xf numFmtId="0" fontId="50" fillId="0" borderId="0" xfId="0" applyFont="1" applyAlignment="1">
      <alignment horizontal="left" vertical="center"/>
    </xf>
    <xf numFmtId="43" fontId="47" fillId="20" borderId="5" xfId="0" applyNumberFormat="1" applyFont="1" applyFill="1" applyBorder="1" applyAlignment="1">
      <alignment horizontal="left"/>
    </xf>
    <xf numFmtId="0" fontId="47" fillId="20" borderId="6" xfId="0" applyFont="1" applyFill="1" applyBorder="1" applyAlignment="1">
      <alignment horizontal="left"/>
    </xf>
    <xf numFmtId="0" fontId="47" fillId="20" borderId="12" xfId="0" applyFont="1" applyFill="1" applyBorder="1" applyAlignment="1">
      <alignment horizontal="left"/>
    </xf>
    <xf numFmtId="43" fontId="50" fillId="0" borderId="0" xfId="0" applyNumberFormat="1" applyFont="1" applyAlignment="1">
      <alignment horizontal="center" vertical="center"/>
    </xf>
    <xf numFmtId="39" fontId="50" fillId="0" borderId="4" xfId="0" applyNumberFormat="1" applyFont="1" applyBorder="1" applyAlignment="1">
      <alignment horizontal="center" vertical="center"/>
    </xf>
    <xf numFmtId="0" fontId="50" fillId="0" borderId="0" xfId="0" applyFont="1" applyAlignment="1">
      <alignment horizontal="left" vertical="center" wrapText="1"/>
    </xf>
    <xf numFmtId="43" fontId="47" fillId="0" borderId="3" xfId="0" applyNumberFormat="1" applyFont="1" applyBorder="1" applyAlignment="1">
      <alignment horizontal="center" vertical="center"/>
    </xf>
    <xf numFmtId="0" fontId="50" fillId="0" borderId="6" xfId="0" applyFont="1" applyBorder="1" applyAlignment="1">
      <alignment horizontal="left" vertical="center" wrapText="1"/>
    </xf>
    <xf numFmtId="2" fontId="50" fillId="0" borderId="3" xfId="0" applyNumberFormat="1" applyFont="1" applyBorder="1" applyAlignment="1">
      <alignment horizontal="center" vertical="center"/>
    </xf>
    <xf numFmtId="43" fontId="50" fillId="0" borderId="6" xfId="0" applyNumberFormat="1" applyFont="1" applyBorder="1" applyAlignment="1">
      <alignment horizontal="center" vertical="center"/>
    </xf>
    <xf numFmtId="39" fontId="50" fillId="0" borderId="3" xfId="0" applyNumberFormat="1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43" fontId="47" fillId="0" borderId="21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left" vertical="center" wrapText="1"/>
    </xf>
    <xf numFmtId="0" fontId="50" fillId="0" borderId="14" xfId="0" applyFont="1" applyBorder="1" applyAlignment="1">
      <alignment horizontal="left" vertical="center" wrapText="1"/>
    </xf>
    <xf numFmtId="2" fontId="50" fillId="0" borderId="21" xfId="0" applyNumberFormat="1" applyFont="1" applyBorder="1" applyAlignment="1">
      <alignment horizontal="center" vertical="center"/>
    </xf>
    <xf numFmtId="43" fontId="50" fillId="0" borderId="21" xfId="0" applyNumberFormat="1" applyFont="1" applyBorder="1" applyAlignment="1">
      <alignment horizontal="center" vertical="center"/>
    </xf>
    <xf numFmtId="39" fontId="50" fillId="0" borderId="4" xfId="0" applyNumberFormat="1" applyFont="1" applyBorder="1" applyAlignment="1">
      <alignment horizontal="center"/>
    </xf>
    <xf numFmtId="39" fontId="50" fillId="0" borderId="21" xfId="0" applyNumberFormat="1" applyFont="1" applyBorder="1" applyAlignment="1">
      <alignment horizontal="center"/>
    </xf>
    <xf numFmtId="0" fontId="33" fillId="0" borderId="5" xfId="0" applyFont="1" applyBorder="1" applyAlignment="1">
      <alignment horizontal="left" vertical="center" wrapText="1"/>
    </xf>
    <xf numFmtId="43" fontId="47" fillId="20" borderId="5" xfId="0" applyNumberFormat="1" applyFont="1" applyFill="1" applyBorder="1" applyAlignment="1">
      <alignment horizontal="center"/>
    </xf>
    <xf numFmtId="0" fontId="47" fillId="20" borderId="6" xfId="0" applyFont="1" applyFill="1" applyBorder="1" applyAlignment="1">
      <alignment horizontal="center"/>
    </xf>
    <xf numFmtId="0" fontId="47" fillId="20" borderId="12" xfId="0" applyFont="1" applyFill="1" applyBorder="1" applyAlignment="1">
      <alignment horizontal="center"/>
    </xf>
    <xf numFmtId="2" fontId="50" fillId="0" borderId="0" xfId="0" applyNumberFormat="1" applyFont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103" fillId="0" borderId="0" xfId="0" applyFont="1" applyAlignment="1">
      <alignment horizontal="right"/>
    </xf>
    <xf numFmtId="0" fontId="27" fillId="0" borderId="0" xfId="0" applyFont="1" applyAlignment="1">
      <alignment horizontal="center" vertical="center"/>
    </xf>
    <xf numFmtId="4" fontId="38" fillId="0" borderId="0" xfId="0" applyNumberFormat="1" applyFont="1" applyAlignment="1">
      <alignment horizontal="center" vertical="center"/>
    </xf>
    <xf numFmtId="43" fontId="43" fillId="0" borderId="0" xfId="1" applyFont="1" applyFill="1" applyBorder="1" applyAlignment="1">
      <alignment horizontal="center" vertical="center"/>
    </xf>
    <xf numFmtId="43" fontId="43" fillId="0" borderId="9" xfId="1" applyFont="1" applyFill="1" applyBorder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43" fontId="40" fillId="0" borderId="0" xfId="1" applyFont="1" applyFill="1" applyAlignment="1">
      <alignment horizontal="left" wrapText="1"/>
    </xf>
    <xf numFmtId="0" fontId="38" fillId="0" borderId="0" xfId="0" applyFont="1" applyAlignment="1">
      <alignment horizontal="left" wrapText="1"/>
    </xf>
    <xf numFmtId="0" fontId="39" fillId="0" borderId="0" xfId="6" applyFont="1" applyAlignment="1">
      <alignment horizontal="center"/>
    </xf>
    <xf numFmtId="43" fontId="41" fillId="0" borderId="0" xfId="1" applyFont="1" applyFill="1" applyAlignment="1">
      <alignment horizontal="center"/>
    </xf>
    <xf numFmtId="43" fontId="40" fillId="0" borderId="0" xfId="1" applyFont="1" applyAlignment="1">
      <alignment horizontal="left" wrapText="1"/>
    </xf>
    <xf numFmtId="0" fontId="110" fillId="0" borderId="0" xfId="6" applyFont="1" applyAlignment="1">
      <alignment horizontal="center"/>
    </xf>
    <xf numFmtId="43" fontId="112" fillId="0" borderId="0" xfId="1" applyFont="1" applyFill="1" applyAlignment="1">
      <alignment horizontal="center" vertical="center"/>
    </xf>
    <xf numFmtId="0" fontId="16" fillId="0" borderId="9" xfId="6" applyFont="1" applyBorder="1" applyAlignment="1">
      <alignment horizontal="center"/>
    </xf>
    <xf numFmtId="0" fontId="35" fillId="0" borderId="9" xfId="0" applyFont="1" applyBorder="1" applyAlignment="1">
      <alignment horizontal="center" vertical="center"/>
    </xf>
    <xf numFmtId="0" fontId="29" fillId="0" borderId="6" xfId="6" applyFont="1" applyBorder="1" applyAlignment="1">
      <alignment horizontal="center"/>
    </xf>
    <xf numFmtId="43" fontId="37" fillId="0" borderId="0" xfId="6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0" fontId="32" fillId="0" borderId="0" xfId="6" applyFont="1" applyAlignment="1">
      <alignment horizontal="center"/>
    </xf>
    <xf numFmtId="0" fontId="0" fillId="2" borderId="10" xfId="0" applyFill="1" applyBorder="1" applyAlignment="1">
      <alignment horizontal="center"/>
    </xf>
    <xf numFmtId="0" fontId="17" fillId="2" borderId="3" xfId="6" applyFont="1" applyFill="1" applyBorder="1" applyAlignment="1">
      <alignment horizontal="center" vertical="center"/>
    </xf>
    <xf numFmtId="0" fontId="17" fillId="2" borderId="21" xfId="6" applyFont="1" applyFill="1" applyBorder="1" applyAlignment="1">
      <alignment horizontal="center" vertical="center"/>
    </xf>
    <xf numFmtId="0" fontId="17" fillId="4" borderId="3" xfId="6" applyFont="1" applyFill="1" applyBorder="1" applyAlignment="1">
      <alignment horizontal="center" vertical="center"/>
    </xf>
    <xf numFmtId="0" fontId="17" fillId="4" borderId="21" xfId="6" applyFont="1" applyFill="1" applyBorder="1" applyAlignment="1">
      <alignment horizontal="center" vertical="center"/>
    </xf>
    <xf numFmtId="0" fontId="17" fillId="5" borderId="3" xfId="6" applyFont="1" applyFill="1" applyBorder="1" applyAlignment="1">
      <alignment horizontal="center" vertical="center"/>
    </xf>
    <xf numFmtId="0" fontId="17" fillId="5" borderId="21" xfId="6" applyFont="1" applyFill="1" applyBorder="1" applyAlignment="1">
      <alignment horizontal="center" vertical="center"/>
    </xf>
    <xf numFmtId="0" fontId="17" fillId="6" borderId="3" xfId="6" applyFont="1" applyFill="1" applyBorder="1" applyAlignment="1">
      <alignment horizontal="center" vertical="center"/>
    </xf>
    <xf numFmtId="0" fontId="17" fillId="6" borderId="21" xfId="6" applyFont="1" applyFill="1" applyBorder="1" applyAlignment="1">
      <alignment horizontal="center" vertical="center"/>
    </xf>
    <xf numFmtId="0" fontId="17" fillId="7" borderId="3" xfId="6" applyFont="1" applyFill="1" applyBorder="1" applyAlignment="1">
      <alignment horizontal="center" vertical="center"/>
    </xf>
    <xf numFmtId="0" fontId="17" fillId="7" borderId="21" xfId="6" applyFont="1" applyFill="1" applyBorder="1" applyAlignment="1">
      <alignment horizontal="center" vertical="center"/>
    </xf>
    <xf numFmtId="0" fontId="17" fillId="10" borderId="3" xfId="6" applyFont="1" applyFill="1" applyBorder="1" applyAlignment="1">
      <alignment horizontal="center" vertical="center" wrapText="1"/>
    </xf>
    <xf numFmtId="0" fontId="17" fillId="10" borderId="21" xfId="6" applyFont="1" applyFill="1" applyBorder="1" applyAlignment="1">
      <alignment horizontal="center" vertical="center" wrapText="1"/>
    </xf>
    <xf numFmtId="0" fontId="17" fillId="10" borderId="19" xfId="6" applyFont="1" applyFill="1" applyBorder="1" applyAlignment="1">
      <alignment horizontal="center" vertical="center"/>
    </xf>
    <xf numFmtId="0" fontId="17" fillId="10" borderId="12" xfId="6" applyFont="1" applyFill="1" applyBorder="1" applyAlignment="1">
      <alignment horizontal="center" vertical="center"/>
    </xf>
    <xf numFmtId="0" fontId="17" fillId="10" borderId="20" xfId="6" applyFont="1" applyFill="1" applyBorder="1" applyAlignment="1">
      <alignment horizontal="center" vertical="center"/>
    </xf>
    <xf numFmtId="0" fontId="17" fillId="10" borderId="13" xfId="6" applyFont="1" applyFill="1" applyBorder="1" applyAlignment="1">
      <alignment horizontal="center" vertical="center"/>
    </xf>
    <xf numFmtId="0" fontId="17" fillId="10" borderId="5" xfId="6" applyFont="1" applyFill="1" applyBorder="1" applyAlignment="1">
      <alignment horizontal="center" vertical="center"/>
    </xf>
    <xf numFmtId="0" fontId="17" fillId="10" borderId="8" xfId="6" applyFont="1" applyFill="1" applyBorder="1" applyAlignment="1">
      <alignment horizontal="center" vertical="center"/>
    </xf>
    <xf numFmtId="0" fontId="17" fillId="10" borderId="14" xfId="6" applyFont="1" applyFill="1" applyBorder="1" applyAlignment="1">
      <alignment horizontal="center" vertical="center"/>
    </xf>
    <xf numFmtId="0" fontId="17" fillId="10" borderId="6" xfId="6" applyFont="1" applyFill="1" applyBorder="1" applyAlignment="1">
      <alignment horizontal="center" vertical="center"/>
    </xf>
    <xf numFmtId="0" fontId="17" fillId="10" borderId="7" xfId="6" applyFont="1" applyFill="1" applyBorder="1" applyAlignment="1">
      <alignment horizontal="center" vertical="center"/>
    </xf>
    <xf numFmtId="0" fontId="17" fillId="10" borderId="0" xfId="6" applyFont="1" applyFill="1" applyAlignment="1">
      <alignment horizontal="center" vertical="center"/>
    </xf>
    <xf numFmtId="0" fontId="17" fillId="10" borderId="16" xfId="6" applyFont="1" applyFill="1" applyBorder="1" applyAlignment="1">
      <alignment horizontal="center" vertical="center"/>
    </xf>
    <xf numFmtId="0" fontId="17" fillId="10" borderId="23" xfId="6" applyFont="1" applyFill="1" applyBorder="1" applyAlignment="1">
      <alignment horizontal="center" vertical="center"/>
    </xf>
    <xf numFmtId="0" fontId="17" fillId="10" borderId="17" xfId="6" applyFont="1" applyFill="1" applyBorder="1" applyAlignment="1">
      <alignment horizontal="center" vertical="center"/>
    </xf>
    <xf numFmtId="0" fontId="17" fillId="10" borderId="27" xfId="6" applyFont="1" applyFill="1" applyBorder="1" applyAlignment="1">
      <alignment horizontal="center" vertical="center"/>
    </xf>
    <xf numFmtId="0" fontId="21" fillId="0" borderId="2" xfId="6" applyFont="1" applyBorder="1" applyAlignment="1">
      <alignment horizontal="center"/>
    </xf>
    <xf numFmtId="167" fontId="16" fillId="0" borderId="2" xfId="6" applyNumberFormat="1" applyFont="1" applyBorder="1" applyAlignment="1">
      <alignment horizontal="right" vertical="center"/>
    </xf>
    <xf numFmtId="43" fontId="17" fillId="0" borderId="0" xfId="6" applyNumberFormat="1" applyFont="1" applyAlignment="1">
      <alignment horizontal="center"/>
    </xf>
    <xf numFmtId="0" fontId="16" fillId="0" borderId="0" xfId="6" applyFont="1" applyAlignment="1">
      <alignment horizontal="center"/>
    </xf>
    <xf numFmtId="43" fontId="30" fillId="0" borderId="0" xfId="6" applyNumberFormat="1" applyFont="1" applyAlignment="1">
      <alignment horizontal="center"/>
    </xf>
    <xf numFmtId="43" fontId="16" fillId="0" borderId="2" xfId="6" applyNumberFormat="1" applyFont="1" applyBorder="1" applyAlignment="1">
      <alignment horizontal="center" vertical="center"/>
    </xf>
    <xf numFmtId="169" fontId="16" fillId="0" borderId="2" xfId="6" applyNumberFormat="1" applyFont="1" applyBorder="1" applyAlignment="1">
      <alignment horizontal="right"/>
    </xf>
    <xf numFmtId="43" fontId="16" fillId="0" borderId="2" xfId="6" applyNumberFormat="1" applyFont="1" applyBorder="1" applyAlignment="1">
      <alignment horizontal="center"/>
    </xf>
    <xf numFmtId="43" fontId="16" fillId="0" borderId="9" xfId="6" applyNumberFormat="1" applyFont="1" applyBorder="1" applyAlignment="1">
      <alignment horizontal="right"/>
    </xf>
    <xf numFmtId="43" fontId="16" fillId="0" borderId="9" xfId="6" applyNumberFormat="1" applyFont="1" applyBorder="1" applyAlignment="1">
      <alignment horizontal="center"/>
    </xf>
    <xf numFmtId="43" fontId="16" fillId="0" borderId="2" xfId="3" applyFont="1" applyBorder="1" applyAlignment="1">
      <alignment horizontal="center"/>
    </xf>
    <xf numFmtId="43" fontId="23" fillId="0" borderId="2" xfId="6" applyNumberFormat="1" applyFont="1" applyBorder="1" applyAlignment="1">
      <alignment horizontal="center"/>
    </xf>
    <xf numFmtId="0" fontId="23" fillId="0" borderId="22" xfId="6" applyFont="1" applyBorder="1" applyAlignment="1">
      <alignment horizontal="center"/>
    </xf>
    <xf numFmtId="0" fontId="23" fillId="0" borderId="11" xfId="6" applyFont="1" applyBorder="1" applyAlignment="1">
      <alignment horizontal="center"/>
    </xf>
    <xf numFmtId="0" fontId="23" fillId="0" borderId="1" xfId="6" applyFont="1" applyBorder="1" applyAlignment="1">
      <alignment horizontal="left" vertical="center"/>
    </xf>
    <xf numFmtId="0" fontId="23" fillId="0" borderId="2" xfId="6" applyFont="1" applyBorder="1" applyAlignment="1">
      <alignment horizontal="left" vertical="center"/>
    </xf>
    <xf numFmtId="4" fontId="23" fillId="9" borderId="1" xfId="4" applyNumberFormat="1" applyFont="1" applyFill="1" applyBorder="1" applyAlignment="1">
      <alignment horizontal="center"/>
    </xf>
    <xf numFmtId="4" fontId="23" fillId="9" borderId="11" xfId="4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68" fontId="23" fillId="9" borderId="1" xfId="6" applyNumberFormat="1" applyFont="1" applyFill="1" applyBorder="1" applyAlignment="1">
      <alignment horizontal="center"/>
    </xf>
    <xf numFmtId="168" fontId="23" fillId="9" borderId="11" xfId="6" applyNumberFormat="1" applyFont="1" applyFill="1" applyBorder="1" applyAlignment="1">
      <alignment horizontal="center"/>
    </xf>
    <xf numFmtId="43" fontId="23" fillId="9" borderId="21" xfId="6" applyNumberFormat="1" applyFont="1" applyFill="1" applyBorder="1" applyAlignment="1">
      <alignment horizontal="center"/>
    </xf>
    <xf numFmtId="43" fontId="23" fillId="9" borderId="36" xfId="6" applyNumberFormat="1" applyFont="1" applyFill="1" applyBorder="1" applyAlignment="1">
      <alignment horizontal="center"/>
    </xf>
    <xf numFmtId="0" fontId="23" fillId="0" borderId="2" xfId="6" applyFont="1" applyBorder="1" applyAlignment="1">
      <alignment horizontal="center"/>
    </xf>
    <xf numFmtId="43" fontId="23" fillId="9" borderId="1" xfId="6" applyNumberFormat="1" applyFont="1" applyFill="1" applyBorder="1" applyAlignment="1">
      <alignment horizontal="center"/>
    </xf>
    <xf numFmtId="43" fontId="23" fillId="9" borderId="11" xfId="6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2" fontId="2" fillId="9" borderId="1" xfId="0" applyNumberFormat="1" applyFont="1" applyFill="1" applyBorder="1" applyAlignment="1">
      <alignment horizontal="center" vertical="center"/>
    </xf>
    <xf numFmtId="4" fontId="23" fillId="9" borderId="21" xfId="4" applyNumberFormat="1" applyFont="1" applyFill="1" applyBorder="1" applyAlignment="1">
      <alignment horizontal="center"/>
    </xf>
    <xf numFmtId="4" fontId="23" fillId="9" borderId="10" xfId="4" applyNumberFormat="1" applyFont="1" applyFill="1" applyBorder="1" applyAlignment="1">
      <alignment horizontal="center"/>
    </xf>
    <xf numFmtId="168" fontId="23" fillId="9" borderId="8" xfId="6" applyNumberFormat="1" applyFont="1" applyFill="1" applyBorder="1" applyAlignment="1">
      <alignment horizontal="center"/>
    </xf>
    <xf numFmtId="0" fontId="17" fillId="9" borderId="18" xfId="6" applyFont="1" applyFill="1" applyBorder="1" applyAlignment="1">
      <alignment horizontal="center"/>
    </xf>
    <xf numFmtId="0" fontId="17" fillId="9" borderId="9" xfId="6" applyFont="1" applyFill="1" applyBorder="1" applyAlignment="1">
      <alignment horizontal="center"/>
    </xf>
    <xf numFmtId="0" fontId="17" fillId="9" borderId="34" xfId="6" applyFont="1" applyFill="1" applyBorder="1" applyAlignment="1">
      <alignment horizontal="center"/>
    </xf>
    <xf numFmtId="0" fontId="17" fillId="10" borderId="5" xfId="6" applyFont="1" applyFill="1" applyBorder="1" applyAlignment="1">
      <alignment horizontal="center"/>
    </xf>
    <xf numFmtId="0" fontId="17" fillId="10" borderId="35" xfId="6" applyFont="1" applyFill="1" applyBorder="1" applyAlignment="1">
      <alignment horizontal="center"/>
    </xf>
    <xf numFmtId="0" fontId="17" fillId="10" borderId="7" xfId="6" applyFont="1" applyFill="1" applyBorder="1" applyAlignment="1">
      <alignment horizontal="center"/>
    </xf>
    <xf numFmtId="0" fontId="17" fillId="10" borderId="34" xfId="6" applyFont="1" applyFill="1" applyBorder="1" applyAlignment="1">
      <alignment horizontal="center"/>
    </xf>
    <xf numFmtId="0" fontId="23" fillId="0" borderId="5" xfId="6" applyFont="1" applyBorder="1" applyAlignment="1">
      <alignment horizontal="center"/>
    </xf>
    <xf numFmtId="0" fontId="23" fillId="0" borderId="12" xfId="6" applyFont="1" applyBorder="1" applyAlignment="1">
      <alignment horizontal="center"/>
    </xf>
    <xf numFmtId="0" fontId="24" fillId="0" borderId="5" xfId="6" applyFont="1" applyBorder="1" applyAlignment="1">
      <alignment horizontal="left"/>
    </xf>
    <xf numFmtId="0" fontId="24" fillId="0" borderId="6" xfId="6" applyFont="1" applyBorder="1" applyAlignment="1">
      <alignment horizontal="left"/>
    </xf>
    <xf numFmtId="0" fontId="24" fillId="0" borderId="12" xfId="6" applyFont="1" applyBorder="1" applyAlignment="1">
      <alignment horizontal="left"/>
    </xf>
    <xf numFmtId="0" fontId="23" fillId="0" borderId="2" xfId="6" applyFont="1" applyBorder="1" applyAlignment="1">
      <alignment horizontal="left"/>
    </xf>
    <xf numFmtId="0" fontId="23" fillId="0" borderId="11" xfId="6" applyFont="1" applyBorder="1" applyAlignment="1">
      <alignment horizontal="left"/>
    </xf>
    <xf numFmtId="0" fontId="23" fillId="0" borderId="10" xfId="6" applyFont="1" applyBorder="1" applyAlignment="1">
      <alignment horizontal="left"/>
    </xf>
    <xf numFmtId="0" fontId="23" fillId="0" borderId="9" xfId="6" applyFont="1" applyBorder="1" applyAlignment="1">
      <alignment horizontal="center"/>
    </xf>
    <xf numFmtId="0" fontId="24" fillId="0" borderId="1" xfId="6" applyFont="1" applyBorder="1" applyAlignment="1">
      <alignment horizontal="left"/>
    </xf>
    <xf numFmtId="0" fontId="24" fillId="0" borderId="2" xfId="6" applyFont="1" applyBorder="1" applyAlignment="1">
      <alignment horizontal="left"/>
    </xf>
    <xf numFmtId="0" fontId="24" fillId="0" borderId="11" xfId="6" applyFont="1" applyBorder="1" applyAlignment="1">
      <alignment horizontal="left"/>
    </xf>
    <xf numFmtId="0" fontId="24" fillId="0" borderId="1" xfId="6" applyFont="1" applyBorder="1" applyAlignment="1">
      <alignment horizontal="left" shrinkToFit="1"/>
    </xf>
    <xf numFmtId="0" fontId="24" fillId="0" borderId="2" xfId="6" applyFont="1" applyBorder="1" applyAlignment="1">
      <alignment horizontal="left" shrinkToFit="1"/>
    </xf>
    <xf numFmtId="0" fontId="24" fillId="0" borderId="11" xfId="6" applyFont="1" applyBorder="1" applyAlignment="1">
      <alignment horizontal="left" shrinkToFit="1"/>
    </xf>
    <xf numFmtId="0" fontId="23" fillId="0" borderId="1" xfId="6" applyFont="1" applyBorder="1" applyAlignment="1">
      <alignment horizontal="center"/>
    </xf>
    <xf numFmtId="0" fontId="22" fillId="0" borderId="15" xfId="6" applyFont="1" applyBorder="1" applyAlignment="1">
      <alignment horizontal="center"/>
    </xf>
    <xf numFmtId="43" fontId="16" fillId="0" borderId="2" xfId="6" applyNumberFormat="1" applyFont="1" applyBorder="1" applyAlignment="1">
      <alignment horizontal="left"/>
    </xf>
    <xf numFmtId="43" fontId="21" fillId="10" borderId="25" xfId="6" applyNumberFormat="1" applyFont="1" applyFill="1" applyBorder="1" applyAlignment="1">
      <alignment horizontal="center"/>
    </xf>
    <xf numFmtId="43" fontId="21" fillId="10" borderId="26" xfId="6" applyNumberFormat="1" applyFont="1" applyFill="1" applyBorder="1" applyAlignment="1">
      <alignment horizontal="center"/>
    </xf>
    <xf numFmtId="43" fontId="21" fillId="10" borderId="30" xfId="6" applyNumberFormat="1" applyFont="1" applyFill="1" applyBorder="1" applyAlignment="1">
      <alignment horizontal="center"/>
    </xf>
    <xf numFmtId="43" fontId="21" fillId="10" borderId="29" xfId="6" applyNumberFormat="1" applyFont="1" applyFill="1" applyBorder="1" applyAlignment="1">
      <alignment horizontal="center"/>
    </xf>
    <xf numFmtId="43" fontId="21" fillId="10" borderId="17" xfId="6" applyNumberFormat="1" applyFont="1" applyFill="1" applyBorder="1" applyAlignment="1">
      <alignment horizontal="center"/>
    </xf>
    <xf numFmtId="43" fontId="21" fillId="10" borderId="27" xfId="6" applyNumberFormat="1" applyFont="1" applyFill="1" applyBorder="1" applyAlignment="1">
      <alignment horizontal="center"/>
    </xf>
    <xf numFmtId="43" fontId="21" fillId="10" borderId="31" xfId="6" applyNumberFormat="1" applyFont="1" applyFill="1" applyBorder="1" applyAlignment="1">
      <alignment horizontal="center"/>
    </xf>
    <xf numFmtId="43" fontId="21" fillId="10" borderId="32" xfId="6" applyNumberFormat="1" applyFont="1" applyFill="1" applyBorder="1" applyAlignment="1">
      <alignment horizontal="center"/>
    </xf>
    <xf numFmtId="43" fontId="21" fillId="10" borderId="33" xfId="6" applyNumberFormat="1" applyFont="1" applyFill="1" applyBorder="1" applyAlignment="1">
      <alignment horizontal="center"/>
    </xf>
    <xf numFmtId="0" fontId="27" fillId="0" borderId="1" xfId="6" applyFont="1" applyBorder="1" applyAlignment="1">
      <alignment horizontal="left"/>
    </xf>
    <xf numFmtId="0" fontId="16" fillId="0" borderId="0" xfId="6" applyFont="1" applyAlignment="1">
      <alignment horizontal="center" vertical="center"/>
    </xf>
    <xf numFmtId="0" fontId="21" fillId="0" borderId="2" xfId="6" applyFont="1" applyBorder="1" applyAlignment="1">
      <alignment horizontal="left"/>
    </xf>
    <xf numFmtId="0" fontId="16" fillId="0" borderId="2" xfId="6" applyFont="1" applyBorder="1" applyAlignment="1">
      <alignment horizontal="center"/>
    </xf>
    <xf numFmtId="1" fontId="16" fillId="0" borderId="2" xfId="6" applyNumberFormat="1" applyFont="1" applyBorder="1" applyAlignment="1">
      <alignment horizontal="center"/>
    </xf>
    <xf numFmtId="0" fontId="12" fillId="9" borderId="0" xfId="6" applyFont="1" applyFill="1" applyAlignment="1">
      <alignment horizontal="center"/>
    </xf>
    <xf numFmtId="15" fontId="16" fillId="0" borderId="9" xfId="6" applyNumberFormat="1" applyFont="1" applyBorder="1" applyAlignment="1">
      <alignment horizontal="center"/>
    </xf>
    <xf numFmtId="0" fontId="18" fillId="0" borderId="2" xfId="6" applyFont="1" applyBorder="1" applyAlignment="1">
      <alignment horizontal="left"/>
    </xf>
    <xf numFmtId="165" fontId="4" fillId="0" borderId="1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165" fontId="4" fillId="0" borderId="14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6" fillId="3" borderId="5" xfId="0" applyNumberFormat="1" applyFont="1" applyFill="1" applyBorder="1" applyAlignment="1">
      <alignment horizontal="center"/>
    </xf>
    <xf numFmtId="165" fontId="6" fillId="3" borderId="6" xfId="0" applyNumberFormat="1" applyFont="1" applyFill="1" applyBorder="1" applyAlignment="1">
      <alignment horizontal="center"/>
    </xf>
    <xf numFmtId="165" fontId="6" fillId="3" borderId="12" xfId="0" applyNumberFormat="1" applyFont="1" applyFill="1" applyBorder="1" applyAlignment="1">
      <alignment horizontal="center"/>
    </xf>
    <xf numFmtId="165" fontId="7" fillId="3" borderId="5" xfId="0" applyNumberFormat="1" applyFont="1" applyFill="1" applyBorder="1" applyAlignment="1">
      <alignment horizontal="center"/>
    </xf>
    <xf numFmtId="165" fontId="7" fillId="3" borderId="6" xfId="0" applyNumberFormat="1" applyFont="1" applyFill="1" applyBorder="1" applyAlignment="1">
      <alignment horizontal="center"/>
    </xf>
    <xf numFmtId="165" fontId="7" fillId="3" borderId="12" xfId="0" applyNumberFormat="1" applyFont="1" applyFill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8" fillId="0" borderId="12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right"/>
    </xf>
    <xf numFmtId="165" fontId="4" fillId="0" borderId="6" xfId="0" applyNumberFormat="1" applyFont="1" applyBorder="1" applyAlignment="1">
      <alignment horizontal="right"/>
    </xf>
    <xf numFmtId="165" fontId="4" fillId="0" borderId="12" xfId="0" applyNumberFormat="1" applyFont="1" applyBorder="1" applyAlignment="1">
      <alignment horizontal="right"/>
    </xf>
    <xf numFmtId="165" fontId="4" fillId="0" borderId="5" xfId="0" applyNumberFormat="1" applyFont="1" applyBorder="1"/>
    <xf numFmtId="165" fontId="4" fillId="0" borderId="6" xfId="0" applyNumberFormat="1" applyFont="1" applyBorder="1"/>
    <xf numFmtId="0" fontId="9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6" fontId="9" fillId="0" borderId="13" xfId="0" applyNumberFormat="1" applyFont="1" applyBorder="1" applyAlignment="1">
      <alignment horizontal="center"/>
    </xf>
    <xf numFmtId="166" fontId="8" fillId="0" borderId="7" xfId="0" applyNumberFormat="1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66" fontId="8" fillId="0" borderId="13" xfId="0" applyNumberFormat="1" applyFont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65" fontId="6" fillId="3" borderId="1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7" fillId="3" borderId="1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43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9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165" fontId="8" fillId="0" borderId="9" xfId="0" applyNumberFormat="1" applyFont="1" applyBorder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165" fontId="9" fillId="0" borderId="8" xfId="0" applyNumberFormat="1" applyFont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165" fontId="9" fillId="0" borderId="14" xfId="0" applyNumberFormat="1" applyFont="1" applyBorder="1" applyAlignment="1">
      <alignment horizontal="center"/>
    </xf>
    <xf numFmtId="165" fontId="9" fillId="0" borderId="8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43" fontId="112" fillId="20" borderId="0" xfId="1" applyFont="1" applyFill="1" applyAlignment="1">
      <alignment horizontal="center"/>
    </xf>
    <xf numFmtId="2" fontId="19" fillId="0" borderId="0" xfId="1" applyNumberFormat="1" applyFont="1" applyFill="1" applyAlignment="1">
      <alignment horizontal="center" vertical="center"/>
    </xf>
    <xf numFmtId="2" fontId="19" fillId="0" borderId="0" xfId="1" applyNumberFormat="1" applyFont="1" applyAlignment="1">
      <alignment horizontal="center"/>
    </xf>
    <xf numFmtId="2" fontId="19" fillId="0" borderId="0" xfId="1" applyNumberFormat="1" applyFont="1" applyBorder="1" applyAlignment="1">
      <alignment horizontal="center"/>
    </xf>
  </cellXfs>
  <cellStyles count="8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Normal" xfId="0" builtinId="0"/>
    <cellStyle name="Normal 2" xfId="6" xr:uid="{00000000-0005-0000-0000-000005000000}"/>
    <cellStyle name="Normal 3" xfId="7" xr:uid="{00000000-0005-0000-0000-000006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cer\Documents\john%20jovi%20z.%20angor\other%20project\CMO-BDP%20POW%20%202018%20(day%20care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cer\Documents\project\KCES%201\DUPA%20KCES%201%20P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FILES\KORONADAL%20CITY%20PROJECTS\NEW%20PANGASINAN\CONTRACT%20POW%20GYM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gram%20Files%20(x86)\john%20jovi%20z.%20angor\new%20pangasinan%20stage\dupa%20new%20pangasinan%20super%20super%20final%20revised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POW electrical public market"/>
      <sheetName val="public market electrical "/>
      <sheetName val="OBR Public Market Roofing"/>
      <sheetName val="PR Public Market Roofing"/>
      <sheetName val="POW Public Market  Roofing"/>
      <sheetName val="OBR Public Market"/>
      <sheetName val="PR Public Market"/>
      <sheetName val="POW Public Market"/>
      <sheetName val="Malipayon Day Care rehab."/>
      <sheetName val="OBR Day Care Center"/>
      <sheetName val="PR Day Care Center"/>
      <sheetName val="POW Health Center lasang 2108"/>
      <sheetName val="PR bdf 2016"/>
      <sheetName val="OBR bdf 2016"/>
      <sheetName val="POW bdf 2016"/>
      <sheetName val="OBR SEF"/>
      <sheetName val="PR SEF"/>
      <sheetName val="POW SEF"/>
      <sheetName val="saving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5">
          <cell r="F85">
            <v>208283</v>
          </cell>
        </row>
        <row r="86">
          <cell r="F86">
            <v>83313.2</v>
          </cell>
        </row>
        <row r="117">
          <cell r="G117" t="e">
            <v>#REF!</v>
          </cell>
        </row>
        <row r="254">
          <cell r="F254">
            <v>348999</v>
          </cell>
        </row>
        <row r="255">
          <cell r="F255">
            <v>139599.6</v>
          </cell>
        </row>
        <row r="262">
          <cell r="G262">
            <v>11400</v>
          </cell>
        </row>
        <row r="409">
          <cell r="F409">
            <v>470428</v>
          </cell>
        </row>
        <row r="410">
          <cell r="F410">
            <v>188171.2</v>
          </cell>
        </row>
        <row r="418">
          <cell r="H418">
            <v>11400</v>
          </cell>
        </row>
      </sheetData>
      <sheetData sheetId="12"/>
      <sheetData sheetId="13"/>
      <sheetData sheetId="14">
        <row r="94">
          <cell r="F94">
            <v>172242</v>
          </cell>
        </row>
        <row r="95">
          <cell r="F95">
            <v>68896.800000000003</v>
          </cell>
        </row>
        <row r="265">
          <cell r="F265">
            <v>238856.5</v>
          </cell>
        </row>
        <row r="266">
          <cell r="F266">
            <v>95542.6</v>
          </cell>
        </row>
        <row r="267">
          <cell r="H267">
            <v>15600</v>
          </cell>
        </row>
        <row r="405">
          <cell r="F405">
            <v>238857</v>
          </cell>
        </row>
        <row r="406">
          <cell r="F406">
            <v>95542.8</v>
          </cell>
        </row>
        <row r="407">
          <cell r="H407">
            <v>15600</v>
          </cell>
        </row>
        <row r="500">
          <cell r="F500">
            <v>175533</v>
          </cell>
          <cell r="G500">
            <v>4250</v>
          </cell>
        </row>
        <row r="501">
          <cell r="F501">
            <v>70213.2</v>
          </cell>
        </row>
        <row r="629">
          <cell r="F629">
            <v>239728.44</v>
          </cell>
        </row>
        <row r="631">
          <cell r="G631">
            <v>100071.376</v>
          </cell>
        </row>
        <row r="632">
          <cell r="G632">
            <v>10200</v>
          </cell>
        </row>
        <row r="771">
          <cell r="F771">
            <v>451463.94</v>
          </cell>
        </row>
        <row r="772">
          <cell r="G772">
            <v>183335.576</v>
          </cell>
        </row>
        <row r="774">
          <cell r="G774">
            <v>15200</v>
          </cell>
        </row>
        <row r="834">
          <cell r="F834">
            <v>126142.5</v>
          </cell>
        </row>
        <row r="835">
          <cell r="F835">
            <v>50457</v>
          </cell>
        </row>
        <row r="836">
          <cell r="G836">
            <v>3400</v>
          </cell>
        </row>
      </sheetData>
      <sheetData sheetId="15"/>
      <sheetData sheetId="16">
        <row r="740">
          <cell r="F740">
            <v>12740</v>
          </cell>
        </row>
        <row r="1692">
          <cell r="F1692">
            <v>732070</v>
          </cell>
        </row>
      </sheetData>
      <sheetData sheetId="17">
        <row r="187">
          <cell r="F187">
            <v>19500</v>
          </cell>
        </row>
        <row r="188">
          <cell r="F188">
            <v>10600</v>
          </cell>
        </row>
        <row r="189">
          <cell r="F189">
            <v>3600</v>
          </cell>
        </row>
        <row r="190">
          <cell r="F190">
            <v>1800</v>
          </cell>
        </row>
        <row r="191">
          <cell r="F191">
            <v>4500</v>
          </cell>
        </row>
        <row r="241">
          <cell r="F241">
            <v>732070</v>
          </cell>
        </row>
        <row r="242">
          <cell r="F242">
            <v>291628</v>
          </cell>
        </row>
        <row r="244">
          <cell r="F244">
            <v>4640</v>
          </cell>
        </row>
        <row r="245">
          <cell r="F245">
            <v>36453.5</v>
          </cell>
        </row>
        <row r="257">
          <cell r="G257">
            <v>332721.5</v>
          </cell>
        </row>
        <row r="260">
          <cell r="G260">
            <v>35208</v>
          </cell>
        </row>
        <row r="355">
          <cell r="F355">
            <v>527646</v>
          </cell>
        </row>
        <row r="356">
          <cell r="F356">
            <v>209858.4</v>
          </cell>
        </row>
        <row r="357">
          <cell r="F357">
            <v>26382.3</v>
          </cell>
        </row>
        <row r="358">
          <cell r="F358">
            <v>27680</v>
          </cell>
        </row>
        <row r="359">
          <cell r="F359">
            <v>2100</v>
          </cell>
        </row>
        <row r="360">
          <cell r="F360">
            <v>2100</v>
          </cell>
        </row>
        <row r="361">
          <cell r="F361">
            <v>4200</v>
          </cell>
        </row>
        <row r="589">
          <cell r="AF589">
            <v>1999983.46872</v>
          </cell>
        </row>
        <row r="1282">
          <cell r="AF1282">
            <v>3199989.3044799999</v>
          </cell>
        </row>
        <row r="1588">
          <cell r="F1588">
            <v>4711793.8454625197</v>
          </cell>
        </row>
        <row r="1589">
          <cell r="F1589">
            <v>1883517.53818501</v>
          </cell>
        </row>
        <row r="1590">
          <cell r="F1590">
            <v>1050</v>
          </cell>
        </row>
        <row r="1591">
          <cell r="F1591">
            <v>1500</v>
          </cell>
        </row>
        <row r="1695">
          <cell r="F1695">
            <v>410370.66666666698</v>
          </cell>
        </row>
        <row r="1696">
          <cell r="F1696">
            <v>162948.26666666701</v>
          </cell>
        </row>
        <row r="1697">
          <cell r="F1697">
            <v>1500</v>
          </cell>
        </row>
        <row r="1698">
          <cell r="F1698">
            <v>1750</v>
          </cell>
        </row>
        <row r="1699">
          <cell r="F1699">
            <v>8304</v>
          </cell>
        </row>
        <row r="1700">
          <cell r="F1700">
            <v>2328</v>
          </cell>
        </row>
        <row r="1701">
          <cell r="F1701">
            <v>7500</v>
          </cell>
        </row>
        <row r="1702">
          <cell r="F1702">
            <v>5250</v>
          </cell>
        </row>
        <row r="1895">
          <cell r="AF1895">
            <v>2998763.2701249998</v>
          </cell>
        </row>
        <row r="2086">
          <cell r="F2086">
            <v>230268</v>
          </cell>
        </row>
        <row r="2087">
          <cell r="F2087">
            <v>59225.16</v>
          </cell>
        </row>
        <row r="2120">
          <cell r="J2120" t="str">
            <v>Project Engineer</v>
          </cell>
        </row>
        <row r="2239">
          <cell r="F2239">
            <v>364206</v>
          </cell>
        </row>
        <row r="2240">
          <cell r="F2240">
            <v>145682.4</v>
          </cell>
        </row>
        <row r="2241">
          <cell r="F2241">
            <v>2000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M"/>
      <sheetName val="DUPA KCES1"/>
      <sheetName val="COVER"/>
      <sheetName val="BOQ"/>
      <sheetName val="PR KCES1"/>
      <sheetName val="OBR KCES1"/>
      <sheetName val="ITEM 100"/>
      <sheetName val="ITEM 100 (2B)"/>
      <sheetName val="ITEM 102 (1)"/>
      <sheetName val="ITEM 104"/>
      <sheetName val="ITEM 201"/>
      <sheetName val="ITEM 311"/>
      <sheetName val="ITEM 500"/>
      <sheetName val="ITEM 506"/>
      <sheetName val="SPL 1"/>
      <sheetName val="SPL 2"/>
      <sheetName val="SPL 3"/>
    </sheetNames>
    <sheetDataSet>
      <sheetData sheetId="0" refreshError="1"/>
      <sheetData sheetId="1" refreshError="1"/>
      <sheetData sheetId="2" refreshError="1">
        <row r="446">
          <cell r="F446" t="str">
            <v>SPL-5</v>
          </cell>
        </row>
        <row r="550">
          <cell r="O550" t="str">
            <v>pcs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DETAILS"/>
      <sheetName val="ESTIMATES"/>
      <sheetName val="SUMMARIZE QUANTITY"/>
      <sheetName val="s"/>
      <sheetName val="materials"/>
      <sheetName val="price"/>
      <sheetName val="QTY COMPUTATTION pow"/>
      <sheetName val="PR WTF"/>
      <sheetName val="OBR WTF"/>
      <sheetName val="BACK UP"/>
      <sheetName val="back up computation for CD"/>
      <sheetName val="Sheet12"/>
      <sheetName val="BOQ "/>
      <sheetName val="BACK UP COMP QTY"/>
      <sheetName val="BOM (2)"/>
      <sheetName val="BACK"/>
      <sheetName val="POW COVER"/>
      <sheetName val="pert (3)"/>
      <sheetName val="DUPA"/>
      <sheetName val="1"/>
      <sheetName val="2"/>
      <sheetName val="3"/>
      <sheetName val="4."/>
      <sheetName val="4"/>
      <sheetName val="5"/>
      <sheetName val="7"/>
      <sheetName val="15"/>
      <sheetName val="8"/>
      <sheetName val="9"/>
      <sheetName val="10"/>
      <sheetName val="11"/>
      <sheetName val="12"/>
      <sheetName val="13"/>
      <sheetName val="16"/>
      <sheetName val="17"/>
      <sheetName val="18"/>
      <sheetName val="ITEM 27"/>
      <sheetName val="ITEM 28"/>
      <sheetName val="ITEM 30"/>
      <sheetName val="ITEM 31"/>
      <sheetName val="ITEM 32"/>
      <sheetName val="ITEM 33"/>
      <sheetName val="ITEM 38"/>
      <sheetName val="ITEM 3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5">
          <cell r="O75">
            <v>39061.050000000003</v>
          </cell>
        </row>
        <row r="82">
          <cell r="O82">
            <v>0</v>
          </cell>
        </row>
        <row r="95">
          <cell r="O95">
            <v>0</v>
          </cell>
        </row>
        <row r="102">
          <cell r="O102">
            <v>0</v>
          </cell>
        </row>
        <row r="158">
          <cell r="O158">
            <v>0</v>
          </cell>
        </row>
        <row r="171">
          <cell r="O171">
            <v>0</v>
          </cell>
        </row>
        <row r="178">
          <cell r="O178">
            <v>0</v>
          </cell>
        </row>
        <row r="179">
          <cell r="O179">
            <v>504</v>
          </cell>
        </row>
        <row r="180">
          <cell r="O180">
            <v>0</v>
          </cell>
        </row>
        <row r="181">
          <cell r="O181">
            <v>0</v>
          </cell>
        </row>
        <row r="182">
          <cell r="O182">
            <v>0</v>
          </cell>
        </row>
        <row r="183">
          <cell r="O183">
            <v>0</v>
          </cell>
        </row>
        <row r="184">
          <cell r="O184">
            <v>0</v>
          </cell>
        </row>
        <row r="185">
          <cell r="O185">
            <v>0</v>
          </cell>
        </row>
        <row r="186">
          <cell r="O186">
            <v>0</v>
          </cell>
        </row>
        <row r="226">
          <cell r="O226">
            <v>640.25</v>
          </cell>
        </row>
        <row r="227">
          <cell r="O227">
            <v>13445.25</v>
          </cell>
        </row>
        <row r="228">
          <cell r="O228">
            <v>13445.25</v>
          </cell>
        </row>
        <row r="229">
          <cell r="O229">
            <v>0</v>
          </cell>
        </row>
        <row r="230">
          <cell r="O230">
            <v>0</v>
          </cell>
        </row>
        <row r="231">
          <cell r="O231">
            <v>0</v>
          </cell>
        </row>
        <row r="232">
          <cell r="O232">
            <v>0</v>
          </cell>
        </row>
        <row r="233">
          <cell r="O233">
            <v>0</v>
          </cell>
        </row>
        <row r="234">
          <cell r="O234">
            <v>0</v>
          </cell>
        </row>
        <row r="235">
          <cell r="O235">
            <v>0</v>
          </cell>
        </row>
        <row r="236">
          <cell r="O236">
            <v>0</v>
          </cell>
        </row>
        <row r="237">
          <cell r="O237" t="str">
            <v xml:space="preserve">AMOUNT </v>
          </cell>
        </row>
        <row r="238">
          <cell r="O238">
            <v>0</v>
          </cell>
        </row>
        <row r="239">
          <cell r="O239">
            <v>0</v>
          </cell>
        </row>
        <row r="240">
          <cell r="O240">
            <v>180</v>
          </cell>
        </row>
        <row r="241">
          <cell r="O241">
            <v>285</v>
          </cell>
        </row>
        <row r="242">
          <cell r="O242">
            <v>360</v>
          </cell>
        </row>
        <row r="247">
          <cell r="O247">
            <v>0</v>
          </cell>
        </row>
        <row r="248">
          <cell r="O248">
            <v>0</v>
          </cell>
        </row>
        <row r="249">
          <cell r="O249">
            <v>6519</v>
          </cell>
        </row>
        <row r="250">
          <cell r="O250">
            <v>4521</v>
          </cell>
        </row>
        <row r="251">
          <cell r="O251">
            <v>0</v>
          </cell>
        </row>
        <row r="252">
          <cell r="O252">
            <v>0</v>
          </cell>
        </row>
        <row r="253">
          <cell r="O253">
            <v>0</v>
          </cell>
        </row>
        <row r="254">
          <cell r="O254">
            <v>0</v>
          </cell>
        </row>
        <row r="255">
          <cell r="O255">
            <v>11040</v>
          </cell>
        </row>
        <row r="256">
          <cell r="O256" t="str">
            <v xml:space="preserve">AMOUNT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reakdown Expenditure"/>
      <sheetName val="OBR Bumanaag Road"/>
      <sheetName val="PR Bumanaag Road"/>
      <sheetName val="BOQ"/>
      <sheetName val="PR Gaudalupe ES"/>
      <sheetName val="OBR Gaudalupe ES"/>
      <sheetName val="Sheet3"/>
      <sheetName val="COVER"/>
      <sheetName val="masonry"/>
      <sheetName val="prepainter"/>
      <sheetName val="girt 1"/>
      <sheetName val="girt 2"/>
      <sheetName val="girt 3"/>
      <sheetName val="gutter frame"/>
      <sheetName val="truss 1"/>
      <sheetName val="truss 2"/>
      <sheetName val="truss 3"/>
      <sheetName val="gi.metal"/>
      <sheetName val="railings"/>
      <sheetName val="electrical"/>
      <sheetName val="septic"/>
      <sheetName val="plumbing"/>
      <sheetName val="carpentry"/>
      <sheetName val="window"/>
      <sheetName val="ti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9"/>
  <sheetViews>
    <sheetView topLeftCell="A16" zoomScale="106" zoomScaleNormal="106" workbookViewId="0">
      <selection activeCell="F43" sqref="F43"/>
    </sheetView>
  </sheetViews>
  <sheetFormatPr defaultColWidth="9" defaultRowHeight="15"/>
  <cols>
    <col min="1" max="1" width="18" customWidth="1"/>
    <col min="2" max="2" width="11.140625" customWidth="1"/>
    <col min="3" max="3" width="12.28515625" customWidth="1"/>
    <col min="4" max="4" width="14.5703125" customWidth="1"/>
    <col min="5" max="5" width="11" customWidth="1"/>
    <col min="6" max="6" width="9.7109375" customWidth="1"/>
    <col min="7" max="8" width="10.140625" customWidth="1"/>
    <col min="9" max="9" width="10.5703125" customWidth="1"/>
    <col min="12" max="12" width="10.85546875" customWidth="1"/>
    <col min="13" max="13" width="10.28515625" customWidth="1"/>
  </cols>
  <sheetData>
    <row r="1" spans="1:19">
      <c r="A1" t="s">
        <v>0</v>
      </c>
    </row>
    <row r="2" spans="1:19">
      <c r="A2" t="s">
        <v>1</v>
      </c>
      <c r="B2" s="842" t="s">
        <v>2</v>
      </c>
      <c r="C2" s="842"/>
      <c r="D2" s="842"/>
      <c r="E2" s="842"/>
      <c r="F2" s="842"/>
      <c r="G2" s="842"/>
      <c r="H2" s="842"/>
      <c r="I2" s="842"/>
    </row>
    <row r="3" spans="1:19">
      <c r="A3" t="s">
        <v>3</v>
      </c>
      <c r="B3" s="842" t="s">
        <v>4</v>
      </c>
      <c r="C3" s="842"/>
      <c r="D3" s="842"/>
      <c r="E3" s="842"/>
      <c r="F3" s="842"/>
      <c r="G3" s="842"/>
      <c r="H3" s="842"/>
      <c r="I3" s="842"/>
    </row>
    <row r="4" spans="1:19">
      <c r="A4" s="275" t="s">
        <v>5</v>
      </c>
      <c r="B4" s="842">
        <v>200</v>
      </c>
      <c r="C4" s="842"/>
      <c r="D4" s="842"/>
      <c r="E4" s="842"/>
      <c r="F4" s="842"/>
      <c r="G4" s="842"/>
      <c r="H4" s="842"/>
      <c r="I4" s="842"/>
    </row>
    <row r="5" spans="1:19">
      <c r="A5" t="s">
        <v>6</v>
      </c>
      <c r="B5" s="842" t="s">
        <v>7</v>
      </c>
      <c r="C5" s="842"/>
      <c r="D5" s="842"/>
      <c r="E5" s="842"/>
      <c r="F5" s="842"/>
      <c r="G5" s="842"/>
      <c r="H5" s="842"/>
      <c r="I5" s="842"/>
    </row>
    <row r="6" spans="1:19">
      <c r="A6" t="s">
        <v>8</v>
      </c>
      <c r="B6" s="842" t="s">
        <v>9</v>
      </c>
      <c r="C6" s="842"/>
      <c r="D6" s="842"/>
      <c r="E6" s="842"/>
      <c r="F6" s="842"/>
      <c r="G6" s="842"/>
      <c r="H6" s="842"/>
      <c r="I6" s="842"/>
    </row>
    <row r="8" spans="1:19" s="60" customFormat="1">
      <c r="A8" s="60" t="s">
        <v>10</v>
      </c>
      <c r="E8" s="60" t="s">
        <v>11</v>
      </c>
      <c r="I8" s="60" t="s">
        <v>12</v>
      </c>
      <c r="M8" s="60" t="s">
        <v>13</v>
      </c>
      <c r="Q8" s="60" t="s">
        <v>14</v>
      </c>
    </row>
    <row r="10" spans="1:19">
      <c r="A10" s="739" t="s">
        <v>15</v>
      </c>
      <c r="B10" s="645">
        <v>2.5</v>
      </c>
      <c r="C10" t="s">
        <v>16</v>
      </c>
      <c r="E10" s="739" t="s">
        <v>15</v>
      </c>
      <c r="F10" s="645">
        <v>2</v>
      </c>
      <c r="G10" t="s">
        <v>16</v>
      </c>
      <c r="I10" s="739" t="s">
        <v>15</v>
      </c>
      <c r="J10" s="645">
        <v>0.55000000000000004</v>
      </c>
      <c r="K10" t="s">
        <v>16</v>
      </c>
      <c r="M10" s="739" t="s">
        <v>15</v>
      </c>
      <c r="N10" s="645">
        <v>0.55000000000000004</v>
      </c>
      <c r="O10" t="s">
        <v>16</v>
      </c>
    </row>
    <row r="11" spans="1:19">
      <c r="A11" s="739" t="s">
        <v>17</v>
      </c>
      <c r="B11" s="645">
        <v>0.7</v>
      </c>
      <c r="C11" t="s">
        <v>16</v>
      </c>
      <c r="E11" s="739" t="s">
        <v>17</v>
      </c>
      <c r="F11" s="645">
        <v>0.6</v>
      </c>
      <c r="G11" t="s">
        <v>16</v>
      </c>
      <c r="I11" s="739" t="s">
        <v>17</v>
      </c>
      <c r="J11" s="645">
        <v>0.35</v>
      </c>
      <c r="K11" t="s">
        <v>16</v>
      </c>
      <c r="M11" s="739" t="s">
        <v>17</v>
      </c>
      <c r="N11" s="645">
        <v>0.35</v>
      </c>
      <c r="O11" t="s">
        <v>16</v>
      </c>
      <c r="Q11" s="739" t="s">
        <v>17</v>
      </c>
      <c r="R11" s="625">
        <v>1</v>
      </c>
      <c r="S11" t="s">
        <v>16</v>
      </c>
    </row>
    <row r="12" spans="1:19">
      <c r="A12" s="739" t="s">
        <v>18</v>
      </c>
      <c r="B12" s="645">
        <v>1.1000000000000001</v>
      </c>
      <c r="C12" t="s">
        <v>16</v>
      </c>
      <c r="E12" s="739" t="s">
        <v>18</v>
      </c>
      <c r="F12" s="645">
        <v>0.6</v>
      </c>
      <c r="G12" t="s">
        <v>16</v>
      </c>
      <c r="I12" s="739" t="s">
        <v>18</v>
      </c>
      <c r="J12" s="645">
        <v>0.35</v>
      </c>
      <c r="K12" t="s">
        <v>16</v>
      </c>
      <c r="M12" s="739" t="s">
        <v>18</v>
      </c>
      <c r="N12" s="645">
        <v>0.35</v>
      </c>
      <c r="O12" t="s">
        <v>16</v>
      </c>
      <c r="Q12" s="739" t="s">
        <v>18</v>
      </c>
      <c r="R12" s="625"/>
      <c r="S12" t="s">
        <v>16</v>
      </c>
    </row>
    <row r="13" spans="1:19">
      <c r="A13" s="739" t="s">
        <v>19</v>
      </c>
      <c r="B13" s="645">
        <v>3.6</v>
      </c>
      <c r="C13" t="s">
        <v>16</v>
      </c>
      <c r="E13" s="739" t="s">
        <v>19</v>
      </c>
      <c r="F13" s="645">
        <v>1.2</v>
      </c>
      <c r="G13" t="s">
        <v>16</v>
      </c>
      <c r="I13" s="739" t="s">
        <v>19</v>
      </c>
      <c r="J13" s="645">
        <v>3</v>
      </c>
      <c r="K13" t="s">
        <v>16</v>
      </c>
      <c r="M13" s="739" t="s">
        <v>19</v>
      </c>
      <c r="N13" s="645">
        <v>3</v>
      </c>
      <c r="O13" t="s">
        <v>16</v>
      </c>
      <c r="Q13" s="739" t="s">
        <v>19</v>
      </c>
      <c r="R13" s="625"/>
      <c r="S13" t="s">
        <v>16</v>
      </c>
    </row>
    <row r="14" spans="1:19">
      <c r="A14" s="739" t="s">
        <v>20</v>
      </c>
      <c r="B14" s="645">
        <v>10</v>
      </c>
      <c r="C14" t="s">
        <v>21</v>
      </c>
      <c r="E14" s="739" t="s">
        <v>20</v>
      </c>
      <c r="F14" s="645">
        <v>20</v>
      </c>
      <c r="G14" t="s">
        <v>21</v>
      </c>
      <c r="I14" s="739" t="s">
        <v>20</v>
      </c>
      <c r="J14" s="645">
        <v>9</v>
      </c>
      <c r="K14" t="s">
        <v>21</v>
      </c>
      <c r="M14" s="739" t="s">
        <v>20</v>
      </c>
      <c r="N14" s="645">
        <v>9</v>
      </c>
      <c r="O14" t="s">
        <v>21</v>
      </c>
      <c r="Q14" s="739" t="s">
        <v>20</v>
      </c>
      <c r="R14" s="625"/>
      <c r="S14" t="s">
        <v>21</v>
      </c>
    </row>
    <row r="15" spans="1:19" s="737" customFormat="1">
      <c r="A15" s="740" t="s">
        <v>22</v>
      </c>
      <c r="B15" s="709">
        <f>B13*B12*B11*B14</f>
        <v>27.720000000000002</v>
      </c>
      <c r="C15" s="737" t="s">
        <v>23</v>
      </c>
      <c r="E15" s="740" t="s">
        <v>22</v>
      </c>
      <c r="F15" s="709">
        <f>F13*F12*F11*F14</f>
        <v>8.64</v>
      </c>
      <c r="G15" s="737" t="s">
        <v>23</v>
      </c>
      <c r="I15" s="740" t="s">
        <v>22</v>
      </c>
      <c r="J15" s="709">
        <f>J13*J12*J11*J14</f>
        <v>3.3074999999999992</v>
      </c>
      <c r="K15" s="737" t="s">
        <v>23</v>
      </c>
      <c r="M15" s="740" t="s">
        <v>22</v>
      </c>
      <c r="N15" s="709">
        <f>N13*N12*N11*N14</f>
        <v>3.3074999999999992</v>
      </c>
      <c r="O15" s="737" t="s">
        <v>23</v>
      </c>
      <c r="Q15" s="740" t="s">
        <v>22</v>
      </c>
      <c r="R15" s="709">
        <f>R13*R12*R11*R14</f>
        <v>0</v>
      </c>
      <c r="S15" s="737" t="s">
        <v>23</v>
      </c>
    </row>
    <row r="16" spans="1:19">
      <c r="A16" s="739" t="s">
        <v>24</v>
      </c>
      <c r="B16" s="741">
        <v>20</v>
      </c>
      <c r="C16" t="s">
        <v>25</v>
      </c>
      <c r="E16" s="739" t="s">
        <v>24</v>
      </c>
      <c r="F16" s="741">
        <v>20</v>
      </c>
      <c r="G16" t="s">
        <v>25</v>
      </c>
      <c r="I16" s="739" t="s">
        <v>24</v>
      </c>
      <c r="J16" s="741">
        <v>12</v>
      </c>
      <c r="K16" t="s">
        <v>25</v>
      </c>
      <c r="M16" s="739" t="s">
        <v>24</v>
      </c>
      <c r="N16" s="741">
        <v>12</v>
      </c>
      <c r="O16" t="s">
        <v>25</v>
      </c>
      <c r="Q16" s="739"/>
      <c r="R16" s="744"/>
    </row>
    <row r="17" spans="1:18">
      <c r="A17" s="739" t="s">
        <v>26</v>
      </c>
      <c r="B17" s="741"/>
      <c r="E17" s="739" t="s">
        <v>26</v>
      </c>
      <c r="F17" s="741"/>
      <c r="I17" s="739" t="s">
        <v>26</v>
      </c>
      <c r="J17" s="741"/>
      <c r="M17" s="739" t="s">
        <v>26</v>
      </c>
      <c r="N17" s="741"/>
      <c r="Q17" s="739"/>
      <c r="R17" s="744"/>
    </row>
    <row r="18" spans="1:18">
      <c r="A18" s="739" t="s">
        <v>27</v>
      </c>
      <c r="B18" s="742">
        <v>14</v>
      </c>
      <c r="C18" t="s">
        <v>21</v>
      </c>
      <c r="E18" s="739" t="s">
        <v>27</v>
      </c>
      <c r="F18" s="742">
        <v>12</v>
      </c>
      <c r="G18" t="s">
        <v>21</v>
      </c>
      <c r="I18" s="739" t="s">
        <v>27</v>
      </c>
      <c r="J18" s="742">
        <v>4</v>
      </c>
      <c r="K18" t="s">
        <v>21</v>
      </c>
      <c r="M18" s="739" t="s">
        <v>27</v>
      </c>
      <c r="N18" s="742">
        <v>4</v>
      </c>
      <c r="O18" t="s">
        <v>21</v>
      </c>
      <c r="Q18" s="739"/>
      <c r="R18" s="744"/>
    </row>
    <row r="19" spans="1:18">
      <c r="A19" s="739" t="s">
        <v>28</v>
      </c>
      <c r="B19" s="743"/>
      <c r="E19" s="739" t="s">
        <v>28</v>
      </c>
      <c r="F19" s="743"/>
      <c r="I19" s="739" t="s">
        <v>28</v>
      </c>
      <c r="J19" s="743"/>
      <c r="M19" s="739" t="s">
        <v>28</v>
      </c>
      <c r="N19" s="743"/>
      <c r="Q19" s="739"/>
      <c r="R19" s="744"/>
    </row>
    <row r="20" spans="1:18">
      <c r="A20" s="739"/>
      <c r="B20" s="744"/>
      <c r="E20" s="739"/>
      <c r="F20" s="744"/>
      <c r="I20" s="739"/>
      <c r="J20" s="744"/>
      <c r="M20" s="739"/>
      <c r="N20" s="744"/>
      <c r="Q20" s="739"/>
      <c r="R20" s="744"/>
    </row>
    <row r="21" spans="1:18">
      <c r="A21" s="739" t="s">
        <v>29</v>
      </c>
      <c r="B21" s="744"/>
      <c r="E21" s="739" t="s">
        <v>29</v>
      </c>
      <c r="F21" s="744"/>
      <c r="I21" s="739" t="s">
        <v>29</v>
      </c>
      <c r="J21" s="744"/>
      <c r="M21" s="739" t="s">
        <v>29</v>
      </c>
      <c r="N21" s="744"/>
      <c r="Q21" s="739"/>
      <c r="R21" s="744"/>
    </row>
    <row r="22" spans="1:18">
      <c r="A22" s="739" t="s">
        <v>24</v>
      </c>
      <c r="B22" s="741">
        <v>10</v>
      </c>
      <c r="C22" t="s">
        <v>25</v>
      </c>
      <c r="E22" s="739" t="s">
        <v>24</v>
      </c>
      <c r="F22" s="741">
        <v>10</v>
      </c>
      <c r="G22" t="s">
        <v>25</v>
      </c>
      <c r="I22" s="739" t="s">
        <v>24</v>
      </c>
      <c r="J22" s="741">
        <v>0</v>
      </c>
      <c r="K22" t="s">
        <v>25</v>
      </c>
      <c r="M22" s="739" t="s">
        <v>24</v>
      </c>
      <c r="N22" s="741">
        <v>0</v>
      </c>
      <c r="O22" t="s">
        <v>25</v>
      </c>
      <c r="Q22" s="739"/>
      <c r="R22" s="744"/>
    </row>
    <row r="23" spans="1:18">
      <c r="A23" s="739" t="s">
        <v>30</v>
      </c>
      <c r="B23" s="645">
        <v>5</v>
      </c>
      <c r="C23" s="739" t="s">
        <v>31</v>
      </c>
      <c r="D23" s="645">
        <v>0.05</v>
      </c>
      <c r="E23" s="739" t="s">
        <v>30</v>
      </c>
      <c r="F23" s="645">
        <v>5</v>
      </c>
      <c r="G23" s="739" t="s">
        <v>31</v>
      </c>
      <c r="H23" s="645">
        <v>0.05</v>
      </c>
      <c r="I23" s="739" t="s">
        <v>30</v>
      </c>
      <c r="J23" s="645">
        <v>0</v>
      </c>
      <c r="K23" s="739" t="s">
        <v>31</v>
      </c>
      <c r="L23" s="625">
        <v>0</v>
      </c>
      <c r="M23" s="739" t="s">
        <v>30</v>
      </c>
      <c r="N23" s="645">
        <v>0</v>
      </c>
      <c r="O23" s="739" t="s">
        <v>31</v>
      </c>
      <c r="P23" s="625">
        <v>0</v>
      </c>
      <c r="Q23" s="739"/>
      <c r="R23" s="744"/>
    </row>
    <row r="24" spans="1:18">
      <c r="A24" s="739" t="s">
        <v>32</v>
      </c>
      <c r="B24" s="645">
        <v>5</v>
      </c>
      <c r="C24" s="739" t="s">
        <v>33</v>
      </c>
      <c r="D24" s="645">
        <v>0.1</v>
      </c>
      <c r="E24" s="739" t="s">
        <v>32</v>
      </c>
      <c r="F24" s="645">
        <v>5</v>
      </c>
      <c r="G24" s="739" t="s">
        <v>33</v>
      </c>
      <c r="H24" s="645">
        <v>0.1</v>
      </c>
      <c r="I24" s="739" t="s">
        <v>32</v>
      </c>
      <c r="J24" s="645">
        <v>0</v>
      </c>
      <c r="K24" s="739" t="s">
        <v>33</v>
      </c>
      <c r="L24" s="625">
        <v>0</v>
      </c>
      <c r="M24" s="739" t="s">
        <v>32</v>
      </c>
      <c r="N24" s="645">
        <v>0</v>
      </c>
      <c r="O24" s="739" t="s">
        <v>33</v>
      </c>
      <c r="P24" s="625">
        <v>0</v>
      </c>
      <c r="Q24" s="739"/>
      <c r="R24" s="744"/>
    </row>
    <row r="25" spans="1:18">
      <c r="A25" s="739" t="s">
        <v>34</v>
      </c>
      <c r="B25" s="645">
        <v>5</v>
      </c>
      <c r="C25" s="739" t="s">
        <v>35</v>
      </c>
      <c r="D25" s="645">
        <v>0.15</v>
      </c>
      <c r="E25" s="739" t="s">
        <v>34</v>
      </c>
      <c r="F25" s="645">
        <v>0</v>
      </c>
      <c r="G25" s="739" t="s">
        <v>35</v>
      </c>
      <c r="H25" s="645">
        <v>0</v>
      </c>
      <c r="I25" s="739" t="s">
        <v>34</v>
      </c>
      <c r="J25" s="645">
        <v>0</v>
      </c>
      <c r="K25" s="739" t="s">
        <v>35</v>
      </c>
      <c r="L25" s="625">
        <v>0</v>
      </c>
      <c r="M25" s="739" t="s">
        <v>34</v>
      </c>
      <c r="N25" s="645">
        <v>0</v>
      </c>
      <c r="O25" s="739" t="s">
        <v>35</v>
      </c>
      <c r="P25" s="625">
        <v>0</v>
      </c>
      <c r="Q25" s="739"/>
      <c r="R25" s="744"/>
    </row>
    <row r="26" spans="1:18">
      <c r="A26" s="739" t="s">
        <v>36</v>
      </c>
      <c r="B26" s="645">
        <v>0</v>
      </c>
      <c r="C26" s="739" t="s">
        <v>37</v>
      </c>
      <c r="D26" s="645">
        <v>0</v>
      </c>
      <c r="E26" s="739" t="s">
        <v>36</v>
      </c>
      <c r="F26" s="645">
        <v>0</v>
      </c>
      <c r="G26" s="739" t="s">
        <v>37</v>
      </c>
      <c r="H26" s="645">
        <v>0</v>
      </c>
      <c r="I26" s="739" t="s">
        <v>36</v>
      </c>
      <c r="J26" s="645">
        <v>0</v>
      </c>
      <c r="K26" s="739" t="s">
        <v>37</v>
      </c>
      <c r="L26" s="625">
        <v>0</v>
      </c>
      <c r="M26" s="739" t="s">
        <v>36</v>
      </c>
      <c r="N26" s="645">
        <v>0</v>
      </c>
      <c r="O26" s="739" t="s">
        <v>37</v>
      </c>
      <c r="P26" s="625">
        <v>0</v>
      </c>
      <c r="Q26" s="739"/>
      <c r="R26" s="744"/>
    </row>
    <row r="27" spans="1:18">
      <c r="A27" s="739"/>
      <c r="B27" s="744"/>
      <c r="C27" s="739" t="s">
        <v>38</v>
      </c>
      <c r="D27" s="645">
        <v>0.2</v>
      </c>
      <c r="E27" s="739"/>
      <c r="F27" s="744"/>
      <c r="G27" s="739" t="s">
        <v>38</v>
      </c>
      <c r="H27" s="645">
        <v>0.2</v>
      </c>
      <c r="I27" s="739"/>
      <c r="J27" s="744"/>
      <c r="K27" s="739" t="s">
        <v>38</v>
      </c>
      <c r="L27" s="625">
        <v>0</v>
      </c>
      <c r="M27" s="739"/>
      <c r="N27" s="744"/>
      <c r="O27" s="739" t="s">
        <v>38</v>
      </c>
      <c r="P27" s="625">
        <v>0</v>
      </c>
      <c r="Q27" s="739"/>
      <c r="R27" s="744"/>
    </row>
    <row r="28" spans="1:18">
      <c r="A28" s="739"/>
      <c r="B28" s="744"/>
      <c r="E28" s="739"/>
      <c r="F28" s="744"/>
      <c r="I28" s="739"/>
      <c r="J28" s="744"/>
      <c r="M28" s="739"/>
      <c r="N28" s="744"/>
      <c r="Q28" s="739"/>
      <c r="R28" s="744"/>
    </row>
    <row r="29" spans="1:18">
      <c r="A29" s="739"/>
      <c r="B29" s="744"/>
      <c r="E29" s="739"/>
      <c r="F29" s="744"/>
      <c r="I29" s="739"/>
      <c r="J29" s="744"/>
      <c r="M29" s="739"/>
      <c r="N29" s="744"/>
      <c r="Q29" s="739"/>
      <c r="R29" s="744"/>
    </row>
    <row r="30" spans="1:18">
      <c r="A30" s="739"/>
      <c r="B30" s="744"/>
      <c r="E30" s="739"/>
      <c r="F30" s="744"/>
      <c r="I30" s="739"/>
      <c r="J30" s="744"/>
      <c r="M30" s="739"/>
      <c r="N30" s="744"/>
      <c r="Q30" s="739"/>
      <c r="R30" s="744"/>
    </row>
    <row r="31" spans="1:18">
      <c r="A31" s="739"/>
      <c r="B31" s="744"/>
      <c r="E31" s="739"/>
      <c r="F31" s="744"/>
      <c r="I31" s="739"/>
      <c r="J31" s="744"/>
      <c r="M31" s="739"/>
      <c r="N31" s="744"/>
      <c r="Q31" s="739"/>
      <c r="R31" s="744"/>
    </row>
    <row r="32" spans="1:18" s="60" customFormat="1">
      <c r="A32" s="60" t="s">
        <v>39</v>
      </c>
      <c r="E32" s="60" t="s">
        <v>40</v>
      </c>
      <c r="I32" s="60" t="s">
        <v>41</v>
      </c>
      <c r="M32" s="60" t="s">
        <v>42</v>
      </c>
      <c r="Q32" s="60" t="s">
        <v>43</v>
      </c>
    </row>
    <row r="34" spans="1:19" s="737" customFormat="1">
      <c r="A34" s="740" t="s">
        <v>44</v>
      </c>
      <c r="B34" s="709">
        <f>B10+B37+0.05</f>
        <v>3.3499999999999996</v>
      </c>
      <c r="C34" s="737" t="s">
        <v>16</v>
      </c>
      <c r="E34" s="740" t="s">
        <v>44</v>
      </c>
      <c r="F34" s="709">
        <f>F10+F37+0.05</f>
        <v>2.65</v>
      </c>
      <c r="G34" s="737" t="s">
        <v>16</v>
      </c>
      <c r="I34" s="740" t="s">
        <v>44</v>
      </c>
      <c r="J34" s="709">
        <f>J10+J37+0.05</f>
        <v>0.85000000000000009</v>
      </c>
      <c r="K34" s="737" t="s">
        <v>16</v>
      </c>
      <c r="M34" s="740" t="s">
        <v>44</v>
      </c>
      <c r="N34" s="709">
        <f>N10+N37+0.05</f>
        <v>0.85000000000000009</v>
      </c>
      <c r="O34" s="737" t="s">
        <v>16</v>
      </c>
    </row>
    <row r="35" spans="1:19">
      <c r="A35" s="739" t="s">
        <v>17</v>
      </c>
      <c r="B35" s="645">
        <v>3</v>
      </c>
      <c r="C35" t="s">
        <v>16</v>
      </c>
      <c r="E35" s="739" t="s">
        <v>17</v>
      </c>
      <c r="F35" s="645">
        <v>2</v>
      </c>
      <c r="G35" t="s">
        <v>16</v>
      </c>
      <c r="I35" s="739" t="s">
        <v>17</v>
      </c>
      <c r="J35" s="645">
        <v>1</v>
      </c>
      <c r="K35" t="s">
        <v>16</v>
      </c>
      <c r="M35" s="739" t="s">
        <v>17</v>
      </c>
      <c r="N35" s="645">
        <v>1</v>
      </c>
      <c r="O35" t="s">
        <v>16</v>
      </c>
      <c r="Q35" s="739" t="s">
        <v>17</v>
      </c>
      <c r="R35" s="625"/>
      <c r="S35" t="s">
        <v>16</v>
      </c>
    </row>
    <row r="36" spans="1:19">
      <c r="A36" s="739" t="s">
        <v>18</v>
      </c>
      <c r="B36" s="645">
        <v>3</v>
      </c>
      <c r="C36" t="s">
        <v>16</v>
      </c>
      <c r="E36" s="739" t="s">
        <v>18</v>
      </c>
      <c r="F36" s="645">
        <v>2</v>
      </c>
      <c r="G36" t="s">
        <v>16</v>
      </c>
      <c r="I36" s="739" t="s">
        <v>18</v>
      </c>
      <c r="J36" s="645">
        <v>1</v>
      </c>
      <c r="K36" t="s">
        <v>16</v>
      </c>
      <c r="M36" s="739" t="s">
        <v>18</v>
      </c>
      <c r="N36" s="645">
        <v>1</v>
      </c>
      <c r="O36" t="s">
        <v>16</v>
      </c>
      <c r="Q36" s="739" t="s">
        <v>18</v>
      </c>
      <c r="R36" s="625"/>
      <c r="S36" t="s">
        <v>16</v>
      </c>
    </row>
    <row r="37" spans="1:19">
      <c r="A37" s="739" t="s">
        <v>45</v>
      </c>
      <c r="B37" s="645">
        <v>0.8</v>
      </c>
      <c r="C37" t="s">
        <v>16</v>
      </c>
      <c r="E37" s="739" t="s">
        <v>45</v>
      </c>
      <c r="F37" s="645">
        <v>0.6</v>
      </c>
      <c r="G37" t="s">
        <v>16</v>
      </c>
      <c r="I37" s="739" t="s">
        <v>45</v>
      </c>
      <c r="J37" s="645">
        <v>0.25</v>
      </c>
      <c r="K37" t="s">
        <v>16</v>
      </c>
      <c r="M37" s="739" t="s">
        <v>45</v>
      </c>
      <c r="N37" s="645">
        <v>0.25</v>
      </c>
      <c r="O37" t="s">
        <v>16</v>
      </c>
      <c r="Q37" s="739" t="s">
        <v>19</v>
      </c>
      <c r="R37" s="625"/>
      <c r="S37" t="s">
        <v>16</v>
      </c>
    </row>
    <row r="38" spans="1:19">
      <c r="A38" s="739" t="s">
        <v>20</v>
      </c>
      <c r="B38" s="645">
        <v>10</v>
      </c>
      <c r="C38" t="s">
        <v>21</v>
      </c>
      <c r="E38" s="739" t="s">
        <v>20</v>
      </c>
      <c r="F38" s="645">
        <v>20</v>
      </c>
      <c r="G38" t="s">
        <v>21</v>
      </c>
      <c r="I38" s="739" t="s">
        <v>20</v>
      </c>
      <c r="J38" s="645">
        <v>20</v>
      </c>
      <c r="K38" t="s">
        <v>21</v>
      </c>
      <c r="M38" s="739" t="s">
        <v>20</v>
      </c>
      <c r="N38" s="645">
        <v>20</v>
      </c>
      <c r="O38" t="s">
        <v>21</v>
      </c>
      <c r="Q38" s="739" t="s">
        <v>20</v>
      </c>
      <c r="R38" s="625"/>
      <c r="S38" t="s">
        <v>21</v>
      </c>
    </row>
    <row r="39" spans="1:19" s="737" customFormat="1">
      <c r="A39" s="740" t="s">
        <v>22</v>
      </c>
      <c r="B39" s="709">
        <f>B37*B36*B35*B38</f>
        <v>72.000000000000014</v>
      </c>
      <c r="C39" s="737" t="s">
        <v>23</v>
      </c>
      <c r="E39" s="740" t="s">
        <v>22</v>
      </c>
      <c r="F39" s="709">
        <f>F37*F36*F35*F38</f>
        <v>48</v>
      </c>
      <c r="G39" s="737" t="s">
        <v>23</v>
      </c>
      <c r="I39" s="740" t="s">
        <v>22</v>
      </c>
      <c r="J39" s="709">
        <f>J37*J36*J35*J38</f>
        <v>5</v>
      </c>
      <c r="K39" s="737" t="s">
        <v>23</v>
      </c>
      <c r="M39" s="740" t="s">
        <v>22</v>
      </c>
      <c r="N39" s="709">
        <f>N37*N36*N35*N38</f>
        <v>5</v>
      </c>
      <c r="O39" s="737" t="s">
        <v>23</v>
      </c>
      <c r="Q39" s="740" t="s">
        <v>22</v>
      </c>
      <c r="R39" s="709">
        <f>R37*R36*R35*R38</f>
        <v>0</v>
      </c>
      <c r="S39" s="737" t="s">
        <v>23</v>
      </c>
    </row>
    <row r="40" spans="1:19">
      <c r="A40" s="739" t="s">
        <v>46</v>
      </c>
      <c r="B40" s="741">
        <v>12</v>
      </c>
      <c r="C40" t="s">
        <v>25</v>
      </c>
      <c r="E40" s="739" t="s">
        <v>46</v>
      </c>
      <c r="F40" s="741">
        <v>12</v>
      </c>
      <c r="G40" t="s">
        <v>25</v>
      </c>
      <c r="I40" s="739" t="s">
        <v>46</v>
      </c>
      <c r="J40" s="741">
        <v>12</v>
      </c>
      <c r="K40" t="s">
        <v>25</v>
      </c>
      <c r="M40" s="739" t="s">
        <v>46</v>
      </c>
      <c r="N40" s="741">
        <v>12</v>
      </c>
      <c r="O40" t="s">
        <v>25</v>
      </c>
      <c r="Q40" s="739"/>
      <c r="R40" s="744"/>
    </row>
    <row r="41" spans="1:19">
      <c r="A41" s="739" t="s">
        <v>26</v>
      </c>
      <c r="B41" s="741"/>
      <c r="C41" s="829" t="s">
        <v>21</v>
      </c>
      <c r="E41" s="739" t="s">
        <v>26</v>
      </c>
      <c r="F41" s="745"/>
      <c r="G41" s="829" t="s">
        <v>21</v>
      </c>
      <c r="I41" s="739" t="s">
        <v>26</v>
      </c>
      <c r="J41" s="745"/>
      <c r="K41" s="829" t="s">
        <v>21</v>
      </c>
      <c r="M41" s="739" t="s">
        <v>26</v>
      </c>
      <c r="N41" s="745"/>
      <c r="O41" s="829" t="s">
        <v>21</v>
      </c>
      <c r="Q41" s="739"/>
      <c r="R41" s="744"/>
    </row>
    <row r="42" spans="1:19">
      <c r="A42" s="739" t="s">
        <v>27</v>
      </c>
      <c r="B42" s="746">
        <v>5</v>
      </c>
      <c r="C42" s="829"/>
      <c r="E42" s="739" t="s">
        <v>27</v>
      </c>
      <c r="F42" s="746">
        <v>5</v>
      </c>
      <c r="G42" s="829"/>
      <c r="I42" s="739" t="s">
        <v>27</v>
      </c>
      <c r="J42" s="746">
        <v>5</v>
      </c>
      <c r="K42" s="829"/>
      <c r="M42" s="739" t="s">
        <v>27</v>
      </c>
      <c r="N42" s="746">
        <v>5</v>
      </c>
      <c r="O42" s="829"/>
      <c r="Q42" s="739"/>
      <c r="R42" s="744"/>
    </row>
    <row r="43" spans="1:19">
      <c r="A43" s="739" t="s">
        <v>47</v>
      </c>
      <c r="B43" s="747"/>
      <c r="C43" s="829"/>
      <c r="E43" s="739" t="s">
        <v>48</v>
      </c>
      <c r="F43" s="747"/>
      <c r="G43" s="829"/>
      <c r="I43" s="739" t="s">
        <v>48</v>
      </c>
      <c r="J43" s="747"/>
      <c r="K43" s="829"/>
      <c r="M43" s="739" t="s">
        <v>48</v>
      </c>
      <c r="N43" s="747"/>
      <c r="O43" s="829"/>
    </row>
    <row r="44" spans="1:19">
      <c r="A44" s="739" t="s">
        <v>26</v>
      </c>
      <c r="B44" s="745"/>
      <c r="C44" s="829" t="s">
        <v>21</v>
      </c>
      <c r="E44" s="739" t="s">
        <v>26</v>
      </c>
      <c r="F44" s="745"/>
      <c r="G44" s="829" t="s">
        <v>21</v>
      </c>
      <c r="I44" s="739" t="s">
        <v>26</v>
      </c>
      <c r="J44" s="745"/>
      <c r="K44" s="829" t="s">
        <v>21</v>
      </c>
      <c r="M44" s="739" t="s">
        <v>26</v>
      </c>
      <c r="N44" s="745"/>
      <c r="O44" s="829" t="s">
        <v>21</v>
      </c>
    </row>
    <row r="45" spans="1:19">
      <c r="A45" s="739" t="s">
        <v>27</v>
      </c>
      <c r="B45" s="746">
        <v>5</v>
      </c>
      <c r="C45" s="829"/>
      <c r="E45" s="739" t="s">
        <v>27</v>
      </c>
      <c r="F45" s="746">
        <v>5</v>
      </c>
      <c r="G45" s="829"/>
      <c r="I45" s="739" t="s">
        <v>27</v>
      </c>
      <c r="J45" s="746">
        <v>5</v>
      </c>
      <c r="K45" s="829"/>
      <c r="M45" s="739" t="s">
        <v>27</v>
      </c>
      <c r="N45" s="746">
        <v>5</v>
      </c>
      <c r="O45" s="829"/>
    </row>
    <row r="46" spans="1:19">
      <c r="A46" s="739" t="s">
        <v>49</v>
      </c>
      <c r="B46" s="747"/>
      <c r="C46" s="829"/>
      <c r="E46" s="739" t="s">
        <v>50</v>
      </c>
      <c r="F46" s="747"/>
      <c r="G46" s="829"/>
      <c r="I46" s="739" t="s">
        <v>50</v>
      </c>
      <c r="J46" s="747"/>
      <c r="K46" s="829"/>
      <c r="M46" s="739" t="s">
        <v>50</v>
      </c>
      <c r="N46" s="747"/>
      <c r="O46" s="829"/>
    </row>
    <row r="47" spans="1:19">
      <c r="A47" s="739"/>
      <c r="B47" s="269"/>
    </row>
    <row r="48" spans="1:19">
      <c r="A48" s="739"/>
      <c r="B48" s="269"/>
    </row>
    <row r="49" spans="1:19">
      <c r="A49" s="739"/>
      <c r="B49" s="269"/>
    </row>
    <row r="50" spans="1:19">
      <c r="A50" s="739"/>
      <c r="B50" s="269"/>
    </row>
    <row r="51" spans="1:19">
      <c r="A51" s="739"/>
      <c r="B51" s="269"/>
    </row>
    <row r="52" spans="1:19" s="60" customFormat="1">
      <c r="A52" s="738" t="s">
        <v>51</v>
      </c>
      <c r="E52" s="738" t="s">
        <v>52</v>
      </c>
      <c r="I52" s="738" t="s">
        <v>53</v>
      </c>
      <c r="M52" s="738" t="s">
        <v>54</v>
      </c>
    </row>
    <row r="54" spans="1:19">
      <c r="A54" s="739" t="s">
        <v>55</v>
      </c>
      <c r="B54" s="645">
        <v>40</v>
      </c>
      <c r="C54" t="s">
        <v>16</v>
      </c>
      <c r="E54" s="739" t="s">
        <v>55</v>
      </c>
      <c r="F54" s="645">
        <v>50</v>
      </c>
      <c r="G54" t="s">
        <v>16</v>
      </c>
      <c r="I54" s="739" t="s">
        <v>55</v>
      </c>
      <c r="J54" s="645">
        <v>51.4</v>
      </c>
      <c r="K54" t="s">
        <v>16</v>
      </c>
      <c r="M54" s="739" t="s">
        <v>55</v>
      </c>
      <c r="N54" s="645">
        <v>51.4</v>
      </c>
      <c r="O54" t="s">
        <v>16</v>
      </c>
    </row>
    <row r="55" spans="1:19">
      <c r="A55" s="739" t="s">
        <v>18</v>
      </c>
      <c r="B55" s="645">
        <v>0.4</v>
      </c>
      <c r="C55" t="s">
        <v>16</v>
      </c>
      <c r="E55" s="739" t="s">
        <v>18</v>
      </c>
      <c r="F55" s="645">
        <v>0.3</v>
      </c>
      <c r="G55" t="s">
        <v>16</v>
      </c>
      <c r="I55" s="739" t="s">
        <v>18</v>
      </c>
      <c r="J55" s="625">
        <v>4</v>
      </c>
      <c r="K55" t="s">
        <v>16</v>
      </c>
      <c r="M55" s="739" t="s">
        <v>18</v>
      </c>
      <c r="N55" s="625">
        <v>4</v>
      </c>
      <c r="O55" t="s">
        <v>16</v>
      </c>
    </row>
    <row r="56" spans="1:19">
      <c r="A56" s="739" t="s">
        <v>45</v>
      </c>
      <c r="B56" s="645">
        <v>0.8</v>
      </c>
      <c r="C56" t="s">
        <v>16</v>
      </c>
      <c r="E56" s="739" t="s">
        <v>45</v>
      </c>
      <c r="F56" s="645">
        <v>0.4</v>
      </c>
      <c r="G56" t="s">
        <v>16</v>
      </c>
      <c r="I56" s="739" t="s">
        <v>45</v>
      </c>
      <c r="J56" s="625">
        <v>0.25</v>
      </c>
      <c r="K56" t="s">
        <v>16</v>
      </c>
      <c r="M56" s="739" t="s">
        <v>45</v>
      </c>
      <c r="N56" s="625">
        <v>0.25</v>
      </c>
      <c r="O56" t="s">
        <v>16</v>
      </c>
    </row>
    <row r="57" spans="1:19">
      <c r="A57" s="739" t="s">
        <v>20</v>
      </c>
      <c r="B57" s="645">
        <v>2</v>
      </c>
      <c r="C57" t="s">
        <v>21</v>
      </c>
      <c r="E57" s="739" t="s">
        <v>20</v>
      </c>
      <c r="F57" s="645">
        <v>4</v>
      </c>
      <c r="G57" t="s">
        <v>21</v>
      </c>
      <c r="I57" s="739" t="s">
        <v>20</v>
      </c>
      <c r="J57" s="645">
        <v>5</v>
      </c>
      <c r="K57" t="s">
        <v>21</v>
      </c>
      <c r="M57" s="739" t="s">
        <v>20</v>
      </c>
      <c r="N57" s="645">
        <v>5</v>
      </c>
      <c r="O57" t="s">
        <v>21</v>
      </c>
      <c r="Q57" s="739" t="s">
        <v>20</v>
      </c>
      <c r="R57" s="625"/>
      <c r="S57" t="s">
        <v>21</v>
      </c>
    </row>
    <row r="58" spans="1:19">
      <c r="A58" s="748" t="s">
        <v>56</v>
      </c>
      <c r="B58" s="645">
        <v>1.3</v>
      </c>
      <c r="C58" t="s">
        <v>16</v>
      </c>
      <c r="E58" s="748" t="s">
        <v>56</v>
      </c>
      <c r="F58" s="645">
        <v>1.3</v>
      </c>
      <c r="G58" t="s">
        <v>16</v>
      </c>
      <c r="I58" s="748" t="s">
        <v>56</v>
      </c>
      <c r="J58" s="645">
        <v>0.6</v>
      </c>
      <c r="K58" t="s">
        <v>16</v>
      </c>
      <c r="M58" s="748" t="s">
        <v>56</v>
      </c>
      <c r="N58" s="645">
        <v>0.6</v>
      </c>
      <c r="O58" t="s">
        <v>16</v>
      </c>
      <c r="Q58" s="739"/>
    </row>
    <row r="59" spans="1:19" s="737" customFormat="1">
      <c r="A59" s="740" t="s">
        <v>22</v>
      </c>
      <c r="B59" s="709">
        <f>B56*B55*B54*B57</f>
        <v>25.600000000000005</v>
      </c>
      <c r="C59" s="737" t="s">
        <v>23</v>
      </c>
      <c r="E59" s="740" t="s">
        <v>22</v>
      </c>
      <c r="F59" s="709">
        <f>F56*F55*F54*F57</f>
        <v>24</v>
      </c>
      <c r="G59" s="737" t="s">
        <v>23</v>
      </c>
      <c r="I59" s="740" t="s">
        <v>22</v>
      </c>
      <c r="J59" s="709">
        <f>J56*J55*J54*J57</f>
        <v>257</v>
      </c>
      <c r="K59" s="737" t="s">
        <v>23</v>
      </c>
      <c r="M59" s="740" t="s">
        <v>22</v>
      </c>
      <c r="N59" s="709">
        <f>N56*N55*N54*N57</f>
        <v>257</v>
      </c>
      <c r="O59" s="737" t="s">
        <v>23</v>
      </c>
    </row>
    <row r="60" spans="1:19">
      <c r="A60" s="739"/>
      <c r="B60" s="744"/>
      <c r="E60" s="739"/>
      <c r="F60" s="744"/>
      <c r="I60" s="739"/>
      <c r="J60" s="744"/>
      <c r="M60" s="739"/>
      <c r="N60" s="744"/>
    </row>
    <row r="61" spans="1:19">
      <c r="A61" t="s">
        <v>57</v>
      </c>
      <c r="B61" s="744"/>
      <c r="E61" t="s">
        <v>57</v>
      </c>
      <c r="F61" s="744"/>
      <c r="I61" t="s">
        <v>57</v>
      </c>
      <c r="J61" s="744"/>
      <c r="M61" t="s">
        <v>57</v>
      </c>
      <c r="N61" s="744"/>
    </row>
    <row r="62" spans="1:19">
      <c r="B62" s="744"/>
      <c r="F62" s="744"/>
      <c r="J62" s="744"/>
      <c r="N62" s="744"/>
    </row>
    <row r="63" spans="1:19">
      <c r="A63" s="739" t="s">
        <v>58</v>
      </c>
      <c r="B63" s="645">
        <v>10</v>
      </c>
      <c r="C63" t="s">
        <v>21</v>
      </c>
      <c r="E63" s="739" t="s">
        <v>58</v>
      </c>
      <c r="F63" s="645">
        <v>5</v>
      </c>
      <c r="G63" t="s">
        <v>21</v>
      </c>
      <c r="I63" s="739" t="s">
        <v>58</v>
      </c>
      <c r="J63" s="645">
        <v>4</v>
      </c>
      <c r="K63" t="s">
        <v>21</v>
      </c>
      <c r="M63" s="739" t="s">
        <v>58</v>
      </c>
      <c r="N63" s="645">
        <v>4</v>
      </c>
      <c r="O63" t="s">
        <v>21</v>
      </c>
    </row>
    <row r="64" spans="1:19">
      <c r="A64" s="739" t="s">
        <v>59</v>
      </c>
      <c r="B64" s="645">
        <v>20</v>
      </c>
      <c r="C64" t="s">
        <v>25</v>
      </c>
      <c r="E64" s="739" t="s">
        <v>59</v>
      </c>
      <c r="F64" s="645">
        <v>20</v>
      </c>
      <c r="G64" t="s">
        <v>25</v>
      </c>
      <c r="I64" s="739" t="s">
        <v>59</v>
      </c>
      <c r="J64" s="645">
        <v>12</v>
      </c>
      <c r="K64" t="s">
        <v>25</v>
      </c>
      <c r="M64" s="739" t="s">
        <v>59</v>
      </c>
      <c r="N64" s="645">
        <v>12</v>
      </c>
      <c r="O64" t="s">
        <v>25</v>
      </c>
    </row>
    <row r="65" spans="1:16">
      <c r="A65" s="739"/>
      <c r="B65" s="744"/>
      <c r="E65" s="739"/>
      <c r="F65" s="744"/>
      <c r="I65" s="739"/>
      <c r="J65" s="744"/>
      <c r="M65" s="739"/>
      <c r="N65" s="744"/>
    </row>
    <row r="66" spans="1:16">
      <c r="A66" t="s">
        <v>60</v>
      </c>
      <c r="B66" s="744"/>
      <c r="E66" t="s">
        <v>60</v>
      </c>
      <c r="F66" s="744"/>
      <c r="I66" t="s">
        <v>60</v>
      </c>
      <c r="J66" s="744"/>
      <c r="M66" t="s">
        <v>60</v>
      </c>
      <c r="N66" s="744"/>
    </row>
    <row r="67" spans="1:16">
      <c r="A67" s="739"/>
      <c r="B67" s="744"/>
      <c r="E67" s="739"/>
      <c r="F67" s="744"/>
      <c r="I67" s="739"/>
      <c r="J67" s="744"/>
      <c r="M67" s="739"/>
      <c r="N67" s="744"/>
    </row>
    <row r="68" spans="1:16">
      <c r="A68" s="739" t="s">
        <v>59</v>
      </c>
      <c r="B68" s="645">
        <v>16</v>
      </c>
      <c r="C68" t="s">
        <v>25</v>
      </c>
      <c r="E68" s="739" t="s">
        <v>59</v>
      </c>
      <c r="F68" s="645">
        <v>16</v>
      </c>
      <c r="G68" t="s">
        <v>25</v>
      </c>
      <c r="I68" s="739" t="s">
        <v>59</v>
      </c>
      <c r="J68" s="645">
        <v>12</v>
      </c>
      <c r="K68" t="s">
        <v>25</v>
      </c>
      <c r="M68" s="739" t="s">
        <v>59</v>
      </c>
      <c r="N68" s="645">
        <v>12</v>
      </c>
      <c r="O68" t="s">
        <v>25</v>
      </c>
    </row>
    <row r="69" spans="1:16" s="737" customFormat="1">
      <c r="A69" s="833" t="s">
        <v>61</v>
      </c>
      <c r="B69" s="834"/>
      <c r="C69" s="709">
        <f>B54/4</f>
        <v>10</v>
      </c>
      <c r="D69" s="737" t="s">
        <v>16</v>
      </c>
      <c r="E69" s="833" t="s">
        <v>61</v>
      </c>
      <c r="F69" s="834"/>
      <c r="G69" s="709">
        <f>F54/4</f>
        <v>12.5</v>
      </c>
      <c r="H69" s="737" t="s">
        <v>16</v>
      </c>
      <c r="I69" s="833" t="s">
        <v>61</v>
      </c>
      <c r="J69" s="834"/>
      <c r="K69" s="709">
        <f>J54/4</f>
        <v>12.85</v>
      </c>
      <c r="L69" s="737" t="s">
        <v>16</v>
      </c>
      <c r="M69" s="833" t="s">
        <v>61</v>
      </c>
      <c r="N69" s="834"/>
      <c r="O69" s="709">
        <f>N54/4</f>
        <v>12.85</v>
      </c>
      <c r="P69" s="737" t="s">
        <v>16</v>
      </c>
    </row>
    <row r="70" spans="1:16">
      <c r="A70" s="517" t="s">
        <v>62</v>
      </c>
      <c r="B70" s="749"/>
      <c r="C70" s="645">
        <v>2</v>
      </c>
      <c r="D70" t="s">
        <v>16</v>
      </c>
      <c r="E70" s="517" t="s">
        <v>62</v>
      </c>
      <c r="F70" s="749"/>
      <c r="G70" s="645">
        <v>2</v>
      </c>
      <c r="H70" t="s">
        <v>16</v>
      </c>
      <c r="I70" s="517" t="s">
        <v>62</v>
      </c>
      <c r="J70" s="749"/>
      <c r="K70" s="645">
        <v>4</v>
      </c>
      <c r="L70" t="s">
        <v>16</v>
      </c>
      <c r="M70" s="517" t="s">
        <v>62</v>
      </c>
      <c r="N70" s="749"/>
      <c r="O70" s="645">
        <v>4</v>
      </c>
      <c r="P70" t="s">
        <v>16</v>
      </c>
    </row>
    <row r="71" spans="1:16" s="737" customFormat="1">
      <c r="A71" s="835" t="s">
        <v>63</v>
      </c>
      <c r="B71" s="836"/>
      <c r="C71" s="709">
        <f>B54-((B54/8)*(2))</f>
        <v>30</v>
      </c>
      <c r="D71" s="737" t="s">
        <v>16</v>
      </c>
      <c r="E71" s="835" t="s">
        <v>63</v>
      </c>
      <c r="F71" s="836"/>
      <c r="G71" s="709">
        <f>F54-((F54/8)*(2))</f>
        <v>37.5</v>
      </c>
      <c r="H71" s="737" t="s">
        <v>16</v>
      </c>
      <c r="I71" s="835" t="s">
        <v>63</v>
      </c>
      <c r="J71" s="836"/>
      <c r="K71" s="709">
        <f>J54-((J54/8)*(2))</f>
        <v>38.549999999999997</v>
      </c>
      <c r="L71" s="737" t="s">
        <v>16</v>
      </c>
      <c r="M71" s="835" t="s">
        <v>63</v>
      </c>
      <c r="N71" s="836"/>
      <c r="O71" s="709">
        <f>N54-((N54/8)*(2))</f>
        <v>38.549999999999997</v>
      </c>
      <c r="P71" s="737" t="s">
        <v>16</v>
      </c>
    </row>
    <row r="72" spans="1:16">
      <c r="A72" s="517" t="s">
        <v>64</v>
      </c>
      <c r="B72" s="749"/>
      <c r="C72" s="645">
        <v>2</v>
      </c>
      <c r="D72" t="s">
        <v>16</v>
      </c>
      <c r="E72" s="517" t="s">
        <v>64</v>
      </c>
      <c r="F72" s="749"/>
      <c r="G72" s="645">
        <v>2</v>
      </c>
      <c r="H72" t="s">
        <v>16</v>
      </c>
      <c r="I72" s="517" t="s">
        <v>64</v>
      </c>
      <c r="J72" s="749"/>
      <c r="K72" s="645">
        <v>1</v>
      </c>
      <c r="L72" t="s">
        <v>16</v>
      </c>
      <c r="M72" s="517" t="s">
        <v>64</v>
      </c>
      <c r="N72" s="749"/>
      <c r="O72" s="645">
        <v>1</v>
      </c>
      <c r="P72" t="s">
        <v>16</v>
      </c>
    </row>
    <row r="73" spans="1:16">
      <c r="A73" s="517"/>
      <c r="B73" s="517"/>
      <c r="C73" s="744"/>
      <c r="E73" s="517"/>
      <c r="F73" s="517"/>
      <c r="G73" s="744"/>
      <c r="I73" s="517"/>
      <c r="J73" s="517"/>
      <c r="K73" s="744"/>
      <c r="M73" s="517"/>
      <c r="N73" s="517"/>
      <c r="O73" s="744"/>
    </row>
    <row r="74" spans="1:16">
      <c r="A74" s="739" t="s">
        <v>65</v>
      </c>
      <c r="B74" s="744"/>
      <c r="E74" s="739" t="s">
        <v>65</v>
      </c>
      <c r="F74" s="744"/>
      <c r="I74" s="739" t="s">
        <v>65</v>
      </c>
      <c r="J74" s="744"/>
      <c r="M74" s="739" t="s">
        <v>65</v>
      </c>
      <c r="N74" s="744"/>
    </row>
    <row r="75" spans="1:16">
      <c r="A75" s="739" t="s">
        <v>24</v>
      </c>
      <c r="B75" s="741">
        <v>10</v>
      </c>
      <c r="C75" t="s">
        <v>25</v>
      </c>
      <c r="E75" s="739" t="s">
        <v>24</v>
      </c>
      <c r="F75" s="741">
        <v>10</v>
      </c>
      <c r="G75" t="s">
        <v>25</v>
      </c>
      <c r="I75" s="739" t="s">
        <v>24</v>
      </c>
      <c r="J75" s="741">
        <v>10</v>
      </c>
      <c r="K75" t="s">
        <v>25</v>
      </c>
      <c r="M75" s="739" t="s">
        <v>24</v>
      </c>
      <c r="N75" s="741">
        <v>10</v>
      </c>
      <c r="O75" t="s">
        <v>25</v>
      </c>
    </row>
    <row r="76" spans="1:16">
      <c r="A76" s="739" t="s">
        <v>30</v>
      </c>
      <c r="B76" s="645">
        <v>10</v>
      </c>
      <c r="C76" s="739" t="s">
        <v>31</v>
      </c>
      <c r="D76" s="645">
        <v>0.05</v>
      </c>
      <c r="E76" s="739" t="s">
        <v>30</v>
      </c>
      <c r="F76" s="645">
        <v>10</v>
      </c>
      <c r="G76" s="739" t="s">
        <v>31</v>
      </c>
      <c r="H76" s="645">
        <v>0.05</v>
      </c>
      <c r="I76" s="739" t="s">
        <v>30</v>
      </c>
      <c r="J76" s="645">
        <v>10</v>
      </c>
      <c r="K76" s="739" t="s">
        <v>31</v>
      </c>
      <c r="L76" s="645">
        <v>0.05</v>
      </c>
      <c r="M76" s="739" t="s">
        <v>30</v>
      </c>
      <c r="N76" s="645">
        <v>10</v>
      </c>
      <c r="O76" s="739" t="s">
        <v>31</v>
      </c>
      <c r="P76" s="645">
        <v>0.05</v>
      </c>
    </row>
    <row r="77" spans="1:16">
      <c r="A77" s="739" t="s">
        <v>32</v>
      </c>
      <c r="B77" s="645">
        <v>10</v>
      </c>
      <c r="C77" s="739" t="s">
        <v>33</v>
      </c>
      <c r="D77" s="645">
        <v>0.1</v>
      </c>
      <c r="E77" s="739" t="s">
        <v>32</v>
      </c>
      <c r="F77" s="645">
        <v>10</v>
      </c>
      <c r="G77" s="739" t="s">
        <v>33</v>
      </c>
      <c r="H77" s="645">
        <v>0.1</v>
      </c>
      <c r="I77" s="739" t="s">
        <v>32</v>
      </c>
      <c r="J77" s="645">
        <v>10</v>
      </c>
      <c r="K77" s="739" t="s">
        <v>33</v>
      </c>
      <c r="L77" s="645">
        <v>0.1</v>
      </c>
      <c r="M77" s="739" t="s">
        <v>32</v>
      </c>
      <c r="N77" s="645">
        <v>10</v>
      </c>
      <c r="O77" s="739" t="s">
        <v>33</v>
      </c>
      <c r="P77" s="645">
        <v>0.1</v>
      </c>
    </row>
    <row r="78" spans="1:16">
      <c r="A78" s="739" t="s">
        <v>34</v>
      </c>
      <c r="B78" s="645">
        <v>10</v>
      </c>
      <c r="C78" s="739" t="s">
        <v>35</v>
      </c>
      <c r="D78" s="645">
        <v>0.15</v>
      </c>
      <c r="E78" s="739" t="s">
        <v>34</v>
      </c>
      <c r="F78" s="645">
        <v>10</v>
      </c>
      <c r="G78" s="739" t="s">
        <v>35</v>
      </c>
      <c r="H78" s="645">
        <v>0.15</v>
      </c>
      <c r="I78" s="739" t="s">
        <v>34</v>
      </c>
      <c r="J78" s="645">
        <v>10</v>
      </c>
      <c r="K78" s="739" t="s">
        <v>35</v>
      </c>
      <c r="L78" s="645">
        <v>0.15</v>
      </c>
      <c r="M78" s="739" t="s">
        <v>34</v>
      </c>
      <c r="N78" s="645">
        <v>10</v>
      </c>
      <c r="O78" s="739" t="s">
        <v>35</v>
      </c>
      <c r="P78" s="645">
        <v>0.15</v>
      </c>
    </row>
    <row r="79" spans="1:16">
      <c r="A79" s="739" t="s">
        <v>36</v>
      </c>
      <c r="B79" s="645">
        <v>0</v>
      </c>
      <c r="C79" s="739" t="s">
        <v>37</v>
      </c>
      <c r="D79" s="645">
        <v>0</v>
      </c>
      <c r="E79" s="739" t="s">
        <v>36</v>
      </c>
      <c r="F79" s="645">
        <v>0</v>
      </c>
      <c r="G79" s="739" t="s">
        <v>37</v>
      </c>
      <c r="H79" s="645">
        <v>0</v>
      </c>
      <c r="I79" s="739" t="s">
        <v>36</v>
      </c>
      <c r="J79" s="645">
        <v>10</v>
      </c>
      <c r="K79" s="739" t="s">
        <v>37</v>
      </c>
      <c r="L79" s="645">
        <v>0.2</v>
      </c>
      <c r="M79" s="739" t="s">
        <v>36</v>
      </c>
      <c r="N79" s="645">
        <v>10</v>
      </c>
      <c r="O79" s="739" t="s">
        <v>37</v>
      </c>
      <c r="P79" s="645">
        <v>0.2</v>
      </c>
    </row>
    <row r="80" spans="1:16">
      <c r="A80" s="739"/>
      <c r="B80" s="744"/>
      <c r="C80" s="739" t="s">
        <v>38</v>
      </c>
      <c r="D80" s="645">
        <v>0.2</v>
      </c>
      <c r="E80" s="739"/>
      <c r="F80" s="744"/>
      <c r="G80" s="739" t="s">
        <v>38</v>
      </c>
      <c r="H80" s="645">
        <v>0.2</v>
      </c>
      <c r="I80" s="739"/>
      <c r="J80" s="744"/>
      <c r="K80" s="739" t="s">
        <v>38</v>
      </c>
      <c r="L80" s="645">
        <v>0.25</v>
      </c>
      <c r="M80" s="739"/>
      <c r="N80" s="744"/>
      <c r="O80" s="739" t="s">
        <v>38</v>
      </c>
      <c r="P80" s="645">
        <v>0.25</v>
      </c>
    </row>
    <row r="81" spans="1:19">
      <c r="A81" s="269"/>
      <c r="B81" s="269"/>
      <c r="C81" s="744"/>
    </row>
    <row r="82" spans="1:19" s="60" customFormat="1">
      <c r="A82" s="738" t="s">
        <v>66</v>
      </c>
      <c r="E82" s="738" t="s">
        <v>67</v>
      </c>
      <c r="I82" s="738" t="s">
        <v>68</v>
      </c>
      <c r="M82" s="738" t="s">
        <v>69</v>
      </c>
    </row>
    <row r="84" spans="1:19">
      <c r="A84" s="739" t="s">
        <v>55</v>
      </c>
      <c r="B84" s="645">
        <v>51.4</v>
      </c>
      <c r="C84" t="s">
        <v>16</v>
      </c>
      <c r="E84" s="739" t="s">
        <v>55</v>
      </c>
      <c r="F84" s="645">
        <v>51.4</v>
      </c>
      <c r="G84" t="s">
        <v>16</v>
      </c>
      <c r="I84" s="739" t="s">
        <v>55</v>
      </c>
      <c r="J84" s="645">
        <v>51.4</v>
      </c>
      <c r="K84" t="s">
        <v>16</v>
      </c>
      <c r="M84" s="739" t="s">
        <v>55</v>
      </c>
      <c r="N84" s="645">
        <v>51.4</v>
      </c>
      <c r="O84" t="s">
        <v>16</v>
      </c>
    </row>
    <row r="85" spans="1:19">
      <c r="A85" s="739" t="s">
        <v>18</v>
      </c>
      <c r="B85" s="645">
        <v>4</v>
      </c>
      <c r="C85" t="s">
        <v>16</v>
      </c>
      <c r="E85" s="739" t="s">
        <v>18</v>
      </c>
      <c r="F85" s="645">
        <v>4</v>
      </c>
      <c r="G85" t="s">
        <v>16</v>
      </c>
      <c r="I85" s="739" t="s">
        <v>18</v>
      </c>
      <c r="J85" s="645">
        <v>4</v>
      </c>
      <c r="K85" t="s">
        <v>16</v>
      </c>
      <c r="M85" s="739" t="s">
        <v>18</v>
      </c>
      <c r="N85" s="645">
        <v>4</v>
      </c>
      <c r="O85" t="s">
        <v>16</v>
      </c>
    </row>
    <row r="86" spans="1:19">
      <c r="A86" s="739" t="s">
        <v>45</v>
      </c>
      <c r="B86" s="645">
        <v>0.25</v>
      </c>
      <c r="C86" t="s">
        <v>16</v>
      </c>
      <c r="E86" s="739" t="s">
        <v>45</v>
      </c>
      <c r="F86" s="645">
        <v>0.25</v>
      </c>
      <c r="G86" t="s">
        <v>16</v>
      </c>
      <c r="I86" s="739" t="s">
        <v>45</v>
      </c>
      <c r="J86" s="645">
        <v>0.25</v>
      </c>
      <c r="K86" t="s">
        <v>16</v>
      </c>
      <c r="M86" s="739" t="s">
        <v>45</v>
      </c>
      <c r="N86" s="645">
        <v>0.25</v>
      </c>
      <c r="O86" t="s">
        <v>16</v>
      </c>
    </row>
    <row r="87" spans="1:19">
      <c r="A87" s="739" t="s">
        <v>20</v>
      </c>
      <c r="B87" s="645">
        <v>5</v>
      </c>
      <c r="C87" t="s">
        <v>21</v>
      </c>
      <c r="E87" s="739" t="s">
        <v>20</v>
      </c>
      <c r="F87" s="645">
        <v>5</v>
      </c>
      <c r="G87" t="s">
        <v>21</v>
      </c>
      <c r="I87" s="739" t="s">
        <v>20</v>
      </c>
      <c r="J87" s="645">
        <v>5</v>
      </c>
      <c r="K87" t="s">
        <v>21</v>
      </c>
      <c r="M87" s="739" t="s">
        <v>20</v>
      </c>
      <c r="N87" s="645">
        <v>5</v>
      </c>
      <c r="O87" t="s">
        <v>21</v>
      </c>
      <c r="Q87" s="739" t="s">
        <v>20</v>
      </c>
      <c r="R87" s="625"/>
      <c r="S87" t="s">
        <v>21</v>
      </c>
    </row>
    <row r="88" spans="1:19" s="737" customFormat="1">
      <c r="A88" s="740" t="s">
        <v>22</v>
      </c>
      <c r="B88" s="709">
        <f>B86*B85*B84*B87</f>
        <v>257</v>
      </c>
      <c r="C88" s="737" t="s">
        <v>23</v>
      </c>
      <c r="E88" s="740" t="s">
        <v>22</v>
      </c>
      <c r="F88" s="709">
        <f>F86*F85*F84*F87</f>
        <v>257</v>
      </c>
      <c r="G88" s="737" t="s">
        <v>23</v>
      </c>
      <c r="I88" s="740" t="s">
        <v>22</v>
      </c>
      <c r="J88" s="709">
        <f>J86*J85*J84*J87</f>
        <v>257</v>
      </c>
      <c r="K88" s="737" t="s">
        <v>23</v>
      </c>
      <c r="M88" s="740" t="s">
        <v>22</v>
      </c>
      <c r="N88" s="709">
        <f>N86*N85*N84*N87</f>
        <v>257</v>
      </c>
      <c r="O88" s="737" t="s">
        <v>23</v>
      </c>
    </row>
    <row r="89" spans="1:19">
      <c r="A89" s="739"/>
      <c r="B89" s="744"/>
      <c r="E89" s="739"/>
      <c r="F89" s="744"/>
      <c r="I89" s="739"/>
      <c r="J89" s="744"/>
      <c r="M89" s="739"/>
      <c r="N89" s="744"/>
    </row>
    <row r="90" spans="1:19">
      <c r="A90" t="s">
        <v>57</v>
      </c>
      <c r="B90" s="744"/>
      <c r="E90" t="s">
        <v>57</v>
      </c>
      <c r="F90" s="744"/>
      <c r="I90" t="s">
        <v>57</v>
      </c>
      <c r="J90" s="744"/>
      <c r="M90" t="s">
        <v>57</v>
      </c>
      <c r="N90" s="744"/>
    </row>
    <row r="91" spans="1:19">
      <c r="B91" s="744"/>
      <c r="F91" s="744"/>
      <c r="J91" s="744"/>
      <c r="N91" s="744"/>
    </row>
    <row r="92" spans="1:19">
      <c r="A92" s="739" t="s">
        <v>58</v>
      </c>
      <c r="B92" s="645">
        <v>4</v>
      </c>
      <c r="C92" t="s">
        <v>21</v>
      </c>
      <c r="E92" s="739" t="s">
        <v>58</v>
      </c>
      <c r="F92" s="645">
        <v>4</v>
      </c>
      <c r="G92" t="s">
        <v>21</v>
      </c>
      <c r="I92" s="739" t="s">
        <v>58</v>
      </c>
      <c r="J92" s="645">
        <v>4</v>
      </c>
      <c r="K92" t="s">
        <v>21</v>
      </c>
      <c r="M92" s="739" t="s">
        <v>58</v>
      </c>
      <c r="N92" s="645">
        <v>4</v>
      </c>
      <c r="O92" t="s">
        <v>21</v>
      </c>
    </row>
    <row r="93" spans="1:19">
      <c r="A93" s="739" t="s">
        <v>59</v>
      </c>
      <c r="B93" s="645">
        <v>12</v>
      </c>
      <c r="C93" t="s">
        <v>25</v>
      </c>
      <c r="E93" s="739" t="s">
        <v>59</v>
      </c>
      <c r="F93" s="645">
        <v>12</v>
      </c>
      <c r="G93" t="s">
        <v>25</v>
      </c>
      <c r="I93" s="739" t="s">
        <v>59</v>
      </c>
      <c r="J93" s="645">
        <v>12</v>
      </c>
      <c r="K93" t="s">
        <v>25</v>
      </c>
      <c r="M93" s="739" t="s">
        <v>59</v>
      </c>
      <c r="N93" s="645">
        <v>12</v>
      </c>
      <c r="O93" t="s">
        <v>25</v>
      </c>
    </row>
    <row r="94" spans="1:19">
      <c r="A94" s="739"/>
      <c r="B94" s="744"/>
      <c r="E94" s="739"/>
      <c r="F94" s="744"/>
      <c r="I94" s="739"/>
      <c r="J94" s="744"/>
      <c r="M94" s="739"/>
      <c r="N94" s="744"/>
    </row>
    <row r="95" spans="1:19">
      <c r="A95" t="s">
        <v>60</v>
      </c>
      <c r="B95" s="744"/>
      <c r="E95" t="s">
        <v>60</v>
      </c>
      <c r="F95" s="744"/>
      <c r="I95" t="s">
        <v>60</v>
      </c>
      <c r="J95" s="744"/>
      <c r="M95" t="s">
        <v>60</v>
      </c>
      <c r="N95" s="744"/>
    </row>
    <row r="96" spans="1:19">
      <c r="A96" s="739"/>
      <c r="B96" s="744"/>
      <c r="E96" s="739"/>
      <c r="F96" s="744"/>
      <c r="I96" s="739"/>
      <c r="J96" s="744"/>
      <c r="M96" s="739"/>
      <c r="N96" s="744"/>
    </row>
    <row r="97" spans="1:16">
      <c r="A97" s="739" t="s">
        <v>59</v>
      </c>
      <c r="B97" s="645">
        <v>12</v>
      </c>
      <c r="C97" t="s">
        <v>25</v>
      </c>
      <c r="E97" s="739" t="s">
        <v>59</v>
      </c>
      <c r="F97" s="645">
        <v>12</v>
      </c>
      <c r="G97" t="s">
        <v>25</v>
      </c>
      <c r="I97" s="739" t="s">
        <v>59</v>
      </c>
      <c r="J97" s="645">
        <v>12</v>
      </c>
      <c r="K97" t="s">
        <v>25</v>
      </c>
      <c r="M97" s="739" t="s">
        <v>59</v>
      </c>
      <c r="N97" s="645">
        <v>12</v>
      </c>
      <c r="O97" t="s">
        <v>25</v>
      </c>
    </row>
    <row r="98" spans="1:16" s="737" customFormat="1">
      <c r="A98" s="833" t="s">
        <v>61</v>
      </c>
      <c r="B98" s="834"/>
      <c r="C98" s="709">
        <f>B84/4</f>
        <v>12.85</v>
      </c>
      <c r="D98" s="737" t="s">
        <v>16</v>
      </c>
      <c r="E98" s="833" t="s">
        <v>61</v>
      </c>
      <c r="F98" s="834"/>
      <c r="G98" s="709">
        <f>F84/4</f>
        <v>12.85</v>
      </c>
      <c r="H98" s="737" t="s">
        <v>16</v>
      </c>
      <c r="I98" s="833" t="s">
        <v>61</v>
      </c>
      <c r="J98" s="834"/>
      <c r="K98" s="709">
        <f>J84/4</f>
        <v>12.85</v>
      </c>
      <c r="L98" s="737" t="s">
        <v>16</v>
      </c>
      <c r="M98" s="833" t="s">
        <v>61</v>
      </c>
      <c r="N98" s="834"/>
      <c r="O98" s="709">
        <f>N84/4</f>
        <v>12.85</v>
      </c>
      <c r="P98" s="737" t="s">
        <v>16</v>
      </c>
    </row>
    <row r="99" spans="1:16">
      <c r="A99" s="517" t="s">
        <v>62</v>
      </c>
      <c r="B99" s="749"/>
      <c r="C99" s="645">
        <v>4</v>
      </c>
      <c r="D99" t="s">
        <v>16</v>
      </c>
      <c r="E99" s="517" t="s">
        <v>62</v>
      </c>
      <c r="F99" s="749"/>
      <c r="G99" s="645">
        <v>4</v>
      </c>
      <c r="H99" t="s">
        <v>16</v>
      </c>
      <c r="I99" s="517" t="s">
        <v>62</v>
      </c>
      <c r="J99" s="749"/>
      <c r="K99" s="645">
        <v>4</v>
      </c>
      <c r="L99" t="s">
        <v>16</v>
      </c>
      <c r="M99" s="517" t="s">
        <v>62</v>
      </c>
      <c r="N99" s="749"/>
      <c r="O99" s="645">
        <v>4</v>
      </c>
      <c r="P99" t="s">
        <v>16</v>
      </c>
    </row>
    <row r="100" spans="1:16" s="737" customFormat="1">
      <c r="A100" s="835" t="s">
        <v>63</v>
      </c>
      <c r="B100" s="836"/>
      <c r="C100" s="709">
        <f>B84-((B84/8)*(2))</f>
        <v>38.549999999999997</v>
      </c>
      <c r="D100" s="737" t="s">
        <v>16</v>
      </c>
      <c r="E100" s="835" t="s">
        <v>63</v>
      </c>
      <c r="F100" s="836"/>
      <c r="G100" s="709">
        <f>F84-((F84/8)*(2))</f>
        <v>38.549999999999997</v>
      </c>
      <c r="H100" s="737" t="s">
        <v>16</v>
      </c>
      <c r="I100" s="835" t="s">
        <v>63</v>
      </c>
      <c r="J100" s="836"/>
      <c r="K100" s="709">
        <f>J84-((J84/8)*(2))</f>
        <v>38.549999999999997</v>
      </c>
      <c r="L100" s="737" t="s">
        <v>16</v>
      </c>
      <c r="M100" s="835" t="s">
        <v>63</v>
      </c>
      <c r="N100" s="836"/>
      <c r="O100" s="709">
        <f>N84-((N84/8)*(2))</f>
        <v>38.549999999999997</v>
      </c>
      <c r="P100" s="737" t="s">
        <v>16</v>
      </c>
    </row>
    <row r="101" spans="1:16">
      <c r="A101" s="517" t="s">
        <v>64</v>
      </c>
      <c r="B101" s="749"/>
      <c r="C101" s="645">
        <v>1</v>
      </c>
      <c r="D101" t="s">
        <v>16</v>
      </c>
      <c r="E101" s="517" t="s">
        <v>64</v>
      </c>
      <c r="F101" s="749"/>
      <c r="G101" s="645">
        <v>1</v>
      </c>
      <c r="H101" t="s">
        <v>16</v>
      </c>
      <c r="I101" s="517" t="s">
        <v>64</v>
      </c>
      <c r="J101" s="749"/>
      <c r="K101" s="645">
        <v>1</v>
      </c>
      <c r="L101" t="s">
        <v>16</v>
      </c>
      <c r="M101" s="517" t="s">
        <v>64</v>
      </c>
      <c r="N101" s="749"/>
      <c r="O101" s="645">
        <v>1</v>
      </c>
      <c r="P101" t="s">
        <v>16</v>
      </c>
    </row>
    <row r="102" spans="1:16">
      <c r="A102" s="517"/>
      <c r="B102" s="517"/>
      <c r="C102" s="744"/>
      <c r="E102" s="517"/>
      <c r="F102" s="517"/>
      <c r="G102" s="744"/>
      <c r="I102" s="517"/>
      <c r="J102" s="517"/>
      <c r="K102" s="744"/>
      <c r="M102" s="517"/>
      <c r="N102" s="517"/>
      <c r="O102" s="744"/>
    </row>
    <row r="103" spans="1:16">
      <c r="A103" s="739" t="s">
        <v>65</v>
      </c>
      <c r="B103" s="744"/>
      <c r="E103" s="739" t="s">
        <v>65</v>
      </c>
      <c r="F103" s="744"/>
      <c r="I103" s="739" t="s">
        <v>65</v>
      </c>
      <c r="J103" s="744"/>
      <c r="M103" s="739" t="s">
        <v>65</v>
      </c>
      <c r="N103" s="744"/>
    </row>
    <row r="104" spans="1:16">
      <c r="A104" s="739" t="s">
        <v>24</v>
      </c>
      <c r="B104" s="741">
        <v>10</v>
      </c>
      <c r="C104" t="s">
        <v>25</v>
      </c>
      <c r="E104" s="739" t="s">
        <v>24</v>
      </c>
      <c r="F104" s="741">
        <v>10</v>
      </c>
      <c r="G104" t="s">
        <v>25</v>
      </c>
      <c r="I104" s="739" t="s">
        <v>24</v>
      </c>
      <c r="J104" s="741">
        <v>10</v>
      </c>
      <c r="K104" t="s">
        <v>25</v>
      </c>
      <c r="M104" s="739" t="s">
        <v>24</v>
      </c>
      <c r="N104" s="741">
        <v>10</v>
      </c>
      <c r="O104" t="s">
        <v>25</v>
      </c>
    </row>
    <row r="105" spans="1:16">
      <c r="A105" s="739" t="s">
        <v>30</v>
      </c>
      <c r="B105" s="645">
        <v>10</v>
      </c>
      <c r="C105" s="739" t="s">
        <v>31</v>
      </c>
      <c r="D105" s="645">
        <v>0.05</v>
      </c>
      <c r="E105" s="739" t="s">
        <v>30</v>
      </c>
      <c r="F105" s="645">
        <v>10</v>
      </c>
      <c r="G105" s="739" t="s">
        <v>31</v>
      </c>
      <c r="H105" s="645">
        <v>0.05</v>
      </c>
      <c r="I105" s="739" t="s">
        <v>30</v>
      </c>
      <c r="J105" s="645">
        <v>10</v>
      </c>
      <c r="K105" s="739" t="s">
        <v>31</v>
      </c>
      <c r="L105" s="645">
        <v>0.05</v>
      </c>
      <c r="M105" s="739" t="s">
        <v>30</v>
      </c>
      <c r="N105" s="645">
        <v>10</v>
      </c>
      <c r="O105" s="739" t="s">
        <v>31</v>
      </c>
      <c r="P105" s="645">
        <v>0.05</v>
      </c>
    </row>
    <row r="106" spans="1:16">
      <c r="A106" s="739" t="s">
        <v>32</v>
      </c>
      <c r="B106" s="645">
        <v>10</v>
      </c>
      <c r="C106" s="739" t="s">
        <v>33</v>
      </c>
      <c r="D106" s="645">
        <v>0.1</v>
      </c>
      <c r="E106" s="739" t="s">
        <v>32</v>
      </c>
      <c r="F106" s="645">
        <v>10</v>
      </c>
      <c r="G106" s="739" t="s">
        <v>33</v>
      </c>
      <c r="H106" s="645">
        <v>0.1</v>
      </c>
      <c r="I106" s="739" t="s">
        <v>32</v>
      </c>
      <c r="J106" s="645">
        <v>10</v>
      </c>
      <c r="K106" s="739" t="s">
        <v>33</v>
      </c>
      <c r="L106" s="645">
        <v>0.1</v>
      </c>
      <c r="M106" s="739" t="s">
        <v>32</v>
      </c>
      <c r="N106" s="645">
        <v>10</v>
      </c>
      <c r="O106" s="739" t="s">
        <v>33</v>
      </c>
      <c r="P106" s="645">
        <v>0.1</v>
      </c>
    </row>
    <row r="107" spans="1:16">
      <c r="A107" s="739" t="s">
        <v>34</v>
      </c>
      <c r="B107" s="645">
        <v>10</v>
      </c>
      <c r="C107" s="739" t="s">
        <v>35</v>
      </c>
      <c r="D107" s="645">
        <v>0.15</v>
      </c>
      <c r="E107" s="739" t="s">
        <v>34</v>
      </c>
      <c r="F107" s="645">
        <v>10</v>
      </c>
      <c r="G107" s="739" t="s">
        <v>35</v>
      </c>
      <c r="H107" s="645">
        <v>0.15</v>
      </c>
      <c r="I107" s="739" t="s">
        <v>34</v>
      </c>
      <c r="J107" s="645">
        <v>10</v>
      </c>
      <c r="K107" s="739" t="s">
        <v>35</v>
      </c>
      <c r="L107" s="645">
        <v>0.15</v>
      </c>
      <c r="M107" s="739" t="s">
        <v>34</v>
      </c>
      <c r="N107" s="645">
        <v>10</v>
      </c>
      <c r="O107" s="739" t="s">
        <v>35</v>
      </c>
      <c r="P107" s="645">
        <v>0.15</v>
      </c>
    </row>
    <row r="108" spans="1:16">
      <c r="A108" s="739" t="s">
        <v>36</v>
      </c>
      <c r="B108" s="645">
        <v>10</v>
      </c>
      <c r="C108" s="739" t="s">
        <v>37</v>
      </c>
      <c r="D108" s="645">
        <v>0.2</v>
      </c>
      <c r="E108" s="739" t="s">
        <v>36</v>
      </c>
      <c r="F108" s="645">
        <v>10</v>
      </c>
      <c r="G108" s="739" t="s">
        <v>37</v>
      </c>
      <c r="H108" s="645">
        <v>0.2</v>
      </c>
      <c r="I108" s="739" t="s">
        <v>36</v>
      </c>
      <c r="J108" s="645">
        <v>10</v>
      </c>
      <c r="K108" s="739" t="s">
        <v>37</v>
      </c>
      <c r="L108" s="645">
        <v>0.2</v>
      </c>
      <c r="M108" s="739" t="s">
        <v>36</v>
      </c>
      <c r="N108" s="645">
        <v>10</v>
      </c>
      <c r="O108" s="739" t="s">
        <v>37</v>
      </c>
      <c r="P108" s="645">
        <v>0.2</v>
      </c>
    </row>
    <row r="109" spans="1:16">
      <c r="A109" s="739"/>
      <c r="B109" s="744"/>
      <c r="C109" s="739" t="s">
        <v>38</v>
      </c>
      <c r="D109" s="645">
        <v>0.25</v>
      </c>
      <c r="E109" s="739"/>
      <c r="F109" s="744"/>
      <c r="G109" s="739" t="s">
        <v>38</v>
      </c>
      <c r="H109" s="645">
        <v>0.25</v>
      </c>
      <c r="I109" s="739"/>
      <c r="J109" s="744"/>
      <c r="K109" s="739" t="s">
        <v>38</v>
      </c>
      <c r="L109" s="645">
        <v>0.25</v>
      </c>
      <c r="M109" s="739"/>
      <c r="N109" s="744"/>
      <c r="O109" s="739" t="s">
        <v>38</v>
      </c>
      <c r="P109" s="645">
        <v>0.25</v>
      </c>
    </row>
    <row r="110" spans="1:16">
      <c r="A110" s="269"/>
      <c r="B110" s="269"/>
      <c r="C110" s="744"/>
    </row>
    <row r="111" spans="1:16" s="60" customFormat="1">
      <c r="A111" s="60" t="s">
        <v>70</v>
      </c>
    </row>
    <row r="113" spans="1:14">
      <c r="A113" s="739" t="s">
        <v>55</v>
      </c>
      <c r="B113" s="625">
        <v>64.599999999999994</v>
      </c>
      <c r="C113" t="s">
        <v>16</v>
      </c>
      <c r="D113" t="s">
        <v>71</v>
      </c>
      <c r="J113" t="s">
        <v>72</v>
      </c>
    </row>
    <row r="114" spans="1:14">
      <c r="A114" s="739" t="s">
        <v>18</v>
      </c>
      <c r="B114" s="625">
        <v>0.4</v>
      </c>
      <c r="C114" t="s">
        <v>16</v>
      </c>
      <c r="F114" t="s">
        <v>73</v>
      </c>
      <c r="G114" s="645">
        <v>10</v>
      </c>
      <c r="H114" s="744" t="s">
        <v>25</v>
      </c>
      <c r="I114" s="744"/>
      <c r="J114" s="744"/>
      <c r="K114" s="744"/>
      <c r="L114" s="744" t="s">
        <v>73</v>
      </c>
      <c r="M114" s="645">
        <v>10</v>
      </c>
      <c r="N114" s="744" t="s">
        <v>25</v>
      </c>
    </row>
    <row r="115" spans="1:14">
      <c r="A115" s="739" t="s">
        <v>45</v>
      </c>
      <c r="B115" s="625">
        <v>0.15</v>
      </c>
      <c r="C115" t="s">
        <v>16</v>
      </c>
      <c r="E115" t="s">
        <v>74</v>
      </c>
      <c r="G115" s="625">
        <v>3</v>
      </c>
      <c r="H115" t="s">
        <v>21</v>
      </c>
      <c r="K115" t="s">
        <v>74</v>
      </c>
      <c r="M115" s="645">
        <v>3</v>
      </c>
      <c r="N115" t="s">
        <v>21</v>
      </c>
    </row>
    <row r="116" spans="1:14" s="737" customFormat="1">
      <c r="A116" s="740" t="s">
        <v>22</v>
      </c>
      <c r="B116" s="709">
        <f>B115*B114*B113</f>
        <v>3.8759999999999994</v>
      </c>
      <c r="C116" s="737" t="s">
        <v>23</v>
      </c>
      <c r="L116" t="s">
        <v>75</v>
      </c>
      <c r="M116" s="645">
        <v>0.4</v>
      </c>
      <c r="N116" t="s">
        <v>16</v>
      </c>
    </row>
    <row r="118" spans="1:14" s="60" customFormat="1">
      <c r="A118" s="750" t="s">
        <v>76</v>
      </c>
    </row>
    <row r="119" spans="1:14">
      <c r="A119" s="739" t="s">
        <v>77</v>
      </c>
      <c r="B119" s="645">
        <v>1.2</v>
      </c>
      <c r="C119" t="s">
        <v>16</v>
      </c>
    </row>
    <row r="120" spans="1:14">
      <c r="A120" s="739" t="s">
        <v>78</v>
      </c>
      <c r="B120" s="645">
        <v>0.1</v>
      </c>
      <c r="C120" t="s">
        <v>16</v>
      </c>
    </row>
    <row r="121" spans="1:14" s="737" customFormat="1">
      <c r="A121" s="740" t="s">
        <v>22</v>
      </c>
      <c r="B121" s="709">
        <f>B120*B119</f>
        <v>0.12</v>
      </c>
      <c r="C121" s="737" t="s">
        <v>23</v>
      </c>
    </row>
    <row r="122" spans="1:14">
      <c r="A122" s="739" t="s">
        <v>73</v>
      </c>
      <c r="B122" s="645">
        <v>12</v>
      </c>
      <c r="C122" t="s">
        <v>25</v>
      </c>
    </row>
    <row r="123" spans="1:14">
      <c r="A123" s="739" t="s">
        <v>79</v>
      </c>
      <c r="B123" s="645">
        <v>100</v>
      </c>
      <c r="C123" t="s">
        <v>16</v>
      </c>
    </row>
    <row r="124" spans="1:14" s="60" customFormat="1">
      <c r="A124" s="750" t="s">
        <v>80</v>
      </c>
    </row>
    <row r="125" spans="1:14">
      <c r="A125" s="751"/>
    </row>
    <row r="126" spans="1:14">
      <c r="A126" s="739" t="s">
        <v>77</v>
      </c>
      <c r="B126" s="625">
        <v>75.64</v>
      </c>
      <c r="C126" t="s">
        <v>16</v>
      </c>
      <c r="D126" t="s">
        <v>81</v>
      </c>
      <c r="E126" s="752">
        <v>0.6</v>
      </c>
      <c r="F126" t="s">
        <v>16</v>
      </c>
    </row>
    <row r="127" spans="1:14">
      <c r="A127" s="739" t="s">
        <v>78</v>
      </c>
      <c r="B127" s="645">
        <v>0.1</v>
      </c>
      <c r="C127" t="s">
        <v>16</v>
      </c>
    </row>
    <row r="128" spans="1:14" s="737" customFormat="1" ht="14.25" customHeight="1">
      <c r="A128" s="740" t="s">
        <v>22</v>
      </c>
      <c r="B128" s="709">
        <f>B127*B126</f>
        <v>7.5640000000000001</v>
      </c>
      <c r="C128" s="737" t="s">
        <v>23</v>
      </c>
    </row>
    <row r="129" spans="1:11">
      <c r="A129" s="739" t="s">
        <v>73</v>
      </c>
      <c r="B129" s="625">
        <v>10</v>
      </c>
      <c r="C129" t="s">
        <v>25</v>
      </c>
      <c r="D129" s="835" t="s">
        <v>79</v>
      </c>
      <c r="E129" s="836"/>
      <c r="F129" s="709">
        <f>((((B126)^0.5)/E126)*2)*((B126)^0.5)</f>
        <v>252.13333333333333</v>
      </c>
      <c r="G129" s="737" t="s">
        <v>16</v>
      </c>
    </row>
    <row r="130" spans="1:11">
      <c r="A130" s="739"/>
      <c r="D130" s="269"/>
      <c r="E130" s="269"/>
      <c r="F130" s="744"/>
    </row>
    <row r="131" spans="1:11" s="60" customFormat="1">
      <c r="A131" s="753" t="s">
        <v>82</v>
      </c>
    </row>
    <row r="133" spans="1:11">
      <c r="A133" s="739" t="s">
        <v>83</v>
      </c>
      <c r="B133" s="645">
        <v>1.7</v>
      </c>
      <c r="C133" t="s">
        <v>16</v>
      </c>
      <c r="D133" t="s">
        <v>84</v>
      </c>
      <c r="E133" s="625">
        <v>10</v>
      </c>
      <c r="F133" t="s">
        <v>25</v>
      </c>
    </row>
    <row r="134" spans="1:11">
      <c r="A134" s="739" t="s">
        <v>85</v>
      </c>
      <c r="B134" s="645">
        <v>1.1000000000000001</v>
      </c>
      <c r="C134" t="s">
        <v>16</v>
      </c>
      <c r="D134" t="s">
        <v>86</v>
      </c>
      <c r="F134" s="709">
        <f>((((B134*B135)^0.5)/E135)*2)*((B134*B135)^0.5)</f>
        <v>19.25</v>
      </c>
      <c r="G134" t="s">
        <v>16</v>
      </c>
    </row>
    <row r="135" spans="1:11">
      <c r="A135" s="739" t="s">
        <v>87</v>
      </c>
      <c r="B135" s="645">
        <v>3.5</v>
      </c>
      <c r="C135" t="s">
        <v>16</v>
      </c>
      <c r="D135" t="s">
        <v>81</v>
      </c>
      <c r="E135" s="752">
        <v>0.4</v>
      </c>
      <c r="F135" t="s">
        <v>16</v>
      </c>
    </row>
    <row r="136" spans="1:11" s="737" customFormat="1">
      <c r="A136" s="740" t="s">
        <v>22</v>
      </c>
      <c r="B136" s="709">
        <f>B135*B134*B133</f>
        <v>6.5450000000000008</v>
      </c>
      <c r="C136" s="737" t="s">
        <v>23</v>
      </c>
      <c r="D136" s="740"/>
      <c r="E136" s="754"/>
    </row>
    <row r="138" spans="1:11">
      <c r="A138" s="739"/>
    </row>
    <row r="139" spans="1:11" s="738" customFormat="1">
      <c r="A139" s="738" t="s">
        <v>88</v>
      </c>
      <c r="E139" s="738" t="s">
        <v>89</v>
      </c>
      <c r="I139" s="738" t="s">
        <v>90</v>
      </c>
    </row>
    <row r="140" spans="1:11">
      <c r="A140" s="739"/>
      <c r="E140" s="739"/>
      <c r="I140" s="739"/>
    </row>
    <row r="141" spans="1:11">
      <c r="A141" s="739" t="s">
        <v>91</v>
      </c>
      <c r="B141" s="645">
        <v>0.6</v>
      </c>
      <c r="C141" t="s">
        <v>16</v>
      </c>
      <c r="E141" s="739" t="s">
        <v>91</v>
      </c>
      <c r="F141" s="645">
        <v>0.6</v>
      </c>
      <c r="G141" t="s">
        <v>16</v>
      </c>
      <c r="I141" s="739" t="s">
        <v>91</v>
      </c>
      <c r="J141" s="645">
        <v>0.6</v>
      </c>
      <c r="K141" t="s">
        <v>16</v>
      </c>
    </row>
    <row r="142" spans="1:11">
      <c r="A142" s="739" t="s">
        <v>92</v>
      </c>
      <c r="B142" s="645">
        <v>0.6</v>
      </c>
      <c r="C142" t="s">
        <v>16</v>
      </c>
      <c r="E142" s="739" t="s">
        <v>92</v>
      </c>
      <c r="F142" s="645">
        <v>0.6</v>
      </c>
      <c r="G142" t="s">
        <v>16</v>
      </c>
      <c r="I142" s="739" t="s">
        <v>92</v>
      </c>
      <c r="J142" s="645">
        <v>0.6</v>
      </c>
      <c r="K142" t="s">
        <v>16</v>
      </c>
    </row>
    <row r="143" spans="1:11">
      <c r="A143" s="739" t="s">
        <v>93</v>
      </c>
      <c r="B143" s="645">
        <v>0.6</v>
      </c>
      <c r="C143" t="s">
        <v>16</v>
      </c>
      <c r="E143" s="739" t="s">
        <v>93</v>
      </c>
      <c r="F143" s="645">
        <v>0.6</v>
      </c>
      <c r="G143" t="s">
        <v>16</v>
      </c>
      <c r="I143" s="739" t="s">
        <v>93</v>
      </c>
      <c r="J143" s="645">
        <v>0.6</v>
      </c>
      <c r="K143" t="s">
        <v>16</v>
      </c>
    </row>
    <row r="144" spans="1:11" s="737" customFormat="1">
      <c r="A144" s="740" t="s">
        <v>22</v>
      </c>
      <c r="B144" s="709">
        <f>B143*B142*B141</f>
        <v>0.216</v>
      </c>
      <c r="C144" s="737" t="s">
        <v>23</v>
      </c>
      <c r="E144" s="740" t="s">
        <v>22</v>
      </c>
      <c r="F144" s="709">
        <f>F143*F142*F141</f>
        <v>0.216</v>
      </c>
      <c r="G144" s="737" t="s">
        <v>23</v>
      </c>
      <c r="I144" s="740" t="s">
        <v>22</v>
      </c>
      <c r="J144" s="709">
        <f>J143*J142*J141</f>
        <v>0.216</v>
      </c>
      <c r="K144" s="737" t="s">
        <v>23</v>
      </c>
    </row>
    <row r="145" spans="1:11">
      <c r="A145" s="739"/>
      <c r="B145" s="744"/>
      <c r="E145" s="739"/>
      <c r="F145" s="744"/>
      <c r="I145" s="739"/>
      <c r="J145" s="744"/>
    </row>
    <row r="146" spans="1:11">
      <c r="A146" s="739" t="s">
        <v>94</v>
      </c>
      <c r="B146" s="645">
        <v>10</v>
      </c>
      <c r="C146" t="s">
        <v>25</v>
      </c>
      <c r="E146" s="739" t="s">
        <v>94</v>
      </c>
      <c r="F146" s="645">
        <v>10</v>
      </c>
      <c r="G146" t="s">
        <v>25</v>
      </c>
      <c r="I146" s="739" t="s">
        <v>94</v>
      </c>
      <c r="J146" s="645">
        <v>10</v>
      </c>
      <c r="K146" t="s">
        <v>25</v>
      </c>
    </row>
    <row r="147" spans="1:11" s="737" customFormat="1">
      <c r="A147" s="740" t="s">
        <v>95</v>
      </c>
      <c r="B147" s="709">
        <f>3.33*(B142+B143)*B141</f>
        <v>2.3975999999999997</v>
      </c>
      <c r="C147" s="737" t="s">
        <v>16</v>
      </c>
      <c r="E147" s="740" t="s">
        <v>95</v>
      </c>
      <c r="F147" s="709">
        <f>3.33*(F142+F143)*F141</f>
        <v>2.3975999999999997</v>
      </c>
      <c r="G147" s="737" t="s">
        <v>16</v>
      </c>
      <c r="I147" s="740" t="s">
        <v>95</v>
      </c>
      <c r="J147" s="709">
        <f>3.33*(J142+J143)*J141</f>
        <v>2.3975999999999997</v>
      </c>
      <c r="K147" s="737" t="s">
        <v>16</v>
      </c>
    </row>
    <row r="149" spans="1:11" s="60" customFormat="1">
      <c r="A149" s="750" t="s">
        <v>96</v>
      </c>
    </row>
    <row r="151" spans="1:11">
      <c r="A151" s="739" t="s">
        <v>97</v>
      </c>
      <c r="B151" s="645">
        <v>0</v>
      </c>
      <c r="C151" t="s">
        <v>23</v>
      </c>
    </row>
    <row r="153" spans="1:11" s="738" customFormat="1">
      <c r="A153" s="738" t="s">
        <v>98</v>
      </c>
    </row>
    <row r="155" spans="1:11">
      <c r="A155" t="s">
        <v>99</v>
      </c>
    </row>
    <row r="156" spans="1:11">
      <c r="A156" s="739" t="s">
        <v>100</v>
      </c>
      <c r="B156" s="645">
        <f>64.6-12</f>
        <v>52.599999999999994</v>
      </c>
      <c r="C156" t="s">
        <v>16</v>
      </c>
    </row>
    <row r="157" spans="1:11">
      <c r="A157" s="739" t="s">
        <v>101</v>
      </c>
      <c r="B157" s="645">
        <v>64.599999999999994</v>
      </c>
      <c r="C157" t="s">
        <v>16</v>
      </c>
    </row>
    <row r="158" spans="1:11">
      <c r="A158" s="739" t="s">
        <v>102</v>
      </c>
      <c r="B158" s="645">
        <v>0.15</v>
      </c>
      <c r="C158" t="s">
        <v>16</v>
      </c>
    </row>
    <row r="159" spans="1:11">
      <c r="A159" s="739" t="s">
        <v>103</v>
      </c>
      <c r="B159" s="645">
        <f>0.5-0.15</f>
        <v>0.35</v>
      </c>
      <c r="C159" t="s">
        <v>16</v>
      </c>
    </row>
    <row r="160" spans="1:11">
      <c r="A160" s="739" t="s">
        <v>104</v>
      </c>
    </row>
    <row r="163" spans="1:6">
      <c r="A163" t="s">
        <v>105</v>
      </c>
      <c r="D163" s="645">
        <f>B156</f>
        <v>52.599999999999994</v>
      </c>
      <c r="E163" t="s">
        <v>16</v>
      </c>
    </row>
    <row r="164" spans="1:6">
      <c r="A164" t="s">
        <v>106</v>
      </c>
      <c r="D164" s="645">
        <v>3</v>
      </c>
      <c r="E164" t="s">
        <v>16</v>
      </c>
    </row>
    <row r="166" spans="1:6">
      <c r="A166" s="625"/>
      <c r="B166" s="625" t="s">
        <v>107</v>
      </c>
      <c r="C166" s="625" t="s">
        <v>108</v>
      </c>
      <c r="D166" s="625" t="s">
        <v>109</v>
      </c>
      <c r="E166" s="625" t="s">
        <v>110</v>
      </c>
    </row>
    <row r="167" spans="1:6">
      <c r="A167" s="625" t="s">
        <v>111</v>
      </c>
      <c r="B167" s="645">
        <v>1.35</v>
      </c>
      <c r="C167" s="645">
        <v>1.2</v>
      </c>
      <c r="D167" s="645">
        <v>1</v>
      </c>
      <c r="E167" s="645">
        <f>D167*C167*B167</f>
        <v>1.62</v>
      </c>
      <c r="F167" t="s">
        <v>112</v>
      </c>
    </row>
    <row r="168" spans="1:6">
      <c r="A168" s="625" t="s">
        <v>113</v>
      </c>
      <c r="B168" s="645">
        <v>1.35</v>
      </c>
      <c r="C168" s="645">
        <v>1.35</v>
      </c>
      <c r="D168" s="645">
        <v>8</v>
      </c>
      <c r="E168" s="645">
        <f t="shared" ref="E168:E179" si="0">D168*C168*B168</f>
        <v>14.580000000000002</v>
      </c>
      <c r="F168" t="s">
        <v>112</v>
      </c>
    </row>
    <row r="169" spans="1:6">
      <c r="A169" s="625" t="s">
        <v>114</v>
      </c>
      <c r="B169" s="645">
        <v>0.7</v>
      </c>
      <c r="C169" s="645">
        <v>0.52</v>
      </c>
      <c r="D169" s="645">
        <v>1</v>
      </c>
      <c r="E169" s="645">
        <f t="shared" si="0"/>
        <v>0.36399999999999999</v>
      </c>
      <c r="F169" t="s">
        <v>112</v>
      </c>
    </row>
    <row r="170" spans="1:6">
      <c r="A170" s="625" t="s">
        <v>115</v>
      </c>
      <c r="B170" s="645"/>
      <c r="C170" s="645"/>
      <c r="D170" s="645"/>
      <c r="E170" s="645">
        <f t="shared" si="0"/>
        <v>0</v>
      </c>
      <c r="F170" t="s">
        <v>112</v>
      </c>
    </row>
    <row r="171" spans="1:6">
      <c r="A171" s="625" t="s">
        <v>116</v>
      </c>
      <c r="B171" s="645"/>
      <c r="C171" s="645"/>
      <c r="D171" s="645"/>
      <c r="E171" s="645">
        <f t="shared" si="0"/>
        <v>0</v>
      </c>
      <c r="F171" t="s">
        <v>112</v>
      </c>
    </row>
    <row r="172" spans="1:6">
      <c r="A172" s="625" t="s">
        <v>117</v>
      </c>
      <c r="B172" s="645"/>
      <c r="C172" s="645"/>
      <c r="D172" s="645"/>
      <c r="E172" s="645">
        <f t="shared" si="0"/>
        <v>0</v>
      </c>
      <c r="F172" t="s">
        <v>112</v>
      </c>
    </row>
    <row r="173" spans="1:6">
      <c r="A173" s="625" t="s">
        <v>118</v>
      </c>
      <c r="B173" s="645">
        <v>2.1</v>
      </c>
      <c r="C173" s="645">
        <v>1.2</v>
      </c>
      <c r="D173" s="645">
        <v>2</v>
      </c>
      <c r="E173" s="645">
        <f t="shared" si="0"/>
        <v>5.04</v>
      </c>
      <c r="F173" t="s">
        <v>112</v>
      </c>
    </row>
    <row r="174" spans="1:6">
      <c r="A174" s="625" t="s">
        <v>119</v>
      </c>
      <c r="B174" s="645">
        <v>2.1</v>
      </c>
      <c r="C174" s="645">
        <v>1</v>
      </c>
      <c r="D174" s="645">
        <v>3</v>
      </c>
      <c r="E174" s="645">
        <f t="shared" si="0"/>
        <v>6.3000000000000007</v>
      </c>
      <c r="F174" t="s">
        <v>112</v>
      </c>
    </row>
    <row r="175" spans="1:6">
      <c r="A175" s="625" t="s">
        <v>120</v>
      </c>
      <c r="B175" s="645">
        <v>2.1</v>
      </c>
      <c r="C175" s="645">
        <v>0.6</v>
      </c>
      <c r="D175" s="645">
        <v>2</v>
      </c>
      <c r="E175" s="645">
        <f t="shared" si="0"/>
        <v>2.52</v>
      </c>
      <c r="F175" t="s">
        <v>112</v>
      </c>
    </row>
    <row r="176" spans="1:6">
      <c r="A176" s="625" t="s">
        <v>121</v>
      </c>
      <c r="B176" s="625"/>
      <c r="C176" s="645"/>
      <c r="D176" s="645"/>
      <c r="E176" s="645">
        <f t="shared" si="0"/>
        <v>0</v>
      </c>
      <c r="F176" t="s">
        <v>112</v>
      </c>
    </row>
    <row r="177" spans="1:7">
      <c r="A177" s="625" t="s">
        <v>122</v>
      </c>
      <c r="B177" s="625"/>
      <c r="C177" s="625"/>
      <c r="D177" s="625"/>
      <c r="E177" s="645">
        <f t="shared" si="0"/>
        <v>0</v>
      </c>
      <c r="F177" t="s">
        <v>112</v>
      </c>
    </row>
    <row r="178" spans="1:7">
      <c r="A178" s="625" t="s">
        <v>123</v>
      </c>
      <c r="B178" s="625"/>
      <c r="C178" s="625"/>
      <c r="D178" s="625"/>
      <c r="E178" s="645">
        <f t="shared" si="0"/>
        <v>0</v>
      </c>
      <c r="F178" t="s">
        <v>112</v>
      </c>
    </row>
    <row r="179" spans="1:7">
      <c r="A179" s="625" t="s">
        <v>124</v>
      </c>
      <c r="B179" s="625"/>
      <c r="C179" s="625"/>
      <c r="D179" s="625"/>
      <c r="E179" s="645">
        <f t="shared" si="0"/>
        <v>0</v>
      </c>
      <c r="F179" t="s">
        <v>112</v>
      </c>
    </row>
    <row r="180" spans="1:7">
      <c r="A180" t="s">
        <v>24</v>
      </c>
      <c r="B180" s="625">
        <v>10</v>
      </c>
      <c r="C180" t="s">
        <v>25</v>
      </c>
    </row>
    <row r="181" spans="1:7">
      <c r="B181" s="625"/>
    </row>
    <row r="184" spans="1:7" s="60" customFormat="1">
      <c r="A184" s="60" t="s">
        <v>125</v>
      </c>
    </row>
    <row r="186" spans="1:7">
      <c r="B186" s="739" t="s">
        <v>77</v>
      </c>
      <c r="C186" s="645">
        <v>127.4</v>
      </c>
      <c r="D186" t="s">
        <v>112</v>
      </c>
    </row>
    <row r="187" spans="1:7">
      <c r="A187" t="s">
        <v>126</v>
      </c>
      <c r="C187" s="645">
        <v>50</v>
      </c>
      <c r="D187" t="s">
        <v>16</v>
      </c>
    </row>
    <row r="188" spans="1:7" ht="15.75" customHeight="1">
      <c r="A188" s="837" t="s">
        <v>127</v>
      </c>
      <c r="B188" s="838"/>
      <c r="C188" s="645">
        <v>222.42</v>
      </c>
      <c r="D188" t="s">
        <v>16</v>
      </c>
    </row>
    <row r="189" spans="1:7" ht="15.75" customHeight="1">
      <c r="B189" t="s">
        <v>128</v>
      </c>
      <c r="C189" s="645">
        <v>0</v>
      </c>
      <c r="D189" t="s">
        <v>16</v>
      </c>
    </row>
    <row r="190" spans="1:7" s="60" customFormat="1">
      <c r="A190" s="60" t="s">
        <v>129</v>
      </c>
    </row>
    <row r="191" spans="1:7">
      <c r="B191" s="739" t="s">
        <v>77</v>
      </c>
      <c r="C191" s="645">
        <v>127.4</v>
      </c>
      <c r="D191" t="s">
        <v>112</v>
      </c>
      <c r="E191" t="s">
        <v>130</v>
      </c>
      <c r="F191" s="645">
        <v>0.6</v>
      </c>
      <c r="G191" t="s">
        <v>16</v>
      </c>
    </row>
    <row r="192" spans="1:7">
      <c r="B192" t="s">
        <v>131</v>
      </c>
      <c r="C192" s="645">
        <f>((((C191)^0.5)/F191)*2)*((C191)^0.5)</f>
        <v>424.66666666666674</v>
      </c>
      <c r="D192" t="s">
        <v>16</v>
      </c>
    </row>
    <row r="193" spans="1:13" s="60" customFormat="1">
      <c r="A193" s="60" t="s">
        <v>132</v>
      </c>
    </row>
    <row r="195" spans="1:13">
      <c r="A195" t="s">
        <v>133</v>
      </c>
      <c r="H195" t="s">
        <v>134</v>
      </c>
    </row>
    <row r="196" spans="1:13">
      <c r="A196" t="s">
        <v>135</v>
      </c>
      <c r="B196" s="625"/>
      <c r="C196" t="s">
        <v>16</v>
      </c>
      <c r="D196" t="s">
        <v>136</v>
      </c>
      <c r="E196" s="625">
        <v>53.44</v>
      </c>
      <c r="F196" t="s">
        <v>16</v>
      </c>
      <c r="H196" t="s">
        <v>135</v>
      </c>
      <c r="I196" s="625"/>
      <c r="J196" t="s">
        <v>16</v>
      </c>
      <c r="K196" t="s">
        <v>136</v>
      </c>
      <c r="L196" s="645">
        <v>45</v>
      </c>
      <c r="M196" t="s">
        <v>16</v>
      </c>
    </row>
    <row r="197" spans="1:13">
      <c r="A197" t="s">
        <v>137</v>
      </c>
      <c r="B197" s="625"/>
      <c r="C197" t="s">
        <v>16</v>
      </c>
      <c r="D197" t="s">
        <v>138</v>
      </c>
      <c r="E197" s="625">
        <v>53.44</v>
      </c>
      <c r="F197" t="s">
        <v>16</v>
      </c>
      <c r="H197" t="s">
        <v>137</v>
      </c>
      <c r="I197" s="625"/>
      <c r="J197" t="s">
        <v>16</v>
      </c>
      <c r="K197" t="s">
        <v>138</v>
      </c>
      <c r="L197" s="625">
        <v>21.95</v>
      </c>
      <c r="M197" t="s">
        <v>16</v>
      </c>
    </row>
    <row r="198" spans="1:13">
      <c r="A198" t="s">
        <v>139</v>
      </c>
      <c r="B198" s="625"/>
      <c r="C198" t="s">
        <v>16</v>
      </c>
      <c r="D198" t="s">
        <v>140</v>
      </c>
      <c r="E198" s="625">
        <v>25.4</v>
      </c>
      <c r="F198" t="s">
        <v>16</v>
      </c>
      <c r="H198" t="s">
        <v>139</v>
      </c>
      <c r="I198" s="625"/>
      <c r="J198" t="s">
        <v>16</v>
      </c>
      <c r="K198" t="s">
        <v>140</v>
      </c>
      <c r="L198" s="645">
        <v>7.1</v>
      </c>
      <c r="M198" t="s">
        <v>16</v>
      </c>
    </row>
    <row r="199" spans="1:13">
      <c r="A199" t="s">
        <v>141</v>
      </c>
      <c r="B199" s="625"/>
      <c r="C199" t="s">
        <v>16</v>
      </c>
      <c r="D199" t="s">
        <v>142</v>
      </c>
      <c r="E199" s="625"/>
      <c r="F199" t="s">
        <v>16</v>
      </c>
      <c r="H199" t="s">
        <v>141</v>
      </c>
      <c r="I199" s="625"/>
      <c r="J199" t="s">
        <v>16</v>
      </c>
      <c r="K199" t="s">
        <v>142</v>
      </c>
      <c r="L199" s="625"/>
      <c r="M199" t="s">
        <v>16</v>
      </c>
    </row>
    <row r="200" spans="1:13">
      <c r="A200" t="s">
        <v>143</v>
      </c>
      <c r="B200" s="625"/>
      <c r="C200" t="s">
        <v>16</v>
      </c>
      <c r="D200" t="s">
        <v>144</v>
      </c>
      <c r="E200" s="625"/>
      <c r="F200" t="s">
        <v>16</v>
      </c>
      <c r="H200" t="s">
        <v>143</v>
      </c>
      <c r="I200" s="625"/>
      <c r="J200" t="s">
        <v>16</v>
      </c>
      <c r="K200" t="s">
        <v>144</v>
      </c>
      <c r="L200" s="625"/>
      <c r="M200" t="s">
        <v>16</v>
      </c>
    </row>
    <row r="201" spans="1:13">
      <c r="A201" t="s">
        <v>145</v>
      </c>
      <c r="B201" s="625"/>
      <c r="C201" t="s">
        <v>16</v>
      </c>
      <c r="D201" t="s">
        <v>146</v>
      </c>
      <c r="E201" s="625"/>
      <c r="F201" t="s">
        <v>16</v>
      </c>
      <c r="H201" t="s">
        <v>145</v>
      </c>
      <c r="I201" s="625"/>
      <c r="J201" t="s">
        <v>16</v>
      </c>
      <c r="K201" t="s">
        <v>146</v>
      </c>
      <c r="L201" s="625"/>
      <c r="M201" t="s">
        <v>16</v>
      </c>
    </row>
    <row r="202" spans="1:13">
      <c r="A202" t="s">
        <v>147</v>
      </c>
      <c r="B202" s="625"/>
      <c r="C202" t="s">
        <v>16</v>
      </c>
      <c r="D202" t="s">
        <v>148</v>
      </c>
      <c r="E202" s="625"/>
      <c r="F202" t="s">
        <v>16</v>
      </c>
      <c r="H202" t="s">
        <v>147</v>
      </c>
      <c r="I202" s="625"/>
      <c r="J202" t="s">
        <v>16</v>
      </c>
      <c r="K202" t="s">
        <v>148</v>
      </c>
      <c r="L202" s="625"/>
      <c r="M202" t="s">
        <v>16</v>
      </c>
    </row>
    <row r="203" spans="1:13">
      <c r="A203" t="s">
        <v>149</v>
      </c>
      <c r="B203" s="625"/>
      <c r="C203" t="s">
        <v>16</v>
      </c>
      <c r="D203" t="s">
        <v>150</v>
      </c>
      <c r="E203" s="625"/>
      <c r="F203" t="s">
        <v>16</v>
      </c>
      <c r="H203" t="s">
        <v>149</v>
      </c>
      <c r="I203" s="625"/>
      <c r="J203" t="s">
        <v>16</v>
      </c>
      <c r="K203" t="s">
        <v>150</v>
      </c>
      <c r="L203" s="625"/>
      <c r="M203" t="s">
        <v>16</v>
      </c>
    </row>
    <row r="204" spans="1:13">
      <c r="A204" t="s">
        <v>151</v>
      </c>
      <c r="B204" s="625"/>
      <c r="C204" t="s">
        <v>16</v>
      </c>
      <c r="D204" t="s">
        <v>152</v>
      </c>
      <c r="E204" s="625"/>
      <c r="F204" t="s">
        <v>16</v>
      </c>
      <c r="H204" t="s">
        <v>151</v>
      </c>
      <c r="I204" s="625"/>
      <c r="J204" t="s">
        <v>16</v>
      </c>
      <c r="K204" t="s">
        <v>152</v>
      </c>
      <c r="L204" s="625"/>
      <c r="M204" t="s">
        <v>16</v>
      </c>
    </row>
    <row r="206" spans="1:13">
      <c r="A206" t="s">
        <v>153</v>
      </c>
      <c r="B206" s="645">
        <v>0</v>
      </c>
      <c r="C206" t="s">
        <v>112</v>
      </c>
    </row>
    <row r="208" spans="1:13" s="60" customFormat="1">
      <c r="A208" s="60" t="s">
        <v>154</v>
      </c>
    </row>
    <row r="210" spans="1:3">
      <c r="A210" t="s">
        <v>155</v>
      </c>
      <c r="B210" s="625">
        <f>75.64+11.8*1.2</f>
        <v>89.8</v>
      </c>
      <c r="C210" t="s">
        <v>112</v>
      </c>
    </row>
    <row r="212" spans="1:3" s="60" customFormat="1">
      <c r="A212" s="60" t="s">
        <v>156</v>
      </c>
    </row>
    <row r="214" spans="1:3">
      <c r="A214" t="s">
        <v>155</v>
      </c>
      <c r="B214" s="645">
        <v>123</v>
      </c>
      <c r="C214" t="s">
        <v>112</v>
      </c>
    </row>
    <row r="215" spans="1:3" s="60" customFormat="1">
      <c r="A215" s="60" t="s">
        <v>157</v>
      </c>
    </row>
    <row r="216" spans="1:3" ht="14.25" customHeight="1"/>
    <row r="217" spans="1:3" s="737" customFormat="1">
      <c r="A217" s="737" t="s">
        <v>155</v>
      </c>
      <c r="B217" s="709">
        <f>C191+(ESTIMATES!C245*2)</f>
        <v>388.93499999999995</v>
      </c>
      <c r="C217" s="737" t="s">
        <v>112</v>
      </c>
    </row>
    <row r="218" spans="1:3" s="60" customFormat="1">
      <c r="A218" s="60" t="s">
        <v>158</v>
      </c>
    </row>
    <row r="220" spans="1:3">
      <c r="A220" s="625" t="s">
        <v>159</v>
      </c>
      <c r="B220" s="755">
        <v>1</v>
      </c>
      <c r="C220" s="625" t="s">
        <v>160</v>
      </c>
    </row>
    <row r="221" spans="1:3">
      <c r="A221" s="625" t="s">
        <v>161</v>
      </c>
      <c r="B221" s="755">
        <v>1</v>
      </c>
      <c r="C221" s="625" t="s">
        <v>160</v>
      </c>
    </row>
    <row r="222" spans="1:3">
      <c r="A222" s="625" t="s">
        <v>82</v>
      </c>
      <c r="B222" s="755">
        <v>1</v>
      </c>
      <c r="C222" s="625" t="s">
        <v>160</v>
      </c>
    </row>
    <row r="223" spans="1:3">
      <c r="A223" s="625" t="s">
        <v>162</v>
      </c>
      <c r="B223" s="755">
        <v>1</v>
      </c>
      <c r="C223" s="625" t="s">
        <v>163</v>
      </c>
    </row>
    <row r="224" spans="1:3">
      <c r="A224" s="625" t="s">
        <v>164</v>
      </c>
      <c r="B224" s="755">
        <v>1</v>
      </c>
      <c r="C224" s="625" t="s">
        <v>165</v>
      </c>
    </row>
    <row r="225" spans="1:11">
      <c r="A225" s="625" t="s">
        <v>166</v>
      </c>
      <c r="B225" s="755">
        <v>1</v>
      </c>
      <c r="C225" s="625" t="s">
        <v>165</v>
      </c>
    </row>
    <row r="226" spans="1:11">
      <c r="A226" s="625" t="s">
        <v>167</v>
      </c>
      <c r="B226" s="755">
        <v>1</v>
      </c>
      <c r="C226" s="625" t="s">
        <v>160</v>
      </c>
    </row>
    <row r="227" spans="1:11" s="737" customFormat="1">
      <c r="A227" s="754" t="s">
        <v>168</v>
      </c>
      <c r="B227" s="709">
        <f>SUM(D167:D175)</f>
        <v>17</v>
      </c>
      <c r="C227" s="754" t="s">
        <v>169</v>
      </c>
    </row>
    <row r="228" spans="1:11">
      <c r="A228" s="625" t="s">
        <v>170</v>
      </c>
      <c r="B228" s="755">
        <v>10</v>
      </c>
      <c r="C228" s="625" t="s">
        <v>171</v>
      </c>
    </row>
    <row r="230" spans="1:11" s="60" customFormat="1">
      <c r="A230" s="60" t="s">
        <v>172</v>
      </c>
    </row>
    <row r="231" spans="1:11">
      <c r="A231" s="839"/>
      <c r="B231" s="840"/>
      <c r="C231" s="841"/>
      <c r="D231" s="839" t="s">
        <v>173</v>
      </c>
      <c r="E231" s="840"/>
      <c r="F231" s="840"/>
      <c r="G231" s="841"/>
      <c r="H231" s="839" t="s">
        <v>174</v>
      </c>
      <c r="I231" s="840"/>
      <c r="J231" s="840"/>
      <c r="K231" s="841"/>
    </row>
    <row r="232" spans="1:11" ht="15.75">
      <c r="A232" s="830" t="s">
        <v>175</v>
      </c>
      <c r="B232" s="831"/>
      <c r="C232" s="831"/>
      <c r="D232" s="179"/>
      <c r="E232" s="180">
        <v>1</v>
      </c>
      <c r="F232" s="180"/>
      <c r="G232" s="756"/>
      <c r="H232" s="179"/>
      <c r="I232" s="180">
        <v>1</v>
      </c>
      <c r="J232" s="180"/>
      <c r="K232" s="756"/>
    </row>
    <row r="233" spans="1:11" ht="15.75">
      <c r="A233" s="830" t="s">
        <v>176</v>
      </c>
      <c r="B233" s="831"/>
      <c r="C233" s="831"/>
      <c r="D233" s="179"/>
      <c r="E233" s="180">
        <v>1</v>
      </c>
      <c r="F233" s="180"/>
      <c r="G233" s="756"/>
      <c r="H233" s="179"/>
      <c r="I233" s="180">
        <v>1</v>
      </c>
      <c r="J233" s="180"/>
      <c r="K233" s="756"/>
    </row>
    <row r="234" spans="1:11" ht="15.75">
      <c r="A234" s="830" t="s">
        <v>177</v>
      </c>
      <c r="B234" s="831"/>
      <c r="C234" s="832"/>
      <c r="D234" s="179"/>
      <c r="E234" s="180">
        <v>1</v>
      </c>
      <c r="F234" s="180"/>
      <c r="G234" s="756"/>
      <c r="H234" s="179"/>
      <c r="I234" s="180">
        <v>1</v>
      </c>
      <c r="J234" s="180"/>
      <c r="K234" s="756"/>
    </row>
    <row r="235" spans="1:11" ht="15.75">
      <c r="A235" s="830" t="s">
        <v>178</v>
      </c>
      <c r="B235" s="831"/>
      <c r="C235" s="832"/>
      <c r="D235" s="179"/>
      <c r="E235" s="180">
        <v>1</v>
      </c>
      <c r="F235" s="180"/>
      <c r="G235" s="756"/>
      <c r="H235" s="179"/>
      <c r="I235" s="180">
        <v>1</v>
      </c>
      <c r="J235" s="180"/>
      <c r="K235" s="756"/>
    </row>
    <row r="236" spans="1:11" ht="15.75">
      <c r="A236" s="830" t="s">
        <v>179</v>
      </c>
      <c r="B236" s="831"/>
      <c r="C236" s="832"/>
      <c r="D236" s="179"/>
      <c r="E236" s="180">
        <v>2</v>
      </c>
      <c r="F236" s="180"/>
      <c r="G236" s="756"/>
      <c r="H236" s="179"/>
      <c r="I236" s="180">
        <v>2</v>
      </c>
      <c r="J236" s="180"/>
      <c r="K236" s="756"/>
    </row>
    <row r="237" spans="1:11" ht="15.75">
      <c r="A237" s="830" t="s">
        <v>180</v>
      </c>
      <c r="B237" s="831"/>
      <c r="C237" s="831"/>
      <c r="D237" s="179"/>
      <c r="E237" s="180">
        <v>1</v>
      </c>
      <c r="F237" s="180"/>
      <c r="G237" s="756"/>
      <c r="H237" s="179"/>
      <c r="I237" s="180">
        <v>1</v>
      </c>
      <c r="J237" s="180"/>
      <c r="K237" s="756"/>
    </row>
    <row r="238" spans="1:11" ht="15.75">
      <c r="A238" s="830" t="s">
        <v>181</v>
      </c>
      <c r="B238" s="831"/>
      <c r="C238" s="831"/>
      <c r="D238" s="179"/>
      <c r="E238" s="180">
        <v>1</v>
      </c>
      <c r="F238" s="180"/>
      <c r="G238" s="756"/>
      <c r="H238" s="179"/>
      <c r="I238" s="180">
        <v>1</v>
      </c>
      <c r="J238" s="180"/>
      <c r="K238" s="756"/>
    </row>
    <row r="239" spans="1:11" ht="15.75">
      <c r="A239" s="830" t="s">
        <v>182</v>
      </c>
      <c r="B239" s="831"/>
      <c r="C239" s="831"/>
      <c r="D239" s="179"/>
      <c r="E239" s="180">
        <v>1</v>
      </c>
      <c r="F239" s="180"/>
      <c r="G239" s="756"/>
      <c r="H239" s="179"/>
      <c r="I239" s="180">
        <v>1</v>
      </c>
      <c r="J239" s="180"/>
      <c r="K239" s="756"/>
    </row>
  </sheetData>
  <mergeCells count="42">
    <mergeCell ref="B2:I2"/>
    <mergeCell ref="B3:I3"/>
    <mergeCell ref="B4:I4"/>
    <mergeCell ref="B5:I5"/>
    <mergeCell ref="B6:I6"/>
    <mergeCell ref="E69:F69"/>
    <mergeCell ref="I69:J69"/>
    <mergeCell ref="M69:N69"/>
    <mergeCell ref="A71:B71"/>
    <mergeCell ref="E71:F71"/>
    <mergeCell ref="I71:J71"/>
    <mergeCell ref="M71:N71"/>
    <mergeCell ref="E98:F98"/>
    <mergeCell ref="I98:J98"/>
    <mergeCell ref="M98:N98"/>
    <mergeCell ref="A100:B100"/>
    <mergeCell ref="E100:F100"/>
    <mergeCell ref="I100:J100"/>
    <mergeCell ref="M100:N100"/>
    <mergeCell ref="D129:E129"/>
    <mergeCell ref="A188:B188"/>
    <mergeCell ref="A231:C231"/>
    <mergeCell ref="D231:G231"/>
    <mergeCell ref="H231:K231"/>
    <mergeCell ref="A237:C237"/>
    <mergeCell ref="A238:C238"/>
    <mergeCell ref="A239:C239"/>
    <mergeCell ref="C41:C43"/>
    <mergeCell ref="C44:C46"/>
    <mergeCell ref="A232:C232"/>
    <mergeCell ref="A233:C233"/>
    <mergeCell ref="A234:C234"/>
    <mergeCell ref="A235:C235"/>
    <mergeCell ref="A236:C236"/>
    <mergeCell ref="A98:B98"/>
    <mergeCell ref="A69:B69"/>
    <mergeCell ref="G41:G43"/>
    <mergeCell ref="G44:G46"/>
    <mergeCell ref="K41:K43"/>
    <mergeCell ref="K44:K46"/>
    <mergeCell ref="O41:O43"/>
    <mergeCell ref="O44:O46"/>
  </mergeCells>
  <pageMargins left="0.7" right="0.7" top="0.75" bottom="0.75" header="0.3" footer="0.3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88"/>
  <sheetViews>
    <sheetView topLeftCell="A31" zoomScale="154" zoomScaleNormal="154" workbookViewId="0">
      <selection activeCell="C43" sqref="C43"/>
    </sheetView>
  </sheetViews>
  <sheetFormatPr defaultColWidth="9" defaultRowHeight="15"/>
  <cols>
    <col min="1" max="1" width="11.85546875" customWidth="1"/>
    <col min="2" max="2" width="12.5703125" customWidth="1"/>
    <col min="3" max="3" width="10" customWidth="1"/>
    <col min="5" max="5" width="13.5703125" customWidth="1"/>
    <col min="6" max="6" width="11" customWidth="1"/>
    <col min="7" max="7" width="12.140625" customWidth="1"/>
    <col min="8" max="8" width="10" customWidth="1"/>
    <col min="11" max="11" width="11.42578125" customWidth="1"/>
    <col min="12" max="12" width="11.85546875" customWidth="1"/>
    <col min="13" max="13" width="12.42578125" customWidth="1"/>
    <col min="16" max="16" width="11.42578125" customWidth="1"/>
    <col min="17" max="17" width="11.7109375" customWidth="1"/>
    <col min="18" max="18" width="10" customWidth="1"/>
    <col min="21" max="21" width="12.7109375" customWidth="1"/>
    <col min="29" max="29" width="14.85546875" customWidth="1"/>
  </cols>
  <sheetData>
    <row r="1" spans="1:23">
      <c r="A1" t="s">
        <v>183</v>
      </c>
    </row>
    <row r="3" spans="1:23" s="593" customFormat="1">
      <c r="A3" s="692" t="s">
        <v>184</v>
      </c>
    </row>
    <row r="4" spans="1:23" s="593" customFormat="1"/>
    <row r="5" spans="1:23" s="593" customFormat="1">
      <c r="A5" s="593" t="s">
        <v>185</v>
      </c>
    </row>
    <row r="6" spans="1:23" s="593" customFormat="1">
      <c r="A6" s="693" t="s">
        <v>186</v>
      </c>
      <c r="B6" s="694">
        <f>(SUM(C13,H13,M13,R13,D20,J20,P20,V20))+C23+(SUM(C31,I31,O31))</f>
        <v>2038.3880000000001</v>
      </c>
      <c r="C6" s="593" t="s">
        <v>187</v>
      </c>
    </row>
    <row r="7" spans="1:23" s="593" customFormat="1"/>
    <row r="8" spans="1:23" s="593" customFormat="1">
      <c r="A8" s="593" t="s">
        <v>188</v>
      </c>
      <c r="F8" s="593" t="s">
        <v>189</v>
      </c>
      <c r="K8" s="593" t="s">
        <v>190</v>
      </c>
      <c r="P8" s="593" t="s">
        <v>191</v>
      </c>
    </row>
    <row r="9" spans="1:23" s="593" customFormat="1">
      <c r="B9" s="693" t="s">
        <v>192</v>
      </c>
      <c r="C9" s="695">
        <f>'PROJECT DETAILS'!B35+0.25</f>
        <v>3.25</v>
      </c>
      <c r="D9" s="593" t="s">
        <v>16</v>
      </c>
      <c r="G9" s="693" t="s">
        <v>192</v>
      </c>
      <c r="H9" s="695">
        <f>'PROJECT DETAILS'!F35+0.25</f>
        <v>2.25</v>
      </c>
      <c r="I9" s="593" t="s">
        <v>16</v>
      </c>
      <c r="L9" s="693" t="s">
        <v>192</v>
      </c>
      <c r="M9" s="695">
        <f>'PROJECT DETAILS'!J35+0.25</f>
        <v>1.25</v>
      </c>
      <c r="N9" s="593" t="s">
        <v>16</v>
      </c>
      <c r="Q9" s="693" t="s">
        <v>192</v>
      </c>
      <c r="R9" s="695">
        <f>'PROJECT DETAILS'!N35+0.25</f>
        <v>1.25</v>
      </c>
      <c r="S9" s="593" t="s">
        <v>16</v>
      </c>
    </row>
    <row r="10" spans="1:23" s="593" customFormat="1">
      <c r="B10" s="693" t="s">
        <v>193</v>
      </c>
      <c r="C10" s="695">
        <f>'PROJECT DETAILS'!B36+0.25</f>
        <v>3.25</v>
      </c>
      <c r="D10" s="593" t="s">
        <v>16</v>
      </c>
      <c r="G10" s="693" t="s">
        <v>193</v>
      </c>
      <c r="H10" s="695">
        <f>'PROJECT DETAILS'!F36+0.25</f>
        <v>2.25</v>
      </c>
      <c r="I10" s="593" t="s">
        <v>16</v>
      </c>
      <c r="L10" s="693" t="s">
        <v>193</v>
      </c>
      <c r="M10" s="695">
        <f>'PROJECT DETAILS'!J35+0.25</f>
        <v>1.25</v>
      </c>
      <c r="N10" s="593" t="s">
        <v>16</v>
      </c>
      <c r="Q10" s="693" t="s">
        <v>193</v>
      </c>
      <c r="R10" s="695">
        <f>'PROJECT DETAILS'!N36+0.25</f>
        <v>1.25</v>
      </c>
      <c r="S10" s="593" t="s">
        <v>16</v>
      </c>
    </row>
    <row r="11" spans="1:23" s="593" customFormat="1">
      <c r="B11" s="693" t="s">
        <v>44</v>
      </c>
      <c r="C11" s="695">
        <f>'PROJECT DETAILS'!B34</f>
        <v>3.3499999999999996</v>
      </c>
      <c r="D11" s="593" t="s">
        <v>16</v>
      </c>
      <c r="G11" s="693" t="s">
        <v>44</v>
      </c>
      <c r="H11" s="695">
        <f>'PROJECT DETAILS'!F34</f>
        <v>2.65</v>
      </c>
      <c r="I11" s="593" t="s">
        <v>16</v>
      </c>
      <c r="L11" s="693" t="s">
        <v>44</v>
      </c>
      <c r="M11" s="695">
        <f>'PROJECT DETAILS'!J34</f>
        <v>0.85000000000000009</v>
      </c>
      <c r="N11" s="593" t="s">
        <v>16</v>
      </c>
      <c r="Q11" s="693" t="s">
        <v>44</v>
      </c>
      <c r="R11" s="695">
        <f>'PROJECT DETAILS'!N34</f>
        <v>0.85000000000000009</v>
      </c>
      <c r="S11" s="593" t="s">
        <v>16</v>
      </c>
    </row>
    <row r="12" spans="1:23" s="593" customFormat="1">
      <c r="B12" s="693" t="s">
        <v>194</v>
      </c>
      <c r="C12" s="695">
        <f>'PROJECT DETAILS'!B38</f>
        <v>10</v>
      </c>
      <c r="D12" s="593" t="s">
        <v>21</v>
      </c>
      <c r="G12" s="693" t="s">
        <v>194</v>
      </c>
      <c r="H12" s="695">
        <f>'PROJECT DETAILS'!F38</f>
        <v>20</v>
      </c>
      <c r="I12" s="593" t="s">
        <v>21</v>
      </c>
      <c r="L12" s="693" t="s">
        <v>194</v>
      </c>
      <c r="M12" s="695">
        <f>'PROJECT DETAILS'!J38</f>
        <v>20</v>
      </c>
      <c r="N12" s="593" t="s">
        <v>21</v>
      </c>
      <c r="Q12" s="693" t="s">
        <v>194</v>
      </c>
      <c r="R12" s="695">
        <f>'PROJECT DETAILS'!N38</f>
        <v>20</v>
      </c>
      <c r="S12" s="593" t="s">
        <v>21</v>
      </c>
    </row>
    <row r="13" spans="1:23" s="593" customFormat="1">
      <c r="B13" s="693" t="s">
        <v>22</v>
      </c>
      <c r="C13" s="695">
        <f>C11*C10*C9*C12</f>
        <v>353.84375</v>
      </c>
      <c r="D13" s="593" t="s">
        <v>16</v>
      </c>
      <c r="G13" s="693" t="s">
        <v>22</v>
      </c>
      <c r="H13" s="695">
        <f>H11*H10*H9*H12</f>
        <v>268.3125</v>
      </c>
      <c r="I13" s="593" t="s">
        <v>16</v>
      </c>
      <c r="L13" s="693" t="s">
        <v>22</v>
      </c>
      <c r="M13" s="695">
        <f>M11*M10*M9*M12</f>
        <v>26.5625</v>
      </c>
      <c r="N13" s="593" t="s">
        <v>16</v>
      </c>
      <c r="Q13" s="693" t="s">
        <v>22</v>
      </c>
      <c r="R13" s="695">
        <f>R11*R10*R9*R12</f>
        <v>26.5625</v>
      </c>
      <c r="S13" s="593" t="s">
        <v>16</v>
      </c>
    </row>
    <row r="14" spans="1:23" s="593" customFormat="1">
      <c r="B14" s="693"/>
      <c r="C14" s="696"/>
      <c r="G14" s="693"/>
      <c r="H14" s="696"/>
      <c r="L14" s="693"/>
      <c r="M14" s="696"/>
      <c r="Q14" s="693"/>
      <c r="R14" s="696"/>
    </row>
    <row r="15" spans="1:23" s="593" customFormat="1">
      <c r="A15" s="593" t="s">
        <v>51</v>
      </c>
      <c r="C15" s="693"/>
      <c r="G15" s="593" t="s">
        <v>52</v>
      </c>
      <c r="I15" s="693"/>
      <c r="M15" s="593" t="s">
        <v>53</v>
      </c>
      <c r="O15" s="693"/>
      <c r="S15" s="593" t="s">
        <v>54</v>
      </c>
      <c r="U15" s="693"/>
    </row>
    <row r="16" spans="1:23" s="593" customFormat="1">
      <c r="C16" s="693" t="s">
        <v>55</v>
      </c>
      <c r="D16" s="695">
        <f>'PROJECT DETAILS'!B54</f>
        <v>40</v>
      </c>
      <c r="E16" s="593" t="s">
        <v>16</v>
      </c>
      <c r="I16" s="693" t="s">
        <v>55</v>
      </c>
      <c r="J16" s="695">
        <f>'PROJECT DETAILS'!F54</f>
        <v>50</v>
      </c>
      <c r="K16" s="593" t="s">
        <v>16</v>
      </c>
      <c r="O16" s="693" t="s">
        <v>55</v>
      </c>
      <c r="P16" s="695">
        <f>'PROJECT DETAILS'!J54</f>
        <v>51.4</v>
      </c>
      <c r="Q16" s="593" t="s">
        <v>16</v>
      </c>
      <c r="U16" s="693" t="s">
        <v>55</v>
      </c>
      <c r="V16" s="695">
        <f>'PROJECT DETAILS'!N54</f>
        <v>51.4</v>
      </c>
      <c r="W16" s="593" t="s">
        <v>16</v>
      </c>
    </row>
    <row r="17" spans="1:23" s="593" customFormat="1">
      <c r="C17" s="693" t="s">
        <v>18</v>
      </c>
      <c r="D17" s="695">
        <f>'PROJECT DETAILS'!B55</f>
        <v>0.4</v>
      </c>
      <c r="E17" s="593" t="s">
        <v>16</v>
      </c>
      <c r="I17" s="693" t="s">
        <v>18</v>
      </c>
      <c r="J17" s="695">
        <f>'PROJECT DETAILS'!F55</f>
        <v>0.3</v>
      </c>
      <c r="K17" s="593" t="s">
        <v>16</v>
      </c>
      <c r="O17" s="693" t="s">
        <v>18</v>
      </c>
      <c r="P17" s="695">
        <f>'PROJECT DETAILS'!J55</f>
        <v>4</v>
      </c>
      <c r="Q17" s="593" t="s">
        <v>16</v>
      </c>
      <c r="U17" s="693" t="s">
        <v>18</v>
      </c>
      <c r="V17" s="695">
        <f>'PROJECT DETAILS'!N55</f>
        <v>4</v>
      </c>
      <c r="W17" s="593" t="s">
        <v>16</v>
      </c>
    </row>
    <row r="18" spans="1:23" s="593" customFormat="1">
      <c r="C18" s="693" t="s">
        <v>56</v>
      </c>
      <c r="D18" s="695">
        <f>'PROJECT DETAILS'!B58</f>
        <v>1.3</v>
      </c>
      <c r="E18" s="593" t="s">
        <v>16</v>
      </c>
      <c r="I18" s="693" t="s">
        <v>56</v>
      </c>
      <c r="J18" s="695">
        <f>'PROJECT DETAILS'!F58</f>
        <v>1.3</v>
      </c>
      <c r="K18" s="593" t="s">
        <v>16</v>
      </c>
      <c r="O18" s="693" t="s">
        <v>56</v>
      </c>
      <c r="P18" s="695">
        <f>'PROJECT DETAILS'!J58</f>
        <v>0.6</v>
      </c>
      <c r="Q18" s="593" t="s">
        <v>16</v>
      </c>
      <c r="U18" s="693" t="s">
        <v>56</v>
      </c>
      <c r="V18" s="695">
        <f>'PROJECT DETAILS'!N58</f>
        <v>0.6</v>
      </c>
      <c r="W18" s="593" t="s">
        <v>16</v>
      </c>
    </row>
    <row r="19" spans="1:23" s="593" customFormat="1">
      <c r="C19" s="693" t="s">
        <v>20</v>
      </c>
      <c r="D19" s="695">
        <f>'PROJECT DETAILS'!B57</f>
        <v>2</v>
      </c>
      <c r="E19" s="593" t="s">
        <v>195</v>
      </c>
      <c r="I19" s="693" t="s">
        <v>20</v>
      </c>
      <c r="J19" s="695">
        <f>'PROJECT DETAILS'!F57</f>
        <v>4</v>
      </c>
      <c r="K19" s="593" t="s">
        <v>195</v>
      </c>
      <c r="O19" s="693" t="s">
        <v>20</v>
      </c>
      <c r="P19" s="695">
        <f>'PROJECT DETAILS'!J57</f>
        <v>5</v>
      </c>
      <c r="Q19" s="593" t="s">
        <v>195</v>
      </c>
      <c r="U19" s="693" t="s">
        <v>20</v>
      </c>
      <c r="V19" s="695">
        <f>'PROJECT DETAILS'!N57</f>
        <v>5</v>
      </c>
      <c r="W19" s="593" t="s">
        <v>195</v>
      </c>
    </row>
    <row r="20" spans="1:23" s="593" customFormat="1">
      <c r="C20" s="693" t="s">
        <v>22</v>
      </c>
      <c r="D20" s="695">
        <f>D18*D17*D16*D19</f>
        <v>41.6</v>
      </c>
      <c r="E20" s="593" t="s">
        <v>23</v>
      </c>
      <c r="I20" s="693" t="s">
        <v>22</v>
      </c>
      <c r="J20" s="695">
        <f>J18*J17*J16*J19</f>
        <v>78</v>
      </c>
      <c r="K20" s="593" t="s">
        <v>23</v>
      </c>
      <c r="O20" s="693" t="s">
        <v>22</v>
      </c>
      <c r="P20" s="695">
        <f>P18*P17*P16*P19</f>
        <v>616.79999999999995</v>
      </c>
      <c r="Q20" s="593" t="s">
        <v>23</v>
      </c>
      <c r="U20" s="693" t="s">
        <v>22</v>
      </c>
      <c r="V20" s="695">
        <f>V18*V17*V16*V19</f>
        <v>616.79999999999995</v>
      </c>
      <c r="W20" s="593" t="s">
        <v>23</v>
      </c>
    </row>
    <row r="21" spans="1:23" s="593" customFormat="1">
      <c r="C21" s="693"/>
      <c r="D21" s="696"/>
      <c r="I21" s="693"/>
      <c r="J21" s="696"/>
      <c r="O21" s="693"/>
      <c r="P21" s="696"/>
      <c r="U21" s="693"/>
      <c r="V21" s="696"/>
    </row>
    <row r="22" spans="1:23" s="593" customFormat="1">
      <c r="C22" s="697" t="s">
        <v>196</v>
      </c>
    </row>
    <row r="23" spans="1:23" s="593" customFormat="1">
      <c r="B23" s="693" t="s">
        <v>197</v>
      </c>
      <c r="C23" s="695">
        <f>D25*D26*D27</f>
        <v>8.6062499999999993</v>
      </c>
      <c r="D23" s="593" t="s">
        <v>23</v>
      </c>
    </row>
    <row r="24" spans="1:23" s="593" customFormat="1"/>
    <row r="25" spans="1:23" s="593" customFormat="1">
      <c r="C25" s="693" t="s">
        <v>198</v>
      </c>
      <c r="D25" s="695">
        <f>'PROJECT DETAILS'!B133</f>
        <v>1.7</v>
      </c>
      <c r="E25" s="593" t="s">
        <v>16</v>
      </c>
    </row>
    <row r="26" spans="1:23" s="593" customFormat="1">
      <c r="C26" s="693" t="s">
        <v>199</v>
      </c>
      <c r="D26" s="655">
        <f>'PROJECT DETAILS'!B134+0.25</f>
        <v>1.35</v>
      </c>
      <c r="E26" s="593" t="s">
        <v>16</v>
      </c>
    </row>
    <row r="27" spans="1:23" s="593" customFormat="1">
      <c r="C27" s="693" t="s">
        <v>200</v>
      </c>
      <c r="D27" s="655">
        <f>'PROJECT DETAILS'!B135+0.25</f>
        <v>3.75</v>
      </c>
      <c r="E27" s="593" t="s">
        <v>16</v>
      </c>
    </row>
    <row r="28" spans="1:23" s="593" customFormat="1">
      <c r="C28" s="693"/>
    </row>
    <row r="29" spans="1:23" s="593" customFormat="1">
      <c r="A29" s="593" t="s">
        <v>88</v>
      </c>
      <c r="C29" s="693"/>
      <c r="G29" s="593" t="s">
        <v>89</v>
      </c>
      <c r="I29" s="693"/>
      <c r="M29" s="593" t="s">
        <v>90</v>
      </c>
      <c r="O29" s="693"/>
    </row>
    <row r="30" spans="1:23" s="593" customFormat="1">
      <c r="C30" s="697" t="s">
        <v>201</v>
      </c>
      <c r="I30" s="697" t="s">
        <v>201</v>
      </c>
      <c r="O30" s="697" t="s">
        <v>201</v>
      </c>
    </row>
    <row r="31" spans="1:23" s="593" customFormat="1">
      <c r="B31" s="693" t="s">
        <v>202</v>
      </c>
      <c r="C31" s="695">
        <f>D33*D34*D35</f>
        <v>0.4335</v>
      </c>
      <c r="D31" s="593" t="s">
        <v>23</v>
      </c>
      <c r="H31" s="693" t="s">
        <v>202</v>
      </c>
      <c r="I31" s="695">
        <f>J33*J34*J35</f>
        <v>0.4335</v>
      </c>
      <c r="J31" s="593" t="s">
        <v>23</v>
      </c>
      <c r="N31" s="693" t="s">
        <v>202</v>
      </c>
      <c r="O31" s="695">
        <f>P33*P34*P35</f>
        <v>0.4335</v>
      </c>
      <c r="P31" s="593" t="s">
        <v>23</v>
      </c>
    </row>
    <row r="32" spans="1:23" s="593" customFormat="1"/>
    <row r="33" spans="1:29" s="593" customFormat="1">
      <c r="C33" s="693" t="s">
        <v>203</v>
      </c>
      <c r="D33" s="695">
        <f>'PROJECT DETAILS'!B141</f>
        <v>0.6</v>
      </c>
      <c r="E33" s="593" t="s">
        <v>16</v>
      </c>
      <c r="I33" s="693" t="s">
        <v>203</v>
      </c>
      <c r="J33" s="695">
        <f>'PROJECT DETAILS'!F141</f>
        <v>0.6</v>
      </c>
      <c r="K33" s="593" t="s">
        <v>16</v>
      </c>
      <c r="O33" s="693" t="s">
        <v>203</v>
      </c>
      <c r="P33" s="695">
        <f>'PROJECT DETAILS'!J141</f>
        <v>0.6</v>
      </c>
      <c r="Q33" s="593" t="s">
        <v>16</v>
      </c>
    </row>
    <row r="34" spans="1:29" s="593" customFormat="1">
      <c r="C34" s="693" t="s">
        <v>204</v>
      </c>
      <c r="D34" s="695">
        <f>'PROJECT DETAILS'!B142+0.25</f>
        <v>0.85</v>
      </c>
      <c r="E34" s="593" t="s">
        <v>16</v>
      </c>
      <c r="I34" s="693" t="s">
        <v>204</v>
      </c>
      <c r="J34" s="695">
        <f>'PROJECT DETAILS'!F142+0.25</f>
        <v>0.85</v>
      </c>
      <c r="K34" s="593" t="s">
        <v>16</v>
      </c>
      <c r="O34" s="693" t="s">
        <v>204</v>
      </c>
      <c r="P34" s="695">
        <f>'PROJECT DETAILS'!J142+0.25</f>
        <v>0.85</v>
      </c>
      <c r="Q34" s="593" t="s">
        <v>16</v>
      </c>
    </row>
    <row r="35" spans="1:29" s="593" customFormat="1">
      <c r="C35" s="693" t="s">
        <v>205</v>
      </c>
      <c r="D35" s="695">
        <f>'PROJECT DETAILS'!B143+0.25</f>
        <v>0.85</v>
      </c>
      <c r="E35" s="593" t="s">
        <v>16</v>
      </c>
      <c r="I35" s="693" t="s">
        <v>205</v>
      </c>
      <c r="J35" s="695">
        <f>'PROJECT DETAILS'!F143+0.25</f>
        <v>0.85</v>
      </c>
      <c r="K35" s="593" t="s">
        <v>16</v>
      </c>
      <c r="O35" s="693" t="s">
        <v>205</v>
      </c>
      <c r="P35" s="695">
        <f>'PROJECT DETAILS'!J143+0.25</f>
        <v>0.85</v>
      </c>
      <c r="Q35" s="593" t="s">
        <v>16</v>
      </c>
    </row>
    <row r="36" spans="1:29" s="593" customFormat="1"/>
    <row r="37" spans="1:29" s="687" customFormat="1">
      <c r="A37" s="698" t="s">
        <v>206</v>
      </c>
    </row>
    <row r="38" spans="1:29" s="687" customFormat="1"/>
    <row r="39" spans="1:29" s="687" customFormat="1">
      <c r="A39" s="687" t="s">
        <v>207</v>
      </c>
    </row>
    <row r="40" spans="1:29" s="687" customFormat="1">
      <c r="A40" s="699" t="s">
        <v>208</v>
      </c>
      <c r="B40" s="700">
        <f>B6-C43-C65+C86</f>
        <v>1308.8595000000003</v>
      </c>
      <c r="C40" s="687" t="s">
        <v>187</v>
      </c>
    </row>
    <row r="41" spans="1:29" s="687" customFormat="1"/>
    <row r="42" spans="1:29" s="687" customFormat="1">
      <c r="B42" s="687" t="s">
        <v>209</v>
      </c>
    </row>
    <row r="43" spans="1:29" s="687" customFormat="1">
      <c r="B43" s="699" t="s">
        <v>210</v>
      </c>
      <c r="C43" s="701">
        <f>D45+D55+D57</f>
        <v>169.73650000000001</v>
      </c>
      <c r="D43" s="687" t="s">
        <v>23</v>
      </c>
    </row>
    <row r="44" spans="1:29" s="687" customFormat="1"/>
    <row r="45" spans="1:29" s="687" customFormat="1">
      <c r="C45" s="699" t="s">
        <v>211</v>
      </c>
      <c r="D45" s="701">
        <f>SUM(C53,F53,K53,N53,S53,V53,AA53,AD53)</f>
        <v>166.345</v>
      </c>
      <c r="E45" s="687" t="s">
        <v>23</v>
      </c>
    </row>
    <row r="46" spans="1:29" s="687" customFormat="1">
      <c r="A46" s="687" t="s">
        <v>212</v>
      </c>
      <c r="C46" s="699"/>
      <c r="D46" s="702"/>
    </row>
    <row r="47" spans="1:29" s="687" customFormat="1">
      <c r="A47" s="687" t="s">
        <v>10</v>
      </c>
      <c r="C47" s="699"/>
      <c r="D47" s="702"/>
      <c r="E47" s="687" t="s">
        <v>39</v>
      </c>
      <c r="I47" s="687" t="s">
        <v>11</v>
      </c>
      <c r="K47" s="699"/>
      <c r="L47" s="702"/>
      <c r="M47" s="687" t="s">
        <v>40</v>
      </c>
      <c r="Q47" s="687" t="s">
        <v>12</v>
      </c>
      <c r="S47" s="699"/>
      <c r="T47" s="702"/>
      <c r="U47" s="687" t="s">
        <v>41</v>
      </c>
      <c r="Y47" s="687" t="s">
        <v>13</v>
      </c>
      <c r="AA47" s="699"/>
      <c r="AB47" s="702"/>
      <c r="AC47" s="687" t="s">
        <v>42</v>
      </c>
    </row>
    <row r="48" spans="1:29" s="687" customFormat="1">
      <c r="C48" s="699"/>
      <c r="K48" s="699"/>
      <c r="S48" s="699"/>
      <c r="AA48" s="699"/>
    </row>
    <row r="49" spans="2:31" s="687" customFormat="1">
      <c r="B49" s="699" t="s">
        <v>213</v>
      </c>
      <c r="C49" s="701">
        <f>'PROJECT DETAILS'!B11</f>
        <v>0.7</v>
      </c>
      <c r="D49" s="687" t="s">
        <v>16</v>
      </c>
      <c r="E49" s="699" t="s">
        <v>213</v>
      </c>
      <c r="F49" s="701">
        <f>'PROJECT DETAILS'!B35</f>
        <v>3</v>
      </c>
      <c r="G49" s="687" t="s">
        <v>16</v>
      </c>
      <c r="J49" s="699" t="s">
        <v>213</v>
      </c>
      <c r="K49" s="701">
        <f>'PROJECT DETAILS'!F11</f>
        <v>0.6</v>
      </c>
      <c r="L49" s="687" t="s">
        <v>16</v>
      </c>
      <c r="M49" s="699" t="s">
        <v>213</v>
      </c>
      <c r="N49" s="701">
        <f>'PROJECT DETAILS'!F35</f>
        <v>2</v>
      </c>
      <c r="O49" s="687" t="s">
        <v>16</v>
      </c>
      <c r="R49" s="699" t="s">
        <v>213</v>
      </c>
      <c r="S49" s="701">
        <f>'PROJECT DETAILS'!J11</f>
        <v>0.35</v>
      </c>
      <c r="T49" s="687" t="s">
        <v>16</v>
      </c>
      <c r="U49" s="699" t="s">
        <v>213</v>
      </c>
      <c r="V49" s="701">
        <f>'PROJECT DETAILS'!J35</f>
        <v>1</v>
      </c>
      <c r="W49" s="687" t="s">
        <v>16</v>
      </c>
      <c r="Z49" s="699" t="s">
        <v>213</v>
      </c>
      <c r="AA49" s="701">
        <f>'PROJECT DETAILS'!N11</f>
        <v>0.35</v>
      </c>
      <c r="AB49" s="687" t="s">
        <v>16</v>
      </c>
      <c r="AC49" s="699" t="s">
        <v>213</v>
      </c>
      <c r="AD49" s="701">
        <f>'PROJECT DETAILS'!N35</f>
        <v>1</v>
      </c>
      <c r="AE49" s="687" t="s">
        <v>16</v>
      </c>
    </row>
    <row r="50" spans="2:31" s="687" customFormat="1">
      <c r="B50" s="699" t="s">
        <v>214</v>
      </c>
      <c r="C50" s="701">
        <f>'PROJECT DETAILS'!B12</f>
        <v>1.1000000000000001</v>
      </c>
      <c r="D50" s="687" t="s">
        <v>16</v>
      </c>
      <c r="E50" s="699" t="s">
        <v>214</v>
      </c>
      <c r="F50" s="701">
        <f>'PROJECT DETAILS'!B36</f>
        <v>3</v>
      </c>
      <c r="G50" s="687" t="s">
        <v>16</v>
      </c>
      <c r="J50" s="699" t="s">
        <v>214</v>
      </c>
      <c r="K50" s="701">
        <f>'PROJECT DETAILS'!F12</f>
        <v>0.6</v>
      </c>
      <c r="L50" s="687" t="s">
        <v>16</v>
      </c>
      <c r="M50" s="699" t="s">
        <v>214</v>
      </c>
      <c r="N50" s="701">
        <f>'PROJECT DETAILS'!F36</f>
        <v>2</v>
      </c>
      <c r="O50" s="687" t="s">
        <v>16</v>
      </c>
      <c r="R50" s="699" t="s">
        <v>214</v>
      </c>
      <c r="S50" s="701">
        <f>'PROJECT DETAILS'!J12</f>
        <v>0.35</v>
      </c>
      <c r="T50" s="687" t="s">
        <v>16</v>
      </c>
      <c r="U50" s="699" t="s">
        <v>214</v>
      </c>
      <c r="V50" s="701">
        <f>'PROJECT DETAILS'!J36</f>
        <v>1</v>
      </c>
      <c r="W50" s="687" t="s">
        <v>16</v>
      </c>
      <c r="Z50" s="699" t="s">
        <v>214</v>
      </c>
      <c r="AA50" s="701">
        <f>'PROJECT DETAILS'!N12</f>
        <v>0.35</v>
      </c>
      <c r="AB50" s="687" t="s">
        <v>16</v>
      </c>
      <c r="AC50" s="699" t="s">
        <v>214</v>
      </c>
      <c r="AD50" s="701">
        <f>'PROJECT DETAILS'!N36</f>
        <v>1</v>
      </c>
      <c r="AE50" s="687" t="s">
        <v>16</v>
      </c>
    </row>
    <row r="51" spans="2:31" s="687" customFormat="1">
      <c r="B51" s="699" t="s">
        <v>215</v>
      </c>
      <c r="C51" s="701">
        <f>'PROJECT DETAILS'!B10</f>
        <v>2.5</v>
      </c>
      <c r="D51" s="687" t="s">
        <v>16</v>
      </c>
      <c r="E51" s="699" t="s">
        <v>216</v>
      </c>
      <c r="F51" s="701">
        <f>'PROJECT DETAILS'!B37</f>
        <v>0.8</v>
      </c>
      <c r="G51" s="687" t="s">
        <v>16</v>
      </c>
      <c r="J51" s="699" t="s">
        <v>215</v>
      </c>
      <c r="K51" s="701">
        <f>'PROJECT DETAILS'!F10</f>
        <v>2</v>
      </c>
      <c r="L51" s="687" t="s">
        <v>16</v>
      </c>
      <c r="M51" s="699" t="s">
        <v>216</v>
      </c>
      <c r="N51" s="701">
        <f>'PROJECT DETAILS'!F37</f>
        <v>0.6</v>
      </c>
      <c r="O51" s="687" t="s">
        <v>16</v>
      </c>
      <c r="R51" s="699" t="s">
        <v>215</v>
      </c>
      <c r="S51" s="701">
        <f>'PROJECT DETAILS'!J10</f>
        <v>0.55000000000000004</v>
      </c>
      <c r="T51" s="687" t="s">
        <v>16</v>
      </c>
      <c r="U51" s="699" t="s">
        <v>216</v>
      </c>
      <c r="V51" s="701">
        <f>'PROJECT DETAILS'!J37</f>
        <v>0.25</v>
      </c>
      <c r="W51" s="687" t="s">
        <v>16</v>
      </c>
      <c r="Z51" s="699" t="s">
        <v>215</v>
      </c>
      <c r="AA51" s="701">
        <f>'PROJECT DETAILS'!N10</f>
        <v>0.55000000000000004</v>
      </c>
      <c r="AB51" s="687" t="s">
        <v>16</v>
      </c>
      <c r="AC51" s="699" t="s">
        <v>216</v>
      </c>
      <c r="AD51" s="701">
        <f>'PROJECT DETAILS'!N37</f>
        <v>0.25</v>
      </c>
      <c r="AE51" s="687" t="s">
        <v>16</v>
      </c>
    </row>
    <row r="52" spans="2:31" s="687" customFormat="1">
      <c r="B52" s="699" t="s">
        <v>20</v>
      </c>
      <c r="C52" s="701">
        <f>C12</f>
        <v>10</v>
      </c>
      <c r="D52" s="687" t="s">
        <v>21</v>
      </c>
      <c r="E52" s="699" t="s">
        <v>20</v>
      </c>
      <c r="F52" s="701">
        <f>C52</f>
        <v>10</v>
      </c>
      <c r="G52" s="687" t="s">
        <v>21</v>
      </c>
      <c r="J52" s="699" t="s">
        <v>20</v>
      </c>
      <c r="K52" s="701">
        <f>H12</f>
        <v>20</v>
      </c>
      <c r="L52" s="687" t="s">
        <v>21</v>
      </c>
      <c r="M52" s="699" t="s">
        <v>20</v>
      </c>
      <c r="N52" s="701">
        <f>K52</f>
        <v>20</v>
      </c>
      <c r="O52" s="687" t="s">
        <v>21</v>
      </c>
      <c r="R52" s="699" t="s">
        <v>20</v>
      </c>
      <c r="S52" s="701">
        <f>M12</f>
        <v>20</v>
      </c>
      <c r="T52" s="687" t="s">
        <v>21</v>
      </c>
      <c r="U52" s="699" t="s">
        <v>20</v>
      </c>
      <c r="V52" s="701">
        <f>S52</f>
        <v>20</v>
      </c>
      <c r="W52" s="687" t="s">
        <v>21</v>
      </c>
      <c r="Z52" s="699" t="s">
        <v>20</v>
      </c>
      <c r="AA52" s="701">
        <f>R12</f>
        <v>20</v>
      </c>
      <c r="AB52" s="687" t="s">
        <v>21</v>
      </c>
      <c r="AC52" s="699" t="s">
        <v>20</v>
      </c>
      <c r="AD52" s="701">
        <f>AA52</f>
        <v>20</v>
      </c>
      <c r="AE52" s="687" t="s">
        <v>21</v>
      </c>
    </row>
    <row r="53" spans="2:31" s="687" customFormat="1">
      <c r="C53" s="703">
        <f>C52*C51*C50*C49</f>
        <v>19.25</v>
      </c>
      <c r="F53" s="703">
        <f>F52*F51*F50*F49</f>
        <v>72</v>
      </c>
      <c r="K53" s="703">
        <f>K52*K51*K50*K49</f>
        <v>14.399999999999999</v>
      </c>
      <c r="N53" s="703">
        <f>N52*N51*N50*N49</f>
        <v>48</v>
      </c>
      <c r="S53" s="703">
        <f>S52*S51*S50*S49</f>
        <v>1.3474999999999997</v>
      </c>
      <c r="V53" s="703">
        <f>V52*V51*V50*V49</f>
        <v>5</v>
      </c>
      <c r="AA53" s="703">
        <f>AA52*AA51*AA50*AA49</f>
        <v>1.3474999999999997</v>
      </c>
      <c r="AD53" s="703">
        <f>AD52*AD51*AD50*AD49</f>
        <v>5</v>
      </c>
    </row>
    <row r="54" spans="2:31" s="687" customFormat="1">
      <c r="C54" s="704"/>
      <c r="F54" s="704"/>
      <c r="K54" s="704"/>
      <c r="N54" s="704"/>
      <c r="S54" s="704"/>
      <c r="V54" s="704"/>
      <c r="AA54" s="704"/>
      <c r="AD54" s="704"/>
    </row>
    <row r="55" spans="2:31" s="687" customFormat="1">
      <c r="C55" s="699" t="s">
        <v>217</v>
      </c>
      <c r="D55" s="701">
        <f>'PROJECT DETAILS'!B151</f>
        <v>0</v>
      </c>
      <c r="E55" s="687" t="s">
        <v>23</v>
      </c>
    </row>
    <row r="56" spans="2:31" s="687" customFormat="1">
      <c r="C56" s="699"/>
    </row>
    <row r="57" spans="2:31" s="687" customFormat="1">
      <c r="C57" s="699" t="s">
        <v>218</v>
      </c>
      <c r="D57" s="701">
        <f>F59*F60*F61</f>
        <v>3.3914999999999997</v>
      </c>
      <c r="E57" s="687" t="s">
        <v>23</v>
      </c>
    </row>
    <row r="58" spans="2:31" s="687" customFormat="1">
      <c r="C58" s="699"/>
    </row>
    <row r="59" spans="2:31" s="687" customFormat="1">
      <c r="C59" s="699"/>
      <c r="E59" s="699" t="s">
        <v>101</v>
      </c>
      <c r="F59" s="701">
        <f>'PROJECT DETAILS'!B157</f>
        <v>64.599999999999994</v>
      </c>
      <c r="G59" s="687" t="s">
        <v>16</v>
      </c>
    </row>
    <row r="60" spans="2:31" s="687" customFormat="1">
      <c r="C60" s="699"/>
      <c r="E60" s="699" t="s">
        <v>102</v>
      </c>
      <c r="F60" s="701">
        <f>'PROJECT DETAILS'!B158</f>
        <v>0.15</v>
      </c>
      <c r="G60" s="687" t="s">
        <v>16</v>
      </c>
    </row>
    <row r="61" spans="2:31" s="687" customFormat="1">
      <c r="C61" s="699"/>
      <c r="E61" s="699" t="s">
        <v>103</v>
      </c>
      <c r="F61" s="701">
        <f>'PROJECT DETAILS'!B159</f>
        <v>0.35</v>
      </c>
      <c r="G61" s="687" t="s">
        <v>16</v>
      </c>
    </row>
    <row r="62" spans="2:31" s="687" customFormat="1">
      <c r="C62" s="699"/>
    </row>
    <row r="63" spans="2:31" s="687" customFormat="1"/>
    <row r="64" spans="2:31" s="687" customFormat="1">
      <c r="B64" s="687" t="s">
        <v>219</v>
      </c>
    </row>
    <row r="65" spans="1:23" s="687" customFormat="1">
      <c r="B65" s="699" t="s">
        <v>220</v>
      </c>
      <c r="C65" s="701">
        <f>D68+D76</f>
        <v>567.476</v>
      </c>
      <c r="D65" s="687" t="s">
        <v>23</v>
      </c>
    </row>
    <row r="66" spans="1:23" s="687" customFormat="1"/>
    <row r="67" spans="1:23" s="687" customFormat="1">
      <c r="C67" s="687" t="s">
        <v>221</v>
      </c>
    </row>
    <row r="68" spans="1:23" s="687" customFormat="1">
      <c r="C68" s="699" t="s">
        <v>222</v>
      </c>
      <c r="D68" s="701">
        <f>F70*F71*F72</f>
        <v>3.8759999999999999</v>
      </c>
      <c r="E68" s="687" t="s">
        <v>23</v>
      </c>
    </row>
    <row r="69" spans="1:23" s="687" customFormat="1">
      <c r="C69" s="699"/>
    </row>
    <row r="70" spans="1:23" s="687" customFormat="1">
      <c r="C70" s="699"/>
      <c r="E70" s="699" t="s">
        <v>55</v>
      </c>
      <c r="F70" s="701">
        <f>'PROJECT DETAILS'!B113</f>
        <v>64.599999999999994</v>
      </c>
      <c r="G70" s="687" t="s">
        <v>16</v>
      </c>
    </row>
    <row r="71" spans="1:23" s="687" customFormat="1">
      <c r="C71" s="699"/>
      <c r="E71" s="699" t="s">
        <v>18</v>
      </c>
      <c r="F71" s="701">
        <f>'PROJECT DETAILS'!B114</f>
        <v>0.4</v>
      </c>
      <c r="G71" s="687" t="s">
        <v>16</v>
      </c>
    </row>
    <row r="72" spans="1:23" s="687" customFormat="1">
      <c r="C72" s="699"/>
      <c r="E72" s="699" t="s">
        <v>45</v>
      </c>
      <c r="F72" s="701">
        <f>'PROJECT DETAILS'!B115</f>
        <v>0.15</v>
      </c>
      <c r="G72" s="687" t="s">
        <v>16</v>
      </c>
    </row>
    <row r="73" spans="1:23" s="687" customFormat="1">
      <c r="C73" s="699"/>
    </row>
    <row r="74" spans="1:23" s="687" customFormat="1"/>
    <row r="75" spans="1:23" s="687" customFormat="1">
      <c r="C75" s="687" t="s">
        <v>223</v>
      </c>
    </row>
    <row r="76" spans="1:23" s="687" customFormat="1">
      <c r="C76" s="699" t="s">
        <v>224</v>
      </c>
      <c r="D76" s="701">
        <f>SUM(D83,P83,V83,J83)</f>
        <v>563.6</v>
      </c>
      <c r="E76" s="687" t="s">
        <v>23</v>
      </c>
    </row>
    <row r="77" spans="1:23" s="687" customFormat="1">
      <c r="C77" s="699"/>
      <c r="D77" s="702"/>
    </row>
    <row r="78" spans="1:23" s="687" customFormat="1">
      <c r="A78" s="687" t="s">
        <v>51</v>
      </c>
      <c r="C78" s="699"/>
      <c r="G78" s="687" t="s">
        <v>52</v>
      </c>
      <c r="I78" s="699"/>
      <c r="M78" s="687" t="s">
        <v>53</v>
      </c>
      <c r="O78" s="699"/>
      <c r="S78" s="687" t="s">
        <v>54</v>
      </c>
      <c r="U78" s="699"/>
    </row>
    <row r="79" spans="1:23" s="687" customFormat="1">
      <c r="C79" s="699" t="s">
        <v>55</v>
      </c>
      <c r="D79" s="701">
        <f>'PROJECT DETAILS'!B54</f>
        <v>40</v>
      </c>
      <c r="E79" s="687" t="s">
        <v>16</v>
      </c>
      <c r="I79" s="699" t="s">
        <v>55</v>
      </c>
      <c r="J79" s="701">
        <f>'PROJECT DETAILS'!F54</f>
        <v>50</v>
      </c>
      <c r="K79" s="687" t="s">
        <v>16</v>
      </c>
      <c r="O79" s="699" t="s">
        <v>55</v>
      </c>
      <c r="P79" s="701">
        <f>'PROJECT DETAILS'!J54</f>
        <v>51.4</v>
      </c>
      <c r="Q79" s="687" t="s">
        <v>16</v>
      </c>
      <c r="U79" s="699" t="s">
        <v>55</v>
      </c>
      <c r="V79" s="701">
        <f>'PROJECT DETAILS'!N54</f>
        <v>51.4</v>
      </c>
      <c r="W79" s="687" t="s">
        <v>16</v>
      </c>
    </row>
    <row r="80" spans="1:23" s="687" customFormat="1">
      <c r="C80" s="699" t="s">
        <v>18</v>
      </c>
      <c r="D80" s="701">
        <f>'PROJECT DETAILS'!B55</f>
        <v>0.4</v>
      </c>
      <c r="E80" s="687" t="s">
        <v>16</v>
      </c>
      <c r="I80" s="699" t="s">
        <v>18</v>
      </c>
      <c r="J80" s="701">
        <f>'PROJECT DETAILS'!F55</f>
        <v>0.3</v>
      </c>
      <c r="K80" s="687" t="s">
        <v>16</v>
      </c>
      <c r="O80" s="699" t="s">
        <v>18</v>
      </c>
      <c r="P80" s="701">
        <f>'PROJECT DETAILS'!N55</f>
        <v>4</v>
      </c>
      <c r="Q80" s="687" t="s">
        <v>16</v>
      </c>
      <c r="U80" s="699" t="s">
        <v>18</v>
      </c>
      <c r="V80" s="701">
        <f>'PROJECT DETAILS'!N55</f>
        <v>4</v>
      </c>
      <c r="W80" s="687" t="s">
        <v>16</v>
      </c>
    </row>
    <row r="81" spans="2:23" s="687" customFormat="1">
      <c r="C81" s="699" t="s">
        <v>45</v>
      </c>
      <c r="D81" s="701">
        <f>'PROJECT DETAILS'!B56</f>
        <v>0.8</v>
      </c>
      <c r="E81" s="687" t="s">
        <v>16</v>
      </c>
      <c r="I81" s="699" t="s">
        <v>45</v>
      </c>
      <c r="J81" s="701">
        <f>'PROJECT DETAILS'!F56</f>
        <v>0.4</v>
      </c>
      <c r="K81" s="687" t="s">
        <v>16</v>
      </c>
      <c r="O81" s="699" t="s">
        <v>45</v>
      </c>
      <c r="P81" s="701">
        <f>'PROJECT DETAILS'!N56</f>
        <v>0.25</v>
      </c>
      <c r="Q81" s="687" t="s">
        <v>16</v>
      </c>
      <c r="U81" s="699" t="s">
        <v>45</v>
      </c>
      <c r="V81" s="701">
        <f>'PROJECT DETAILS'!N56</f>
        <v>0.25</v>
      </c>
      <c r="W81" s="687" t="s">
        <v>16</v>
      </c>
    </row>
    <row r="82" spans="2:23" s="687" customFormat="1">
      <c r="C82" s="699" t="s">
        <v>20</v>
      </c>
      <c r="D82" s="701">
        <f>'PROJECT DETAILS'!B57</f>
        <v>2</v>
      </c>
      <c r="E82" s="687" t="s">
        <v>195</v>
      </c>
      <c r="I82" s="699" t="s">
        <v>20</v>
      </c>
      <c r="J82" s="701">
        <f>'PROJECT DETAILS'!F57</f>
        <v>4</v>
      </c>
      <c r="K82" s="687" t="s">
        <v>195</v>
      </c>
      <c r="O82" s="699" t="s">
        <v>20</v>
      </c>
      <c r="P82" s="701">
        <f>'PROJECT DETAILS'!J57</f>
        <v>5</v>
      </c>
      <c r="Q82" s="687" t="s">
        <v>195</v>
      </c>
      <c r="U82" s="699" t="s">
        <v>20</v>
      </c>
      <c r="V82" s="701">
        <f>'PROJECT DETAILS'!N57</f>
        <v>5</v>
      </c>
      <c r="W82" s="687" t="s">
        <v>195</v>
      </c>
    </row>
    <row r="83" spans="2:23" s="687" customFormat="1">
      <c r="C83" s="699" t="s">
        <v>22</v>
      </c>
      <c r="D83" s="701">
        <f>D81*D80*D79*D82</f>
        <v>25.600000000000005</v>
      </c>
      <c r="E83" s="687" t="s">
        <v>23</v>
      </c>
      <c r="I83" s="699" t="s">
        <v>22</v>
      </c>
      <c r="J83" s="701">
        <f>J81*J80*J79*J82</f>
        <v>24</v>
      </c>
      <c r="K83" s="687" t="s">
        <v>23</v>
      </c>
      <c r="O83" s="699" t="s">
        <v>22</v>
      </c>
      <c r="P83" s="701">
        <f>P81*P80*P79*P82</f>
        <v>257</v>
      </c>
      <c r="Q83" s="687" t="s">
        <v>23</v>
      </c>
      <c r="U83" s="699" t="s">
        <v>22</v>
      </c>
      <c r="V83" s="701">
        <f>V81*V80*V79*V82</f>
        <v>257</v>
      </c>
      <c r="W83" s="687" t="s">
        <v>23</v>
      </c>
    </row>
    <row r="84" spans="2:23" s="687" customFormat="1"/>
    <row r="85" spans="2:23" s="687" customFormat="1">
      <c r="B85" s="687" t="s">
        <v>225</v>
      </c>
    </row>
    <row r="86" spans="2:23" s="687" customFormat="1">
      <c r="B86" s="699" t="s">
        <v>226</v>
      </c>
      <c r="C86" s="701">
        <f>D88+D95</f>
        <v>7.6840000000000002</v>
      </c>
      <c r="D86" s="687" t="s">
        <v>23</v>
      </c>
    </row>
    <row r="87" spans="2:23" s="687" customFormat="1">
      <c r="C87" s="687" t="s">
        <v>227</v>
      </c>
    </row>
    <row r="88" spans="2:23" s="687" customFormat="1">
      <c r="C88" s="699" t="s">
        <v>228</v>
      </c>
      <c r="D88" s="701">
        <f>E90*E91</f>
        <v>0.12</v>
      </c>
      <c r="E88" s="687" t="s">
        <v>23</v>
      </c>
    </row>
    <row r="89" spans="2:23" s="687" customFormat="1">
      <c r="C89" s="699"/>
    </row>
    <row r="90" spans="2:23" s="687" customFormat="1">
      <c r="C90" s="699"/>
      <c r="D90" s="699" t="s">
        <v>77</v>
      </c>
      <c r="E90" s="701">
        <f>'PROJECT DETAILS'!B119</f>
        <v>1.2</v>
      </c>
      <c r="F90" s="687" t="s">
        <v>16</v>
      </c>
    </row>
    <row r="91" spans="2:23" s="687" customFormat="1">
      <c r="D91" s="699" t="s">
        <v>78</v>
      </c>
      <c r="E91" s="701">
        <f>'PROJECT DETAILS'!B120</f>
        <v>0.1</v>
      </c>
      <c r="F91" s="687" t="s">
        <v>16</v>
      </c>
    </row>
    <row r="92" spans="2:23" s="687" customFormat="1">
      <c r="D92" s="699" t="s">
        <v>22</v>
      </c>
      <c r="E92" s="701">
        <f>E91*E90</f>
        <v>0.12</v>
      </c>
      <c r="F92" s="687" t="s">
        <v>23</v>
      </c>
    </row>
    <row r="93" spans="2:23" s="687" customFormat="1">
      <c r="D93" s="699"/>
      <c r="E93" s="702"/>
    </row>
    <row r="94" spans="2:23" s="687" customFormat="1">
      <c r="C94" s="687" t="s">
        <v>229</v>
      </c>
      <c r="E94" s="702"/>
    </row>
    <row r="95" spans="2:23" s="687" customFormat="1">
      <c r="C95" s="699" t="s">
        <v>230</v>
      </c>
      <c r="D95" s="701">
        <f>E97*E98</f>
        <v>7.5640000000000001</v>
      </c>
      <c r="E95" s="702" t="s">
        <v>23</v>
      </c>
    </row>
    <row r="96" spans="2:23" s="687" customFormat="1">
      <c r="E96" s="702"/>
    </row>
    <row r="97" spans="1:6" s="687" customFormat="1">
      <c r="A97" s="698"/>
      <c r="D97" s="699" t="s">
        <v>77</v>
      </c>
      <c r="E97" s="701">
        <f>'PROJECT DETAILS'!B126</f>
        <v>75.64</v>
      </c>
      <c r="F97" s="687" t="s">
        <v>231</v>
      </c>
    </row>
    <row r="98" spans="1:6" s="687" customFormat="1">
      <c r="D98" s="699" t="s">
        <v>78</v>
      </c>
      <c r="E98" s="701">
        <f>'PROJECT DETAILS'!B127</f>
        <v>0.1</v>
      </c>
      <c r="F98" s="687" t="s">
        <v>16</v>
      </c>
    </row>
    <row r="99" spans="1:6" s="687" customFormat="1">
      <c r="D99" s="699" t="s">
        <v>22</v>
      </c>
      <c r="E99" s="701">
        <f>E98*E97</f>
        <v>7.5640000000000001</v>
      </c>
      <c r="F99" s="687" t="s">
        <v>23</v>
      </c>
    </row>
    <row r="100" spans="1:6" s="687" customFormat="1"/>
    <row r="101" spans="1:6" s="60" customFormat="1">
      <c r="A101" s="705" t="s">
        <v>232</v>
      </c>
    </row>
    <row r="102" spans="1:6" s="60" customFormat="1"/>
    <row r="103" spans="1:6" s="60" customFormat="1">
      <c r="A103" s="60" t="s">
        <v>233</v>
      </c>
      <c r="B103" s="706">
        <f>SUM('PROJECT DETAILS'!B15,'PROJECT DETAILS'!F15,'PROJECT DETAILS'!J15,'PROJECT DETAILS'!N15,'PROJECT DETAILS'!F39,'PROJECT DETAILS'!J39,'PROJECT DETAILS'!N39,'PROJECT DETAILS'!B59,'PROJECT DETAILS'!F59,'PROJECT DETAILS'!J59,'PROJECT DETAILS'!N59,'PROJECT DETAILS'!B116,'PROJECT DETAILS'!B121,'PROJECT DETAILS'!B128,'PROJECT DETAILS'!B144,'PROJECT DETAILS'!F144,'PROJECT DETAILS'!J144,'PROJECT DETAILS'!B151,'PROJECT DETAILS'!B88,'PROJECT DETAILS'!F88,'PROJECT DETAILS'!J88,'PROJECT DETAILS'!N88)</f>
        <v>1704.7829999999999</v>
      </c>
      <c r="C103" s="60" t="s">
        <v>23</v>
      </c>
    </row>
    <row r="104" spans="1:6" s="60" customFormat="1"/>
    <row r="105" spans="1:6" s="688" customFormat="1">
      <c r="A105" s="689" t="s">
        <v>234</v>
      </c>
    </row>
    <row r="106" spans="1:6" s="688" customFormat="1"/>
    <row r="107" spans="1:6" s="688" customFormat="1">
      <c r="A107" s="688" t="s">
        <v>235</v>
      </c>
      <c r="B107" s="707">
        <f>SUM(C110:C114)</f>
        <v>91.183999999999997</v>
      </c>
      <c r="C107" s="688" t="s">
        <v>236</v>
      </c>
    </row>
    <row r="108" spans="1:6" s="688" customFormat="1"/>
    <row r="109" spans="1:6" s="688" customFormat="1">
      <c r="B109" s="688" t="s">
        <v>237</v>
      </c>
      <c r="C109" s="708" t="s">
        <v>238</v>
      </c>
    </row>
    <row r="110" spans="1:6" s="688" customFormat="1">
      <c r="A110" s="688" t="s">
        <v>239</v>
      </c>
      <c r="B110" s="709">
        <v>0</v>
      </c>
      <c r="C110" s="710">
        <f>B110*6.313</f>
        <v>0</v>
      </c>
    </row>
    <row r="111" spans="1:6" s="688" customFormat="1">
      <c r="A111" s="688" t="s">
        <v>240</v>
      </c>
      <c r="B111" s="709">
        <v>0</v>
      </c>
      <c r="C111" s="710">
        <f>B111*3.853</f>
        <v>0</v>
      </c>
    </row>
    <row r="112" spans="1:6" s="688" customFormat="1">
      <c r="A112" s="688" t="s">
        <v>241</v>
      </c>
      <c r="B112" s="709">
        <v>0</v>
      </c>
      <c r="C112" s="710">
        <f>B112*1.578</f>
        <v>0</v>
      </c>
    </row>
    <row r="113" spans="1:19" s="688" customFormat="1">
      <c r="A113" s="688" t="s">
        <v>242</v>
      </c>
      <c r="B113" s="709">
        <f>SUM(B122,B135,B191,B199,G199)</f>
        <v>68</v>
      </c>
      <c r="C113" s="710">
        <f>B113*0.888</f>
        <v>60.384</v>
      </c>
    </row>
    <row r="114" spans="1:19" s="688" customFormat="1">
      <c r="A114" s="688" t="s">
        <v>243</v>
      </c>
      <c r="B114" s="709">
        <f>SUM(B144,G144,B208,B222,F249)</f>
        <v>50</v>
      </c>
      <c r="C114" s="710">
        <f>B114*0.616</f>
        <v>30.8</v>
      </c>
    </row>
    <row r="115" spans="1:19" s="688" customFormat="1"/>
    <row r="116" spans="1:19" s="688" customFormat="1">
      <c r="A116" s="688" t="s">
        <v>244</v>
      </c>
    </row>
    <row r="117" spans="1:19" s="688" customFormat="1"/>
    <row r="118" spans="1:19" s="689" customFormat="1" ht="15.75" customHeight="1">
      <c r="A118" s="689" t="s">
        <v>39</v>
      </c>
      <c r="F118" s="689" t="s">
        <v>40</v>
      </c>
      <c r="K118" s="689" t="s">
        <v>41</v>
      </c>
      <c r="P118" s="689" t="s">
        <v>42</v>
      </c>
    </row>
    <row r="119" spans="1:19" s="688" customFormat="1" ht="15.75" customHeight="1"/>
    <row r="120" spans="1:19" s="688" customFormat="1">
      <c r="A120" s="688" t="s">
        <v>245</v>
      </c>
    </row>
    <row r="121" spans="1:19" s="688" customFormat="1"/>
    <row r="122" spans="1:19" s="688" customFormat="1">
      <c r="A122" s="688" t="s">
        <v>246</v>
      </c>
      <c r="B122" s="711">
        <f>'PROJECT DETAILS'!B40</f>
        <v>12</v>
      </c>
      <c r="C122" s="688" t="s">
        <v>25</v>
      </c>
      <c r="F122" s="688" t="s">
        <v>246</v>
      </c>
      <c r="G122" s="711">
        <f>'PROJECT DETAILS'!F40</f>
        <v>12</v>
      </c>
      <c r="H122" s="688" t="s">
        <v>25</v>
      </c>
      <c r="K122" s="688" t="s">
        <v>246</v>
      </c>
      <c r="L122" s="711">
        <f>'PROJECT DETAILS'!J40</f>
        <v>12</v>
      </c>
      <c r="M122" s="688" t="s">
        <v>25</v>
      </c>
      <c r="P122" s="688" t="s">
        <v>246</v>
      </c>
      <c r="Q122" s="711">
        <f>'PROJECT DETAILS'!N40</f>
        <v>12</v>
      </c>
      <c r="R122" s="688" t="s">
        <v>25</v>
      </c>
    </row>
    <row r="123" spans="1:19" s="688" customFormat="1">
      <c r="A123" s="712" t="s">
        <v>247</v>
      </c>
      <c r="B123" s="713">
        <f>0.012*B122</f>
        <v>0.14400000000000002</v>
      </c>
      <c r="C123" s="688" t="s">
        <v>16</v>
      </c>
      <c r="F123" s="712" t="s">
        <v>247</v>
      </c>
      <c r="G123" s="713">
        <f>0.012*G122</f>
        <v>0.14400000000000002</v>
      </c>
      <c r="H123" s="688" t="s">
        <v>16</v>
      </c>
      <c r="K123" s="712" t="s">
        <v>247</v>
      </c>
      <c r="L123" s="713">
        <f>0.012*L122</f>
        <v>0.14400000000000002</v>
      </c>
      <c r="M123" s="688" t="s">
        <v>16</v>
      </c>
      <c r="P123" s="712" t="s">
        <v>247</v>
      </c>
      <c r="Q123" s="713">
        <f>0.012*Q122</f>
        <v>0.14400000000000002</v>
      </c>
      <c r="R123" s="688" t="s">
        <v>16</v>
      </c>
    </row>
    <row r="124" spans="1:19" s="688" customFormat="1">
      <c r="A124" s="714" t="s">
        <v>248</v>
      </c>
      <c r="C124" s="710">
        <f>'PROJECT DETAILS'!B35-0.08</f>
        <v>2.92</v>
      </c>
      <c r="D124" s="688" t="s">
        <v>16</v>
      </c>
      <c r="F124" s="714" t="s">
        <v>249</v>
      </c>
      <c r="H124" s="710">
        <f>'PROJECT DETAILS'!F35-0.08</f>
        <v>1.92</v>
      </c>
      <c r="I124" s="688" t="s">
        <v>16</v>
      </c>
      <c r="K124" s="714" t="s">
        <v>249</v>
      </c>
      <c r="M124" s="710">
        <f>'PROJECT DETAILS'!J35-0.08</f>
        <v>0.92</v>
      </c>
      <c r="N124" s="688" t="s">
        <v>16</v>
      </c>
      <c r="P124" s="714" t="s">
        <v>249</v>
      </c>
      <c r="R124" s="710">
        <f>'PROJECT DETAILS'!N35-0.08</f>
        <v>0.92</v>
      </c>
      <c r="S124" s="688" t="s">
        <v>16</v>
      </c>
    </row>
    <row r="125" spans="1:19" s="688" customFormat="1">
      <c r="A125" s="688" t="s">
        <v>250</v>
      </c>
      <c r="C125" s="710">
        <f>'PROJECT DETAILS'!B42</f>
        <v>5</v>
      </c>
      <c r="D125" s="688" t="s">
        <v>21</v>
      </c>
      <c r="F125" s="688" t="s">
        <v>250</v>
      </c>
      <c r="H125" s="710">
        <f>'PROJECT DETAILS'!F42</f>
        <v>5</v>
      </c>
      <c r="I125" s="688" t="s">
        <v>21</v>
      </c>
      <c r="K125" s="688" t="s">
        <v>250</v>
      </c>
      <c r="M125" s="710">
        <f>'PROJECT DETAILS'!J42</f>
        <v>5</v>
      </c>
      <c r="N125" s="688" t="s">
        <v>21</v>
      </c>
      <c r="P125" s="688" t="s">
        <v>250</v>
      </c>
      <c r="R125" s="710">
        <f>'PROJECT DETAILS'!N42</f>
        <v>5</v>
      </c>
      <c r="S125" s="688" t="s">
        <v>21</v>
      </c>
    </row>
    <row r="126" spans="1:19" s="688" customFormat="1">
      <c r="A126" s="714" t="s">
        <v>251</v>
      </c>
      <c r="C126" s="710">
        <f>'PROJECT DETAILS'!B36-0.08</f>
        <v>2.92</v>
      </c>
      <c r="D126" s="688" t="s">
        <v>16</v>
      </c>
      <c r="F126" s="714" t="s">
        <v>252</v>
      </c>
      <c r="H126" s="710">
        <f>'PROJECT DETAILS'!F36-0.08</f>
        <v>1.92</v>
      </c>
      <c r="I126" s="688" t="s">
        <v>16</v>
      </c>
      <c r="K126" s="714" t="s">
        <v>252</v>
      </c>
      <c r="M126" s="710">
        <f>'PROJECT DETAILS'!J36-0.08</f>
        <v>0.92</v>
      </c>
      <c r="N126" s="688" t="s">
        <v>16</v>
      </c>
      <c r="P126" s="714" t="s">
        <v>252</v>
      </c>
      <c r="R126" s="710">
        <f>'PROJECT DETAILS'!N36-0.08</f>
        <v>0.92</v>
      </c>
      <c r="S126" s="688" t="s">
        <v>16</v>
      </c>
    </row>
    <row r="127" spans="1:19" s="688" customFormat="1">
      <c r="A127" s="688" t="s">
        <v>250</v>
      </c>
      <c r="C127" s="710">
        <f>'PROJECT DETAILS'!B45</f>
        <v>5</v>
      </c>
      <c r="D127" s="688" t="s">
        <v>21</v>
      </c>
      <c r="F127" s="688" t="s">
        <v>250</v>
      </c>
      <c r="H127" s="710">
        <f>'PROJECT DETAILS'!F45</f>
        <v>5</v>
      </c>
      <c r="I127" s="688" t="s">
        <v>21</v>
      </c>
      <c r="K127" s="688" t="s">
        <v>250</v>
      </c>
      <c r="M127" s="710">
        <f>'PROJECT DETAILS'!J45</f>
        <v>5</v>
      </c>
      <c r="N127" s="688" t="s">
        <v>21</v>
      </c>
      <c r="P127" s="688" t="s">
        <v>250</v>
      </c>
      <c r="R127" s="710">
        <f>'PROJECT DETAILS'!N45</f>
        <v>5</v>
      </c>
      <c r="S127" s="688" t="s">
        <v>21</v>
      </c>
    </row>
    <row r="128" spans="1:19" s="688" customFormat="1">
      <c r="B128" s="715" t="s">
        <v>253</v>
      </c>
      <c r="C128" s="710">
        <f>((C124*C125)+(C126*C127))*'PROJECT DETAILS'!B38</f>
        <v>292</v>
      </c>
      <c r="D128" s="688" t="s">
        <v>16</v>
      </c>
      <c r="G128" s="715" t="s">
        <v>253</v>
      </c>
      <c r="H128" s="710">
        <f>((H124*H125)+(H126*H127))*'PROJECT DETAILS'!F38</f>
        <v>384</v>
      </c>
      <c r="I128" s="688" t="s">
        <v>16</v>
      </c>
      <c r="K128" s="715"/>
      <c r="L128" s="715" t="s">
        <v>253</v>
      </c>
      <c r="M128" s="710">
        <f>((M124*M125)+(M126*M127))*'PROJECT DETAILS'!J38</f>
        <v>184.00000000000003</v>
      </c>
      <c r="N128" s="688" t="s">
        <v>16</v>
      </c>
      <c r="Q128" s="715" t="s">
        <v>253</v>
      </c>
      <c r="R128" s="710">
        <f>((R124*R125)+(R126*R127))*'PROJECT DETAILS'!N38</f>
        <v>184.00000000000003</v>
      </c>
      <c r="S128" s="688" t="s">
        <v>16</v>
      </c>
    </row>
    <row r="129" spans="1:19" s="688" customFormat="1"/>
    <row r="130" spans="1:19" s="688" customFormat="1"/>
    <row r="131" spans="1:19" s="689" customFormat="1">
      <c r="A131" s="689" t="s">
        <v>10</v>
      </c>
      <c r="F131" s="689" t="s">
        <v>11</v>
      </c>
      <c r="K131" s="689" t="s">
        <v>12</v>
      </c>
      <c r="P131" s="689" t="s">
        <v>13</v>
      </c>
    </row>
    <row r="132" spans="1:19" s="688" customFormat="1"/>
    <row r="133" spans="1:19" s="688" customFormat="1">
      <c r="A133" s="688" t="s">
        <v>254</v>
      </c>
    </row>
    <row r="134" spans="1:19" s="688" customFormat="1"/>
    <row r="135" spans="1:19" s="688" customFormat="1">
      <c r="A135" s="688" t="s">
        <v>255</v>
      </c>
      <c r="B135" s="709">
        <f>'PROJECT DETAILS'!B16</f>
        <v>20</v>
      </c>
      <c r="C135" s="688" t="s">
        <v>25</v>
      </c>
      <c r="F135" s="688" t="s">
        <v>255</v>
      </c>
      <c r="G135" s="709">
        <f>'PROJECT DETAILS'!F16</f>
        <v>20</v>
      </c>
      <c r="H135" s="688" t="s">
        <v>25</v>
      </c>
      <c r="K135" s="688" t="s">
        <v>255</v>
      </c>
      <c r="L135" s="709">
        <f>'PROJECT DETAILS'!J16</f>
        <v>12</v>
      </c>
      <c r="M135" s="688" t="s">
        <v>25</v>
      </c>
      <c r="P135" s="688" t="s">
        <v>255</v>
      </c>
      <c r="Q135" s="709">
        <f>'PROJECT DETAILS'!N16</f>
        <v>12</v>
      </c>
      <c r="R135" s="688" t="s">
        <v>25</v>
      </c>
    </row>
    <row r="136" spans="1:19" s="688" customFormat="1">
      <c r="A136" s="712" t="s">
        <v>256</v>
      </c>
      <c r="B136" s="713">
        <f>0.05*B135</f>
        <v>1</v>
      </c>
      <c r="C136" s="688" t="s">
        <v>16</v>
      </c>
      <c r="F136" s="712" t="s">
        <v>256</v>
      </c>
      <c r="G136" s="713">
        <f>0.05*G135</f>
        <v>1</v>
      </c>
      <c r="H136" s="688" t="s">
        <v>16</v>
      </c>
      <c r="K136" s="712" t="s">
        <v>256</v>
      </c>
      <c r="L136" s="713">
        <f>0.05*L135</f>
        <v>0.60000000000000009</v>
      </c>
      <c r="M136" s="688" t="s">
        <v>16</v>
      </c>
      <c r="P136" s="712" t="s">
        <v>256</v>
      </c>
      <c r="Q136" s="713">
        <f>0.05*Q135</f>
        <v>0.60000000000000009</v>
      </c>
      <c r="R136" s="688" t="s">
        <v>16</v>
      </c>
    </row>
    <row r="137" spans="1:19" s="688" customFormat="1">
      <c r="A137" s="712" t="s">
        <v>257</v>
      </c>
      <c r="B137" s="713">
        <v>0.5</v>
      </c>
      <c r="C137" s="688" t="s">
        <v>16</v>
      </c>
      <c r="F137" s="712" t="s">
        <v>257</v>
      </c>
      <c r="G137" s="713">
        <v>0.5</v>
      </c>
      <c r="H137" s="688" t="s">
        <v>16</v>
      </c>
      <c r="K137" s="712" t="s">
        <v>257</v>
      </c>
      <c r="L137" s="713">
        <v>0.5</v>
      </c>
      <c r="M137" s="688" t="s">
        <v>16</v>
      </c>
      <c r="P137" s="712" t="s">
        <v>257</v>
      </c>
      <c r="Q137" s="713">
        <v>0.5</v>
      </c>
      <c r="R137" s="688" t="s">
        <v>16</v>
      </c>
    </row>
    <row r="138" spans="1:19" s="688" customFormat="1">
      <c r="A138" s="688" t="s">
        <v>258</v>
      </c>
      <c r="C138" s="710">
        <f>B136+('PROJECT DETAILS'!B37-0.05)+'PROJECT DETAILS'!B10+'PROJECT DETAILS'!B13+B137</f>
        <v>8.35</v>
      </c>
      <c r="D138" s="688" t="s">
        <v>16</v>
      </c>
      <c r="F138" s="688" t="s">
        <v>258</v>
      </c>
      <c r="H138" s="710">
        <f>G136+('PROJECT DETAILS'!F37-0.05)+'PROJECT DETAILS'!F10+'PROJECT DETAILS'!F13+G137</f>
        <v>5.25</v>
      </c>
      <c r="I138" s="688" t="s">
        <v>16</v>
      </c>
      <c r="K138" s="688" t="s">
        <v>258</v>
      </c>
      <c r="M138" s="710">
        <f>L136+('PROJECT DETAILS'!J37-0.05)+'PROJECT DETAILS'!J10+'PROJECT DETAILS'!J13+L137</f>
        <v>4.8499999999999996</v>
      </c>
      <c r="N138" s="688" t="s">
        <v>16</v>
      </c>
      <c r="P138" s="688" t="s">
        <v>258</v>
      </c>
      <c r="R138" s="710">
        <f>Q136+('PROJECT DETAILS'!N37-0.05)+'PROJECT DETAILS'!N10+'PROJECT DETAILS'!N13+Q137</f>
        <v>4.8499999999999996</v>
      </c>
      <c r="S138" s="688" t="s">
        <v>16</v>
      </c>
    </row>
    <row r="139" spans="1:19" s="688" customFormat="1">
      <c r="A139" s="688" t="s">
        <v>259</v>
      </c>
      <c r="C139" s="710">
        <f>'PROJECT DETAILS'!B18</f>
        <v>14</v>
      </c>
      <c r="D139" s="688" t="s">
        <v>21</v>
      </c>
      <c r="F139" s="688" t="s">
        <v>259</v>
      </c>
      <c r="H139" s="710">
        <f>'PROJECT DETAILS'!F18</f>
        <v>12</v>
      </c>
      <c r="I139" s="688" t="s">
        <v>21</v>
      </c>
      <c r="K139" s="688" t="s">
        <v>259</v>
      </c>
      <c r="M139" s="710">
        <f>'PROJECT DETAILS'!J18</f>
        <v>4</v>
      </c>
      <c r="N139" s="688" t="s">
        <v>21</v>
      </c>
      <c r="P139" s="688" t="s">
        <v>259</v>
      </c>
      <c r="R139" s="710">
        <f>'PROJECT DETAILS'!N18</f>
        <v>4</v>
      </c>
      <c r="S139" s="688" t="s">
        <v>21</v>
      </c>
    </row>
    <row r="140" spans="1:19" s="688" customFormat="1">
      <c r="B140" s="715" t="s">
        <v>253</v>
      </c>
      <c r="C140" s="710">
        <f>C138*C139*'PROJECT DETAILS'!B14</f>
        <v>1169</v>
      </c>
      <c r="D140" s="688" t="s">
        <v>16</v>
      </c>
      <c r="G140" s="715" t="s">
        <v>253</v>
      </c>
      <c r="H140" s="710">
        <f>H138*H139*'PROJECT DETAILS'!F14</f>
        <v>1260</v>
      </c>
      <c r="I140" s="688" t="s">
        <v>16</v>
      </c>
      <c r="L140" s="715" t="s">
        <v>253</v>
      </c>
      <c r="M140" s="710">
        <f>M138*M139*'PROJECT DETAILS'!J14</f>
        <v>174.6</v>
      </c>
      <c r="N140" s="688" t="s">
        <v>16</v>
      </c>
      <c r="Q140" s="715" t="s">
        <v>253</v>
      </c>
      <c r="R140" s="710">
        <f>R138*R139*'PROJECT DETAILS'!N14</f>
        <v>174.6</v>
      </c>
      <c r="S140" s="688" t="s">
        <v>16</v>
      </c>
    </row>
    <row r="141" spans="1:19" s="688" customFormat="1"/>
    <row r="142" spans="1:19" s="688" customFormat="1">
      <c r="A142" s="688" t="s">
        <v>260</v>
      </c>
    </row>
    <row r="143" spans="1:19" s="688" customFormat="1"/>
    <row r="144" spans="1:19" s="688" customFormat="1">
      <c r="A144" s="688" t="s">
        <v>255</v>
      </c>
      <c r="B144" s="716">
        <f>'PROJECT DETAILS'!B22</f>
        <v>10</v>
      </c>
      <c r="C144" s="688" t="s">
        <v>25</v>
      </c>
      <c r="F144" s="688" t="s">
        <v>255</v>
      </c>
      <c r="G144" s="716">
        <f>'PROJECT DETAILS'!F22</f>
        <v>10</v>
      </c>
      <c r="H144" s="688" t="s">
        <v>25</v>
      </c>
      <c r="K144" s="688" t="s">
        <v>255</v>
      </c>
      <c r="L144" s="716">
        <f>'PROJECT DETAILS'!J22</f>
        <v>0</v>
      </c>
      <c r="M144" s="688" t="s">
        <v>25</v>
      </c>
      <c r="P144" s="688" t="s">
        <v>255</v>
      </c>
      <c r="Q144" s="716">
        <f>'PROJECT DETAILS'!N22</f>
        <v>0</v>
      </c>
      <c r="R144" s="688" t="s">
        <v>25</v>
      </c>
    </row>
    <row r="145" spans="1:19" s="688" customFormat="1">
      <c r="A145" s="688" t="s">
        <v>261</v>
      </c>
      <c r="C145" s="707">
        <f>('PROJECT DETAILS'!B37-0.05)+'PROJECT DETAILS'!B10+'PROJECT DETAILS'!B13</f>
        <v>6.85</v>
      </c>
      <c r="D145" s="688" t="s">
        <v>16</v>
      </c>
      <c r="F145" s="688" t="s">
        <v>261</v>
      </c>
      <c r="H145" s="707">
        <f>('PROJECT DETAILS'!F37-0.05)+'PROJECT DETAILS'!F10+'PROJECT DETAILS'!F13</f>
        <v>3.75</v>
      </c>
      <c r="I145" s="688" t="s">
        <v>16</v>
      </c>
      <c r="K145" s="688" t="s">
        <v>261</v>
      </c>
      <c r="M145" s="707">
        <f>('PROJECT DETAILS'!J37-0.05)+'PROJECT DETAILS'!J10+'PROJECT DETAILS'!J13</f>
        <v>3.75</v>
      </c>
      <c r="N145" s="688" t="s">
        <v>16</v>
      </c>
      <c r="P145" s="688" t="s">
        <v>261</v>
      </c>
      <c r="R145" s="707">
        <f>('PROJECT DETAILS'!N37-0.05)+'PROJECT DETAILS'!N10+'PROJECT DETAILS'!N13</f>
        <v>3.75</v>
      </c>
      <c r="S145" s="688" t="s">
        <v>16</v>
      </c>
    </row>
    <row r="146" spans="1:19" s="688" customFormat="1">
      <c r="A146" s="712" t="s">
        <v>30</v>
      </c>
      <c r="B146" s="707">
        <f>'PROJECT DETAILS'!B23</f>
        <v>5</v>
      </c>
      <c r="C146" s="712" t="s">
        <v>262</v>
      </c>
      <c r="D146" s="707">
        <f>'PROJECT DETAILS'!D23</f>
        <v>0.05</v>
      </c>
      <c r="F146" s="712" t="s">
        <v>30</v>
      </c>
      <c r="G146" s="707">
        <f>'PROJECT DETAILS'!F23</f>
        <v>5</v>
      </c>
      <c r="H146" s="712" t="s">
        <v>262</v>
      </c>
      <c r="I146" s="707">
        <f>'PROJECT DETAILS'!H23</f>
        <v>0.05</v>
      </c>
      <c r="K146" s="712" t="s">
        <v>30</v>
      </c>
      <c r="L146" s="707">
        <f>'PROJECT DETAILS'!J23</f>
        <v>0</v>
      </c>
      <c r="M146" s="712" t="s">
        <v>262</v>
      </c>
      <c r="N146" s="707">
        <f>'PROJECT DETAILS'!L23</f>
        <v>0</v>
      </c>
      <c r="P146" s="712" t="s">
        <v>30</v>
      </c>
      <c r="Q146" s="707">
        <f>'PROJECT DETAILS'!N23</f>
        <v>0</v>
      </c>
      <c r="R146" s="712" t="s">
        <v>262</v>
      </c>
      <c r="S146" s="707">
        <f>'PROJECT DETAILS'!P23</f>
        <v>0</v>
      </c>
    </row>
    <row r="147" spans="1:19" s="688" customFormat="1">
      <c r="A147" s="712" t="s">
        <v>32</v>
      </c>
      <c r="B147" s="707">
        <f>'PROJECT DETAILS'!B24</f>
        <v>5</v>
      </c>
      <c r="C147" s="712" t="s">
        <v>263</v>
      </c>
      <c r="D147" s="707">
        <f>'PROJECT DETAILS'!D24</f>
        <v>0.1</v>
      </c>
      <c r="F147" s="712" t="s">
        <v>32</v>
      </c>
      <c r="G147" s="707">
        <f>'PROJECT DETAILS'!F24</f>
        <v>5</v>
      </c>
      <c r="H147" s="712" t="s">
        <v>263</v>
      </c>
      <c r="I147" s="707">
        <f>'PROJECT DETAILS'!H24</f>
        <v>0.1</v>
      </c>
      <c r="K147" s="712" t="s">
        <v>32</v>
      </c>
      <c r="L147" s="707">
        <f>'PROJECT DETAILS'!J24</f>
        <v>0</v>
      </c>
      <c r="M147" s="712" t="s">
        <v>263</v>
      </c>
      <c r="N147" s="707">
        <f>'PROJECT DETAILS'!L24</f>
        <v>0</v>
      </c>
      <c r="P147" s="712" t="s">
        <v>32</v>
      </c>
      <c r="Q147" s="707">
        <f>'PROJECT DETAILS'!N24</f>
        <v>0</v>
      </c>
      <c r="R147" s="712" t="s">
        <v>263</v>
      </c>
      <c r="S147" s="707">
        <f>'PROJECT DETAILS'!P24</f>
        <v>0</v>
      </c>
    </row>
    <row r="148" spans="1:19" s="688" customFormat="1">
      <c r="A148" s="712" t="s">
        <v>34</v>
      </c>
      <c r="B148" s="707">
        <f>'PROJECT DETAILS'!B25</f>
        <v>5</v>
      </c>
      <c r="C148" s="712" t="s">
        <v>264</v>
      </c>
      <c r="D148" s="707">
        <f>'PROJECT DETAILS'!D25</f>
        <v>0.15</v>
      </c>
      <c r="F148" s="712" t="s">
        <v>34</v>
      </c>
      <c r="G148" s="707">
        <f>'PROJECT DETAILS'!F25</f>
        <v>0</v>
      </c>
      <c r="H148" s="712" t="s">
        <v>264</v>
      </c>
      <c r="I148" s="707">
        <f>'PROJECT DETAILS'!H25</f>
        <v>0</v>
      </c>
      <c r="K148" s="712" t="s">
        <v>34</v>
      </c>
      <c r="L148" s="707">
        <f>'PROJECT DETAILS'!J25</f>
        <v>0</v>
      </c>
      <c r="M148" s="712" t="s">
        <v>264</v>
      </c>
      <c r="N148" s="707">
        <f>'PROJECT DETAILS'!L25</f>
        <v>0</v>
      </c>
      <c r="P148" s="712" t="s">
        <v>34</v>
      </c>
      <c r="Q148" s="707">
        <f>'PROJECT DETAILS'!N25</f>
        <v>0</v>
      </c>
      <c r="R148" s="712" t="s">
        <v>264</v>
      </c>
      <c r="S148" s="707">
        <f>'PROJECT DETAILS'!P25</f>
        <v>0</v>
      </c>
    </row>
    <row r="149" spans="1:19" s="688" customFormat="1">
      <c r="A149" s="712" t="s">
        <v>36</v>
      </c>
      <c r="B149" s="707">
        <f>'PROJECT DETAILS'!B26</f>
        <v>0</v>
      </c>
      <c r="C149" s="712" t="s">
        <v>265</v>
      </c>
      <c r="D149" s="707">
        <f>'PROJECT DETAILS'!D26</f>
        <v>0</v>
      </c>
      <c r="F149" s="712" t="s">
        <v>36</v>
      </c>
      <c r="G149" s="707">
        <f>'PROJECT DETAILS'!F26</f>
        <v>0</v>
      </c>
      <c r="H149" s="712" t="s">
        <v>265</v>
      </c>
      <c r="I149" s="707">
        <f>'PROJECT DETAILS'!H26</f>
        <v>0</v>
      </c>
      <c r="K149" s="712" t="s">
        <v>36</v>
      </c>
      <c r="L149" s="707">
        <f>'PROJECT DETAILS'!J26</f>
        <v>0</v>
      </c>
      <c r="M149" s="712" t="s">
        <v>265</v>
      </c>
      <c r="N149" s="707">
        <f>'PROJECT DETAILS'!L26</f>
        <v>0</v>
      </c>
      <c r="P149" s="712" t="s">
        <v>36</v>
      </c>
      <c r="Q149" s="707">
        <f>'PROJECT DETAILS'!N26</f>
        <v>0</v>
      </c>
      <c r="R149" s="712" t="s">
        <v>265</v>
      </c>
      <c r="S149" s="707">
        <f>'PROJECT DETAILS'!P26</f>
        <v>0</v>
      </c>
    </row>
    <row r="150" spans="1:19" s="688" customFormat="1">
      <c r="A150" s="712" t="s">
        <v>266</v>
      </c>
      <c r="B150" s="717">
        <f>(C145-(B146*D146)-(B147*D147)-(B148*D148)-(B149*D149))/D150</f>
        <v>26.749999999999996</v>
      </c>
      <c r="C150" s="712" t="s">
        <v>267</v>
      </c>
      <c r="D150" s="707">
        <f>'PROJECT DETAILS'!D27</f>
        <v>0.2</v>
      </c>
      <c r="F150" s="712" t="s">
        <v>266</v>
      </c>
      <c r="G150" s="717">
        <f>(H145-(G146*I146)-(G147*I147)-(G148*I148)-(G149*I149))/I150</f>
        <v>15</v>
      </c>
      <c r="H150" s="712" t="s">
        <v>267</v>
      </c>
      <c r="I150" s="707">
        <f>'PROJECT DETAILS'!H27</f>
        <v>0.2</v>
      </c>
      <c r="K150" s="712" t="s">
        <v>266</v>
      </c>
      <c r="L150" s="717" t="e">
        <f>(M145-(L146*N146)-(L147*N147)-(L148*N148)-(L149*N149))/N150</f>
        <v>#DIV/0!</v>
      </c>
      <c r="M150" s="712" t="s">
        <v>267</v>
      </c>
      <c r="N150" s="707">
        <f>'PROJECT DETAILS'!L27</f>
        <v>0</v>
      </c>
      <c r="P150" s="712" t="s">
        <v>266</v>
      </c>
      <c r="Q150" s="717" t="e">
        <f>(R145-(Q146*S146)-(Q147*S147)-(Q148*S148)-(Q149*S149))/S150</f>
        <v>#DIV/0!</v>
      </c>
      <c r="R150" s="712" t="s">
        <v>267</v>
      </c>
      <c r="S150" s="707">
        <f>'PROJECT DETAILS'!P27</f>
        <v>0</v>
      </c>
    </row>
    <row r="151" spans="1:19" s="688" customFormat="1"/>
    <row r="152" spans="1:19" s="688" customFormat="1">
      <c r="B152" s="712" t="s">
        <v>268</v>
      </c>
      <c r="C152" s="713">
        <f>((2)*('PROJECT DETAILS'!B11-0.08))+((2)*('PROJECT DETAILS'!B12-0.08))+0.011*(B144)</f>
        <v>3.39</v>
      </c>
      <c r="D152" s="688" t="s">
        <v>16</v>
      </c>
      <c r="G152" s="712" t="s">
        <v>268</v>
      </c>
      <c r="H152" s="713">
        <f>((2)*('PROJECT DETAILS'!F11-0.08))+((2)*('PROJECT DETAILS'!F12-0.08))+0.011*G144</f>
        <v>2.19</v>
      </c>
      <c r="I152" s="688" t="s">
        <v>16</v>
      </c>
      <c r="L152" s="712" t="s">
        <v>268</v>
      </c>
      <c r="M152" s="713">
        <f>((2)*('PROJECT DETAILS'!J11-0.08))+((2)*('PROJECT DETAILS'!J12-0.08))+0.011*L144</f>
        <v>1.0799999999999998</v>
      </c>
      <c r="N152" s="688" t="s">
        <v>16</v>
      </c>
      <c r="Q152" s="712" t="s">
        <v>268</v>
      </c>
      <c r="R152" s="713">
        <f>((2)*('PROJECT DETAILS'!N11-0.08))+((2)*('PROJECT DETAILS'!N12-0.08))+0.011*Q144</f>
        <v>1.0799999999999998</v>
      </c>
      <c r="S152" s="688" t="s">
        <v>16</v>
      </c>
    </row>
    <row r="153" spans="1:19" s="688" customFormat="1"/>
    <row r="154" spans="1:19" s="688" customFormat="1">
      <c r="B154" s="715" t="s">
        <v>253</v>
      </c>
      <c r="C154" s="710">
        <f>C152*(SUM(B146:B150))*'PROJECT DETAILS'!B14</f>
        <v>1415.325</v>
      </c>
      <c r="D154" s="688" t="s">
        <v>16</v>
      </c>
      <c r="G154" s="715" t="s">
        <v>253</v>
      </c>
      <c r="H154" s="710">
        <f>H152*(SUM(G146:G150))*'PROJECT DETAILS'!F14</f>
        <v>1095</v>
      </c>
      <c r="I154" s="688" t="s">
        <v>16</v>
      </c>
      <c r="L154" s="715" t="s">
        <v>253</v>
      </c>
      <c r="M154" s="710" t="e">
        <f>M152*(SUM(L146:L150))*'PROJECT DETAILS'!J14</f>
        <v>#DIV/0!</v>
      </c>
      <c r="N154" s="688" t="s">
        <v>16</v>
      </c>
      <c r="Q154" s="715" t="s">
        <v>253</v>
      </c>
      <c r="R154" s="710" t="e">
        <f>R152*(SUM(Q146:Q150))*'PROJECT DETAILS'!N14</f>
        <v>#DIV/0!</v>
      </c>
      <c r="S154" s="688" t="s">
        <v>16</v>
      </c>
    </row>
    <row r="155" spans="1:19" s="688" customFormat="1"/>
    <row r="156" spans="1:19" s="689" customFormat="1">
      <c r="A156" s="689" t="s">
        <v>51</v>
      </c>
      <c r="F156" s="689" t="s">
        <v>52</v>
      </c>
      <c r="K156" s="689" t="s">
        <v>53</v>
      </c>
      <c r="P156" s="689" t="s">
        <v>54</v>
      </c>
    </row>
    <row r="157" spans="1:19" s="689" customFormat="1"/>
    <row r="158" spans="1:19" s="688" customFormat="1">
      <c r="A158" s="688" t="s">
        <v>71</v>
      </c>
      <c r="F158" s="688" t="s">
        <v>71</v>
      </c>
      <c r="K158" s="688" t="s">
        <v>71</v>
      </c>
      <c r="P158" s="688" t="s">
        <v>71</v>
      </c>
    </row>
    <row r="159" spans="1:19" s="688" customFormat="1">
      <c r="A159" s="688" t="s">
        <v>269</v>
      </c>
      <c r="B159" s="709">
        <f>'PROJECT DETAILS'!B64</f>
        <v>20</v>
      </c>
      <c r="C159" s="688" t="s">
        <v>25</v>
      </c>
      <c r="F159" s="688" t="s">
        <v>269</v>
      </c>
      <c r="G159" s="709">
        <f>'PROJECT DETAILS'!F64</f>
        <v>20</v>
      </c>
      <c r="H159" s="688" t="s">
        <v>25</v>
      </c>
      <c r="K159" s="688" t="s">
        <v>269</v>
      </c>
      <c r="L159" s="709">
        <f>'PROJECT DETAILS'!J64</f>
        <v>12</v>
      </c>
      <c r="M159" s="688" t="s">
        <v>25</v>
      </c>
      <c r="P159" s="688" t="s">
        <v>269</v>
      </c>
      <c r="Q159" s="709">
        <f>'PROJECT DETAILS'!N64</f>
        <v>12</v>
      </c>
      <c r="R159" s="688" t="s">
        <v>25</v>
      </c>
    </row>
    <row r="160" spans="1:19" s="688" customFormat="1">
      <c r="A160" s="712" t="s">
        <v>270</v>
      </c>
      <c r="B160" s="710">
        <f>2*(0.05*B159)</f>
        <v>2</v>
      </c>
      <c r="C160" s="688" t="s">
        <v>16</v>
      </c>
      <c r="F160" s="712" t="s">
        <v>270</v>
      </c>
      <c r="G160" s="710">
        <f>2*(0.05*G159)</f>
        <v>2</v>
      </c>
      <c r="H160" s="688" t="s">
        <v>16</v>
      </c>
      <c r="K160" s="712" t="s">
        <v>270</v>
      </c>
      <c r="L160" s="710">
        <f>2*(0.05*L159)</f>
        <v>1.2000000000000002</v>
      </c>
      <c r="M160" s="688" t="s">
        <v>16</v>
      </c>
      <c r="P160" s="712" t="s">
        <v>270</v>
      </c>
      <c r="Q160" s="710">
        <f>2*(0.05*Q159)</f>
        <v>1.2000000000000002</v>
      </c>
      <c r="R160" s="688" t="s">
        <v>16</v>
      </c>
    </row>
    <row r="161" spans="1:19" s="688" customFormat="1">
      <c r="A161" s="688" t="s">
        <v>271</v>
      </c>
      <c r="C161" s="710">
        <f>'PROJECT DETAILS'!B54+B160</f>
        <v>42</v>
      </c>
      <c r="D161" s="688" t="s">
        <v>16</v>
      </c>
      <c r="F161" s="688" t="s">
        <v>271</v>
      </c>
      <c r="H161" s="710">
        <f>'PROJECT DETAILS'!F54+G160</f>
        <v>52</v>
      </c>
      <c r="I161" s="688" t="s">
        <v>16</v>
      </c>
      <c r="K161" s="688" t="s">
        <v>271</v>
      </c>
      <c r="M161" s="710">
        <f>'PROJECT DETAILS'!J54+L160</f>
        <v>52.6</v>
      </c>
      <c r="N161" s="688" t="s">
        <v>16</v>
      </c>
      <c r="P161" s="688" t="s">
        <v>271</v>
      </c>
      <c r="R161" s="710">
        <f>Q160+'PROJECT DETAILS'!N54</f>
        <v>52.6</v>
      </c>
      <c r="S161" s="688" t="s">
        <v>16</v>
      </c>
    </row>
    <row r="162" spans="1:19" s="688" customFormat="1">
      <c r="A162" s="688" t="s">
        <v>272</v>
      </c>
      <c r="C162" s="710">
        <f>'PROJECT DETAILS'!B57</f>
        <v>2</v>
      </c>
      <c r="F162" s="688" t="s">
        <v>272</v>
      </c>
      <c r="H162" s="710">
        <f>'PROJECT DETAILS'!F57</f>
        <v>4</v>
      </c>
      <c r="K162" s="688" t="s">
        <v>272</v>
      </c>
      <c r="M162" s="710">
        <f>'PROJECT DETAILS'!J57</f>
        <v>5</v>
      </c>
      <c r="P162" s="688" t="s">
        <v>272</v>
      </c>
      <c r="R162" s="710">
        <f>'PROJECT DETAILS'!N57</f>
        <v>5</v>
      </c>
    </row>
    <row r="163" spans="1:19" s="688" customFormat="1">
      <c r="A163" s="688" t="s">
        <v>273</v>
      </c>
      <c r="C163" s="718">
        <f>C161*C162*'PROJECT DETAILS'!B63</f>
        <v>840</v>
      </c>
      <c r="D163" s="688" t="s">
        <v>16</v>
      </c>
      <c r="F163" s="688" t="s">
        <v>273</v>
      </c>
      <c r="H163" s="718">
        <f>H161*H162*'PROJECT DETAILS'!F63</f>
        <v>1040</v>
      </c>
      <c r="I163" s="688" t="s">
        <v>16</v>
      </c>
      <c r="K163" s="688" t="s">
        <v>273</v>
      </c>
      <c r="M163" s="718">
        <f>M161*M162*'PROJECT DETAILS'!J63</f>
        <v>1052</v>
      </c>
      <c r="N163" s="688" t="s">
        <v>16</v>
      </c>
      <c r="P163" s="688" t="s">
        <v>273</v>
      </c>
      <c r="R163" s="718">
        <f>R161*R162*'PROJECT DETAILS'!N63</f>
        <v>1052</v>
      </c>
      <c r="S163" s="688" t="s">
        <v>16</v>
      </c>
    </row>
    <row r="164" spans="1:19" s="688" customFormat="1"/>
    <row r="165" spans="1:19" s="688" customFormat="1"/>
    <row r="166" spans="1:19" s="688" customFormat="1">
      <c r="A166" s="688" t="s">
        <v>60</v>
      </c>
      <c r="F166" s="688" t="s">
        <v>60</v>
      </c>
      <c r="K166" s="688" t="s">
        <v>60</v>
      </c>
      <c r="P166" s="688" t="s">
        <v>60</v>
      </c>
    </row>
    <row r="167" spans="1:19" s="688" customFormat="1">
      <c r="A167" s="688" t="s">
        <v>269</v>
      </c>
      <c r="B167" s="709">
        <f>'PROJECT DETAILS'!B68</f>
        <v>16</v>
      </c>
      <c r="C167" s="688" t="s">
        <v>25</v>
      </c>
      <c r="F167" s="688" t="s">
        <v>269</v>
      </c>
      <c r="G167" s="709">
        <f>'PROJECT DETAILS'!F68</f>
        <v>16</v>
      </c>
      <c r="H167" s="688" t="s">
        <v>25</v>
      </c>
      <c r="K167" s="688" t="s">
        <v>269</v>
      </c>
      <c r="L167" s="709">
        <f>'PROJECT DETAILS'!J68</f>
        <v>12</v>
      </c>
      <c r="M167" s="688" t="s">
        <v>25</v>
      </c>
      <c r="P167" s="688" t="s">
        <v>269</v>
      </c>
      <c r="Q167" s="709">
        <f>'PROJECT DETAILS'!N68</f>
        <v>12</v>
      </c>
      <c r="R167" s="688" t="s">
        <v>25</v>
      </c>
    </row>
    <row r="168" spans="1:19" s="688" customFormat="1">
      <c r="A168" s="712" t="s">
        <v>270</v>
      </c>
      <c r="B168" s="710">
        <f>2*(0.05*B167)</f>
        <v>1.6</v>
      </c>
      <c r="C168" s="688" t="s">
        <v>16</v>
      </c>
      <c r="F168" s="712" t="s">
        <v>270</v>
      </c>
      <c r="G168" s="710">
        <f>2*(0.05*G167)</f>
        <v>1.6</v>
      </c>
      <c r="H168" s="688" t="s">
        <v>16</v>
      </c>
      <c r="K168" s="712" t="s">
        <v>270</v>
      </c>
      <c r="L168" s="710">
        <f>2*(0.05*L167)</f>
        <v>1.2000000000000002</v>
      </c>
      <c r="M168" s="688" t="s">
        <v>16</v>
      </c>
      <c r="P168" s="712" t="s">
        <v>270</v>
      </c>
      <c r="Q168" s="710">
        <f>2*(0.05*Q167)</f>
        <v>1.2000000000000002</v>
      </c>
      <c r="R168" s="688" t="s">
        <v>16</v>
      </c>
    </row>
    <row r="169" spans="1:19" s="688" customFormat="1">
      <c r="A169" s="843" t="s">
        <v>274</v>
      </c>
      <c r="B169" s="844"/>
      <c r="C169" s="710">
        <f>'PROJECT DETAILS'!C69+B168</f>
        <v>11.6</v>
      </c>
      <c r="D169" s="688" t="s">
        <v>16</v>
      </c>
      <c r="F169" s="843" t="s">
        <v>274</v>
      </c>
      <c r="G169" s="844"/>
      <c r="H169" s="710">
        <f>'PROJECT DETAILS'!G69+G168</f>
        <v>14.1</v>
      </c>
      <c r="I169" s="688" t="s">
        <v>16</v>
      </c>
      <c r="K169" s="843" t="s">
        <v>274</v>
      </c>
      <c r="L169" s="844"/>
      <c r="M169" s="710">
        <f>'PROJECT DETAILS'!K69+L168</f>
        <v>14.05</v>
      </c>
      <c r="N169" s="688" t="s">
        <v>16</v>
      </c>
      <c r="P169" s="843" t="s">
        <v>274</v>
      </c>
      <c r="Q169" s="844"/>
      <c r="R169" s="710">
        <f>'PROJECT DETAILS'!O69+Q168</f>
        <v>14.05</v>
      </c>
      <c r="S169" s="688" t="s">
        <v>16</v>
      </c>
    </row>
    <row r="170" spans="1:19" s="688" customFormat="1">
      <c r="A170" s="843" t="s">
        <v>63</v>
      </c>
      <c r="B170" s="844"/>
      <c r="C170" s="710">
        <f>'PROJECT DETAILS'!C71+B168</f>
        <v>31.6</v>
      </c>
      <c r="D170" s="688" t="s">
        <v>16</v>
      </c>
      <c r="F170" s="843" t="s">
        <v>63</v>
      </c>
      <c r="G170" s="844"/>
      <c r="H170" s="710">
        <f>'PROJECT DETAILS'!G71+G168</f>
        <v>39.1</v>
      </c>
      <c r="I170" s="688" t="s">
        <v>16</v>
      </c>
      <c r="K170" s="843" t="s">
        <v>63</v>
      </c>
      <c r="L170" s="844"/>
      <c r="M170" s="710">
        <f>'PROJECT DETAILS'!K71+L168</f>
        <v>39.75</v>
      </c>
      <c r="N170" s="688" t="s">
        <v>16</v>
      </c>
      <c r="P170" s="843" t="s">
        <v>63</v>
      </c>
      <c r="Q170" s="844"/>
      <c r="R170" s="710">
        <f>'PROJECT DETAILS'!O71+Q168</f>
        <v>39.75</v>
      </c>
      <c r="S170" s="688" t="s">
        <v>16</v>
      </c>
    </row>
    <row r="171" spans="1:19" s="688" customFormat="1">
      <c r="A171" s="688" t="s">
        <v>273</v>
      </c>
      <c r="C171" s="710">
        <f>((C169*'PROJECT DETAILS'!C70)+(C170*'PROJECT DETAILS'!C72))*'PROJECT DETAILS'!B57</f>
        <v>172.8</v>
      </c>
      <c r="D171" s="688" t="s">
        <v>16</v>
      </c>
      <c r="F171" s="688" t="s">
        <v>273</v>
      </c>
      <c r="H171" s="710">
        <f>(H169*'PROJECT DETAILS'!G70)+(H170*'PROJECT DETAILS'!G72)*'PROJECT DETAILS'!F57</f>
        <v>341</v>
      </c>
      <c r="I171" s="688" t="s">
        <v>16</v>
      </c>
      <c r="K171" s="688" t="s">
        <v>273</v>
      </c>
      <c r="M171" s="710">
        <f>(M169*'PROJECT DETAILS'!K70)+(M170*'PROJECT DETAILS'!K72)*'PROJECT DETAILS'!J57</f>
        <v>254.95</v>
      </c>
      <c r="N171" s="688" t="s">
        <v>16</v>
      </c>
      <c r="P171" s="688" t="s">
        <v>273</v>
      </c>
      <c r="R171" s="710">
        <f>(R169*'PROJECT DETAILS'!O70)+(R170*'PROJECT DETAILS'!O72)*'PROJECT DETAILS'!N57</f>
        <v>254.95</v>
      </c>
      <c r="S171" s="688" t="s">
        <v>16</v>
      </c>
    </row>
    <row r="172" spans="1:19" s="688" customFormat="1"/>
    <row r="173" spans="1:19" s="688" customFormat="1"/>
    <row r="174" spans="1:19" s="688" customFormat="1">
      <c r="A174" s="688" t="s">
        <v>275</v>
      </c>
      <c r="F174" s="688" t="s">
        <v>275</v>
      </c>
      <c r="K174" s="688" t="s">
        <v>275</v>
      </c>
      <c r="P174" s="688" t="s">
        <v>275</v>
      </c>
    </row>
    <row r="175" spans="1:19" s="688" customFormat="1"/>
    <row r="176" spans="1:19" s="688" customFormat="1">
      <c r="A176" s="688" t="s">
        <v>255</v>
      </c>
      <c r="B176" s="716">
        <f>'PROJECT DETAILS'!B75</f>
        <v>10</v>
      </c>
      <c r="C176" s="688" t="s">
        <v>25</v>
      </c>
      <c r="F176" s="688" t="s">
        <v>255</v>
      </c>
      <c r="G176" s="716">
        <f>'PROJECT DETAILS'!F75</f>
        <v>10</v>
      </c>
      <c r="H176" s="688" t="s">
        <v>25</v>
      </c>
      <c r="K176" s="688" t="s">
        <v>255</v>
      </c>
      <c r="L176" s="716">
        <f>'PROJECT DETAILS'!J75</f>
        <v>10</v>
      </c>
      <c r="M176" s="688" t="s">
        <v>25</v>
      </c>
      <c r="P176" s="688" t="s">
        <v>255</v>
      </c>
      <c r="Q176" s="716">
        <f>'PROJECT DETAILS'!N75</f>
        <v>10</v>
      </c>
      <c r="R176" s="688" t="s">
        <v>25</v>
      </c>
    </row>
    <row r="177" spans="1:19" s="688" customFormat="1">
      <c r="A177" s="688" t="s">
        <v>276</v>
      </c>
      <c r="C177" s="707">
        <f>C161-B160</f>
        <v>40</v>
      </c>
      <c r="D177" s="688" t="s">
        <v>16</v>
      </c>
      <c r="F177" s="688" t="s">
        <v>276</v>
      </c>
      <c r="H177" s="707">
        <f>H161-G160</f>
        <v>50</v>
      </c>
      <c r="I177" s="688" t="s">
        <v>16</v>
      </c>
      <c r="K177" s="688" t="s">
        <v>276</v>
      </c>
      <c r="M177" s="707">
        <f>M161-L160</f>
        <v>51.4</v>
      </c>
      <c r="N177" s="688" t="s">
        <v>16</v>
      </c>
      <c r="P177" s="688" t="s">
        <v>276</v>
      </c>
      <c r="R177" s="707">
        <f>R161-Q160</f>
        <v>51.4</v>
      </c>
      <c r="S177" s="688" t="s">
        <v>16</v>
      </c>
    </row>
    <row r="178" spans="1:19" s="688" customFormat="1">
      <c r="A178" s="712" t="s">
        <v>30</v>
      </c>
      <c r="B178" s="707">
        <f>'PROJECT DETAILS'!B76</f>
        <v>10</v>
      </c>
      <c r="C178" s="712" t="s">
        <v>262</v>
      </c>
      <c r="D178" s="707">
        <f>'PROJECT DETAILS'!D76</f>
        <v>0.05</v>
      </c>
      <c r="F178" s="712" t="s">
        <v>30</v>
      </c>
      <c r="G178" s="707">
        <f>'PROJECT DETAILS'!F76</f>
        <v>10</v>
      </c>
      <c r="H178" s="712" t="s">
        <v>262</v>
      </c>
      <c r="I178" s="707">
        <f>'PROJECT DETAILS'!H76</f>
        <v>0.05</v>
      </c>
      <c r="K178" s="712" t="s">
        <v>30</v>
      </c>
      <c r="L178" s="707">
        <f>'PROJECT DETAILS'!J76</f>
        <v>10</v>
      </c>
      <c r="M178" s="712" t="s">
        <v>262</v>
      </c>
      <c r="N178" s="707">
        <f>'PROJECT DETAILS'!L76</f>
        <v>0.05</v>
      </c>
      <c r="P178" s="712" t="s">
        <v>30</v>
      </c>
      <c r="Q178" s="707">
        <f>'PROJECT DETAILS'!N76</f>
        <v>10</v>
      </c>
      <c r="R178" s="712" t="s">
        <v>262</v>
      </c>
      <c r="S178" s="707">
        <f>'PROJECT DETAILS'!P76</f>
        <v>0.05</v>
      </c>
    </row>
    <row r="179" spans="1:19" s="688" customFormat="1">
      <c r="A179" s="712" t="s">
        <v>32</v>
      </c>
      <c r="B179" s="707">
        <f>'PROJECT DETAILS'!B77</f>
        <v>10</v>
      </c>
      <c r="C179" s="712" t="s">
        <v>263</v>
      </c>
      <c r="D179" s="707">
        <f>'PROJECT DETAILS'!D77</f>
        <v>0.1</v>
      </c>
      <c r="F179" s="712" t="s">
        <v>32</v>
      </c>
      <c r="G179" s="707">
        <f>'PROJECT DETAILS'!F77</f>
        <v>10</v>
      </c>
      <c r="H179" s="712" t="s">
        <v>263</v>
      </c>
      <c r="I179" s="707">
        <f>'PROJECT DETAILS'!H77</f>
        <v>0.1</v>
      </c>
      <c r="K179" s="712" t="s">
        <v>32</v>
      </c>
      <c r="L179" s="707">
        <f>'PROJECT DETAILS'!J77</f>
        <v>10</v>
      </c>
      <c r="M179" s="712" t="s">
        <v>263</v>
      </c>
      <c r="N179" s="707">
        <f>'PROJECT DETAILS'!L77</f>
        <v>0.1</v>
      </c>
      <c r="P179" s="712" t="s">
        <v>32</v>
      </c>
      <c r="Q179" s="707">
        <f>'PROJECT DETAILS'!N77</f>
        <v>10</v>
      </c>
      <c r="R179" s="712" t="s">
        <v>263</v>
      </c>
      <c r="S179" s="707">
        <f>'PROJECT DETAILS'!P77</f>
        <v>0.1</v>
      </c>
    </row>
    <row r="180" spans="1:19" s="688" customFormat="1">
      <c r="A180" s="712" t="s">
        <v>34</v>
      </c>
      <c r="B180" s="707">
        <f>'PROJECT DETAILS'!B78</f>
        <v>10</v>
      </c>
      <c r="C180" s="712" t="s">
        <v>264</v>
      </c>
      <c r="D180" s="707">
        <f>'PROJECT DETAILS'!D78</f>
        <v>0.15</v>
      </c>
      <c r="F180" s="712" t="s">
        <v>34</v>
      </c>
      <c r="G180" s="707">
        <f>'PROJECT DETAILS'!F78</f>
        <v>10</v>
      </c>
      <c r="H180" s="712" t="s">
        <v>264</v>
      </c>
      <c r="I180" s="707">
        <f>'PROJECT DETAILS'!H78</f>
        <v>0.15</v>
      </c>
      <c r="K180" s="712" t="s">
        <v>34</v>
      </c>
      <c r="L180" s="707">
        <f>'PROJECT DETAILS'!J78</f>
        <v>10</v>
      </c>
      <c r="M180" s="712" t="s">
        <v>264</v>
      </c>
      <c r="N180" s="707">
        <f>'PROJECT DETAILS'!L78</f>
        <v>0.15</v>
      </c>
      <c r="P180" s="712" t="s">
        <v>34</v>
      </c>
      <c r="Q180" s="707">
        <f>'PROJECT DETAILS'!N78</f>
        <v>10</v>
      </c>
      <c r="R180" s="712" t="s">
        <v>264</v>
      </c>
      <c r="S180" s="707">
        <f>'PROJECT DETAILS'!P78</f>
        <v>0.15</v>
      </c>
    </row>
    <row r="181" spans="1:19" s="688" customFormat="1">
      <c r="A181" s="712" t="s">
        <v>36</v>
      </c>
      <c r="B181" s="707">
        <f>'PROJECT DETAILS'!B79</f>
        <v>0</v>
      </c>
      <c r="C181" s="712" t="s">
        <v>265</v>
      </c>
      <c r="D181" s="707">
        <f>'PROJECT DETAILS'!D79</f>
        <v>0</v>
      </c>
      <c r="F181" s="712" t="s">
        <v>36</v>
      </c>
      <c r="G181" s="707">
        <f>'PROJECT DETAILS'!F79</f>
        <v>0</v>
      </c>
      <c r="H181" s="712" t="s">
        <v>265</v>
      </c>
      <c r="I181" s="707">
        <f>'PROJECT DETAILS'!H79</f>
        <v>0</v>
      </c>
      <c r="K181" s="712" t="s">
        <v>36</v>
      </c>
      <c r="L181" s="707">
        <f>'PROJECT DETAILS'!J79</f>
        <v>10</v>
      </c>
      <c r="M181" s="712" t="s">
        <v>265</v>
      </c>
      <c r="N181" s="707">
        <f>'PROJECT DETAILS'!L79</f>
        <v>0.2</v>
      </c>
      <c r="P181" s="712" t="s">
        <v>36</v>
      </c>
      <c r="Q181" s="707">
        <f>'PROJECT DETAILS'!N79</f>
        <v>10</v>
      </c>
      <c r="R181" s="712" t="s">
        <v>265</v>
      </c>
      <c r="S181" s="707">
        <f>'PROJECT DETAILS'!P79</f>
        <v>0.2</v>
      </c>
    </row>
    <row r="182" spans="1:19" s="688" customFormat="1">
      <c r="A182" s="712" t="s">
        <v>266</v>
      </c>
      <c r="B182" s="717">
        <f>(C177-(B178*D178)-(B179*D179)-(B180*D180)-(B181*D181))/D182</f>
        <v>185</v>
      </c>
      <c r="C182" s="712" t="s">
        <v>267</v>
      </c>
      <c r="D182" s="707">
        <f>'PROJECT DETAILS'!D80</f>
        <v>0.2</v>
      </c>
      <c r="F182" s="712" t="s">
        <v>266</v>
      </c>
      <c r="G182" s="717">
        <f>(H177-(G178*I178)-(G179*I179)-(G180*I180)-(G181*I181))/I182</f>
        <v>235</v>
      </c>
      <c r="H182" s="712" t="s">
        <v>267</v>
      </c>
      <c r="I182" s="707">
        <f>'PROJECT DETAILS'!H80</f>
        <v>0.2</v>
      </c>
      <c r="K182" s="712" t="s">
        <v>266</v>
      </c>
      <c r="L182" s="717">
        <f>(M177-(L178*N178)-(L179*N179)-(L180*N180)-(L181*N181))/N182</f>
        <v>185.6</v>
      </c>
      <c r="M182" s="712" t="s">
        <v>267</v>
      </c>
      <c r="N182" s="707">
        <f>'PROJECT DETAILS'!L80</f>
        <v>0.25</v>
      </c>
      <c r="P182" s="712" t="s">
        <v>266</v>
      </c>
      <c r="Q182" s="717">
        <f>(R177-(Q178*S178)-(Q179*S179)-(Q180*S180)-(Q181*S181))/S182</f>
        <v>185.6</v>
      </c>
      <c r="R182" s="712" t="s">
        <v>267</v>
      </c>
      <c r="S182" s="707">
        <f>'PROJECT DETAILS'!P80</f>
        <v>0.25</v>
      </c>
    </row>
    <row r="183" spans="1:19" s="688" customFormat="1"/>
    <row r="184" spans="1:19" s="688" customFormat="1">
      <c r="B184" s="712" t="s">
        <v>268</v>
      </c>
      <c r="C184" s="713">
        <f>((2)*('PROJECT DETAILS'!B55-0.08))+((2)*('PROJECT DETAILS'!B56-0.08))+0.011*(B176)</f>
        <v>2.19</v>
      </c>
      <c r="D184" s="688" t="s">
        <v>16</v>
      </c>
      <c r="G184" s="712" t="s">
        <v>268</v>
      </c>
      <c r="H184" s="713">
        <f>((2)*('PROJECT DETAILS'!F55-0.08))+((2)*('PROJECT DETAILS'!F56-0.08))+0.011*(G176)</f>
        <v>1.19</v>
      </c>
      <c r="I184" s="688" t="s">
        <v>16</v>
      </c>
      <c r="L184" s="712" t="s">
        <v>268</v>
      </c>
      <c r="M184" s="713">
        <f>((2)*('PROJECT DETAILS'!J55-0.08))+((2)*('PROJECT DETAILS'!J56-0.08))+0.011*(L176)</f>
        <v>8.2899999999999991</v>
      </c>
      <c r="N184" s="688" t="s">
        <v>16</v>
      </c>
      <c r="Q184" s="712" t="s">
        <v>268</v>
      </c>
      <c r="R184" s="713">
        <f>((2)*('PROJECT DETAILS'!N55-0.08))+((2)*('PROJECT DETAILS'!N56-0.08))+0.011*(Q176)</f>
        <v>8.2899999999999991</v>
      </c>
      <c r="S184" s="688" t="s">
        <v>16</v>
      </c>
    </row>
    <row r="185" spans="1:19" s="688" customFormat="1"/>
    <row r="186" spans="1:19" s="688" customFormat="1">
      <c r="B186" s="715" t="s">
        <v>253</v>
      </c>
      <c r="C186" s="718">
        <f>C184*(SUM(B178:B182))*'PROJECT DETAILS'!B57</f>
        <v>941.69999999999993</v>
      </c>
      <c r="D186" s="688" t="s">
        <v>16</v>
      </c>
      <c r="G186" s="715" t="s">
        <v>253</v>
      </c>
      <c r="H186" s="718">
        <f>H184*(SUM(G178:G182))*'PROJECT DETAILS'!F57</f>
        <v>1261.3999999999999</v>
      </c>
      <c r="I186" s="688" t="s">
        <v>16</v>
      </c>
      <c r="L186" s="715" t="s">
        <v>253</v>
      </c>
      <c r="M186" s="718">
        <f>M184*(SUM(L178:L182))*'PROJECT DETAILS'!J57</f>
        <v>9351.119999999999</v>
      </c>
      <c r="N186" s="688" t="s">
        <v>16</v>
      </c>
      <c r="Q186" s="715" t="s">
        <v>253</v>
      </c>
      <c r="R186" s="718">
        <f>R184*(SUM(Q178:Q182))*'PROJECT DETAILS'!N57</f>
        <v>9351.119999999999</v>
      </c>
      <c r="S186" s="688" t="s">
        <v>16</v>
      </c>
    </row>
    <row r="187" spans="1:19" s="688" customFormat="1"/>
    <row r="188" spans="1:19" s="689" customFormat="1">
      <c r="A188" s="689" t="s">
        <v>66</v>
      </c>
      <c r="F188" s="689" t="s">
        <v>67</v>
      </c>
      <c r="K188" s="689" t="s">
        <v>68</v>
      </c>
      <c r="P188" s="689" t="s">
        <v>277</v>
      </c>
    </row>
    <row r="189" spans="1:19" s="689" customFormat="1"/>
    <row r="190" spans="1:19" s="688" customFormat="1">
      <c r="A190" s="688" t="s">
        <v>71</v>
      </c>
      <c r="F190" s="688" t="s">
        <v>71</v>
      </c>
      <c r="K190" s="688" t="s">
        <v>71</v>
      </c>
      <c r="P190" s="688" t="s">
        <v>71</v>
      </c>
    </row>
    <row r="191" spans="1:19" s="688" customFormat="1">
      <c r="A191" s="688" t="s">
        <v>269</v>
      </c>
      <c r="B191" s="709">
        <f>'PROJECT DETAILS'!B93</f>
        <v>12</v>
      </c>
      <c r="C191" s="688" t="s">
        <v>25</v>
      </c>
      <c r="F191" s="688" t="s">
        <v>269</v>
      </c>
      <c r="G191" s="709">
        <f>'PROJECT DETAILS'!F93</f>
        <v>12</v>
      </c>
      <c r="H191" s="688" t="s">
        <v>25</v>
      </c>
      <c r="K191" s="688" t="s">
        <v>269</v>
      </c>
      <c r="L191" s="709">
        <f>'PROJECT DETAILS'!J93</f>
        <v>12</v>
      </c>
      <c r="M191" s="688" t="s">
        <v>25</v>
      </c>
      <c r="P191" s="688" t="s">
        <v>269</v>
      </c>
      <c r="Q191" s="709">
        <f>'PROJECT DETAILS'!N93</f>
        <v>12</v>
      </c>
      <c r="R191" s="688" t="s">
        <v>25</v>
      </c>
    </row>
    <row r="192" spans="1:19" s="688" customFormat="1">
      <c r="A192" s="712" t="s">
        <v>270</v>
      </c>
      <c r="B192" s="710">
        <f>2*(0.05*B191)</f>
        <v>1.2000000000000002</v>
      </c>
      <c r="C192" s="688" t="s">
        <v>16</v>
      </c>
      <c r="F192" s="712" t="s">
        <v>270</v>
      </c>
      <c r="G192" s="710">
        <f>2*(0.05*G191)</f>
        <v>1.2000000000000002</v>
      </c>
      <c r="H192" s="688" t="s">
        <v>16</v>
      </c>
      <c r="K192" s="712" t="s">
        <v>270</v>
      </c>
      <c r="L192" s="710">
        <f>2*(0.05*L191)</f>
        <v>1.2000000000000002</v>
      </c>
      <c r="M192" s="688" t="s">
        <v>16</v>
      </c>
      <c r="P192" s="712" t="s">
        <v>270</v>
      </c>
      <c r="Q192" s="710">
        <f>2*(0.05*Q191)</f>
        <v>1.2000000000000002</v>
      </c>
      <c r="R192" s="688" t="s">
        <v>16</v>
      </c>
    </row>
    <row r="193" spans="1:19" s="688" customFormat="1">
      <c r="A193" s="688" t="s">
        <v>271</v>
      </c>
      <c r="C193" s="710">
        <f>'PROJECT DETAILS'!B84+B192</f>
        <v>52.6</v>
      </c>
      <c r="D193" s="688" t="s">
        <v>16</v>
      </c>
      <c r="F193" s="688" t="s">
        <v>271</v>
      </c>
      <c r="H193" s="710">
        <f>'PROJECT DETAILS'!F84+G192</f>
        <v>52.6</v>
      </c>
      <c r="I193" s="688" t="s">
        <v>16</v>
      </c>
      <c r="K193" s="688" t="s">
        <v>271</v>
      </c>
      <c r="M193" s="710">
        <f>'PROJECT DETAILS'!J84+L192</f>
        <v>52.6</v>
      </c>
      <c r="N193" s="688" t="s">
        <v>16</v>
      </c>
      <c r="P193" s="688" t="s">
        <v>271</v>
      </c>
      <c r="R193" s="710">
        <f>Q192+'PROJECT DETAILS'!N84</f>
        <v>52.6</v>
      </c>
      <c r="S193" s="688" t="s">
        <v>16</v>
      </c>
    </row>
    <row r="194" spans="1:19" s="688" customFormat="1">
      <c r="A194" s="688" t="s">
        <v>278</v>
      </c>
      <c r="C194" s="710">
        <f>'PROJECT DETAILS'!B87</f>
        <v>5</v>
      </c>
      <c r="F194" s="688" t="s">
        <v>272</v>
      </c>
      <c r="H194" s="710">
        <f>'PROJECT DETAILS'!F87</f>
        <v>5</v>
      </c>
      <c r="K194" s="688" t="s">
        <v>272</v>
      </c>
      <c r="M194" s="710">
        <f>'PROJECT DETAILS'!J87</f>
        <v>5</v>
      </c>
      <c r="P194" s="688" t="s">
        <v>272</v>
      </c>
      <c r="R194" s="710">
        <f>'PROJECT DETAILS'!N87</f>
        <v>5</v>
      </c>
    </row>
    <row r="195" spans="1:19" s="688" customFormat="1">
      <c r="A195" s="688" t="s">
        <v>273</v>
      </c>
      <c r="C195" s="718">
        <f>C193*C194*'PROJECT DETAILS'!B92</f>
        <v>1052</v>
      </c>
      <c r="D195" s="688" t="s">
        <v>16</v>
      </c>
      <c r="F195" s="688" t="s">
        <v>273</v>
      </c>
      <c r="H195" s="718">
        <f>H193*H194*'PROJECT DETAILS'!F92</f>
        <v>1052</v>
      </c>
      <c r="I195" s="688" t="s">
        <v>16</v>
      </c>
      <c r="K195" s="688" t="s">
        <v>273</v>
      </c>
      <c r="M195" s="718">
        <f>M193*M194*'PROJECT DETAILS'!J92</f>
        <v>1052</v>
      </c>
      <c r="N195" s="688" t="s">
        <v>16</v>
      </c>
      <c r="P195" s="688" t="s">
        <v>273</v>
      </c>
      <c r="R195" s="718">
        <f>R193*R194*'PROJECT DETAILS'!N92</f>
        <v>1052</v>
      </c>
      <c r="S195" s="688" t="s">
        <v>16</v>
      </c>
    </row>
    <row r="196" spans="1:19" s="688" customFormat="1"/>
    <row r="197" spans="1:19" s="688" customFormat="1"/>
    <row r="198" spans="1:19" s="688" customFormat="1">
      <c r="A198" s="688" t="s">
        <v>60</v>
      </c>
      <c r="F198" s="688" t="s">
        <v>60</v>
      </c>
      <c r="K198" s="688" t="s">
        <v>60</v>
      </c>
      <c r="P198" s="688" t="s">
        <v>60</v>
      </c>
    </row>
    <row r="199" spans="1:19" s="688" customFormat="1">
      <c r="A199" s="688" t="s">
        <v>269</v>
      </c>
      <c r="B199" s="709">
        <f>'PROJECT DETAILS'!B97</f>
        <v>12</v>
      </c>
      <c r="C199" s="688" t="s">
        <v>25</v>
      </c>
      <c r="F199" s="688" t="s">
        <v>269</v>
      </c>
      <c r="G199" s="709">
        <f>'PROJECT DETAILS'!F97</f>
        <v>12</v>
      </c>
      <c r="H199" s="688" t="s">
        <v>25</v>
      </c>
      <c r="K199" s="688" t="s">
        <v>269</v>
      </c>
      <c r="L199" s="709">
        <f>'PROJECT DETAILS'!J97</f>
        <v>12</v>
      </c>
      <c r="M199" s="688" t="s">
        <v>25</v>
      </c>
      <c r="P199" s="688" t="s">
        <v>269</v>
      </c>
      <c r="Q199" s="709">
        <f>'PROJECT DETAILS'!N97</f>
        <v>12</v>
      </c>
      <c r="R199" s="688" t="s">
        <v>25</v>
      </c>
    </row>
    <row r="200" spans="1:19" s="688" customFormat="1">
      <c r="A200" s="712" t="s">
        <v>270</v>
      </c>
      <c r="B200" s="710">
        <f>2*(0.05*B199)</f>
        <v>1.2000000000000002</v>
      </c>
      <c r="C200" s="688" t="s">
        <v>16</v>
      </c>
      <c r="F200" s="712" t="s">
        <v>270</v>
      </c>
      <c r="G200" s="710">
        <f>2*(0.05*G199)</f>
        <v>1.2000000000000002</v>
      </c>
      <c r="H200" s="688" t="s">
        <v>16</v>
      </c>
      <c r="K200" s="712" t="s">
        <v>270</v>
      </c>
      <c r="L200" s="710">
        <f>2*(0.05*L199)</f>
        <v>1.2000000000000002</v>
      </c>
      <c r="M200" s="688" t="s">
        <v>16</v>
      </c>
      <c r="P200" s="712" t="s">
        <v>270</v>
      </c>
      <c r="Q200" s="710">
        <f>2*(0.05*Q199)</f>
        <v>1.2000000000000002</v>
      </c>
      <c r="R200" s="688" t="s">
        <v>16</v>
      </c>
    </row>
    <row r="201" spans="1:19" s="688" customFormat="1">
      <c r="A201" s="843" t="s">
        <v>274</v>
      </c>
      <c r="B201" s="844"/>
      <c r="C201" s="710">
        <f>'PROJECT DETAILS'!C98+B200</f>
        <v>14.05</v>
      </c>
      <c r="D201" s="688" t="s">
        <v>16</v>
      </c>
      <c r="F201" s="843" t="s">
        <v>274</v>
      </c>
      <c r="G201" s="844"/>
      <c r="H201" s="710">
        <f>'PROJECT DETAILS'!G98+G200</f>
        <v>14.05</v>
      </c>
      <c r="I201" s="688" t="s">
        <v>16</v>
      </c>
      <c r="K201" s="843" t="s">
        <v>274</v>
      </c>
      <c r="L201" s="844"/>
      <c r="M201" s="710">
        <f>'PROJECT DETAILS'!K98+L200</f>
        <v>14.05</v>
      </c>
      <c r="N201" s="688" t="s">
        <v>16</v>
      </c>
      <c r="P201" s="843" t="s">
        <v>274</v>
      </c>
      <c r="Q201" s="844"/>
      <c r="R201" s="710">
        <f>'PROJECT DETAILS'!O98+Q200</f>
        <v>14.05</v>
      </c>
      <c r="S201" s="688" t="s">
        <v>16</v>
      </c>
    </row>
    <row r="202" spans="1:19" s="688" customFormat="1">
      <c r="A202" s="843" t="s">
        <v>63</v>
      </c>
      <c r="B202" s="844"/>
      <c r="C202" s="710">
        <f>'PROJECT DETAILS'!C100+B200</f>
        <v>39.75</v>
      </c>
      <c r="D202" s="688" t="s">
        <v>16</v>
      </c>
      <c r="F202" s="843" t="s">
        <v>63</v>
      </c>
      <c r="G202" s="844"/>
      <c r="H202" s="710">
        <f>'PROJECT DETAILS'!G100+G200</f>
        <v>39.75</v>
      </c>
      <c r="I202" s="688" t="s">
        <v>16</v>
      </c>
      <c r="K202" s="843" t="s">
        <v>63</v>
      </c>
      <c r="L202" s="844"/>
      <c r="M202" s="710">
        <f>'PROJECT DETAILS'!K100+L200</f>
        <v>39.75</v>
      </c>
      <c r="N202" s="688" t="s">
        <v>16</v>
      </c>
      <c r="P202" s="843" t="s">
        <v>63</v>
      </c>
      <c r="Q202" s="844"/>
      <c r="R202" s="710">
        <f>'PROJECT DETAILS'!O100+Q200</f>
        <v>39.75</v>
      </c>
      <c r="S202" s="688" t="s">
        <v>16</v>
      </c>
    </row>
    <row r="203" spans="1:19" s="688" customFormat="1">
      <c r="A203" s="688" t="s">
        <v>273</v>
      </c>
      <c r="C203" s="710">
        <f>(C201*'PROJECT DETAILS'!C99)+(C202*'PROJECT DETAILS'!C101)*'PROJECT DETAILS'!B87</f>
        <v>254.95</v>
      </c>
      <c r="D203" s="688" t="s">
        <v>16</v>
      </c>
      <c r="F203" s="688" t="s">
        <v>273</v>
      </c>
      <c r="H203" s="710">
        <f>(H201*'PROJECT DETAILS'!G99)+(H202*'PROJECT DETAILS'!G101)*'PROJECT DETAILS'!F87</f>
        <v>254.95</v>
      </c>
      <c r="I203" s="688" t="s">
        <v>16</v>
      </c>
      <c r="K203" s="688" t="s">
        <v>273</v>
      </c>
      <c r="M203" s="710">
        <f>(M201*'PROJECT DETAILS'!K99)+(M202*'PROJECT DETAILS'!K101)*'PROJECT DETAILS'!J87</f>
        <v>254.95</v>
      </c>
      <c r="N203" s="688" t="s">
        <v>16</v>
      </c>
      <c r="P203" s="688" t="s">
        <v>273</v>
      </c>
      <c r="R203" s="710">
        <f>(R201*'PROJECT DETAILS'!O99)+(R202*'PROJECT DETAILS'!O101)*'PROJECT DETAILS'!N87</f>
        <v>254.95</v>
      </c>
      <c r="S203" s="688" t="s">
        <v>16</v>
      </c>
    </row>
    <row r="204" spans="1:19" s="688" customFormat="1"/>
    <row r="205" spans="1:19" s="688" customFormat="1"/>
    <row r="206" spans="1:19" s="688" customFormat="1">
      <c r="A206" s="688" t="s">
        <v>275</v>
      </c>
      <c r="F206" s="688" t="s">
        <v>275</v>
      </c>
      <c r="K206" s="688" t="s">
        <v>275</v>
      </c>
      <c r="P206" s="688" t="s">
        <v>275</v>
      </c>
    </row>
    <row r="207" spans="1:19" s="688" customFormat="1"/>
    <row r="208" spans="1:19" s="688" customFormat="1">
      <c r="A208" s="688" t="s">
        <v>255</v>
      </c>
      <c r="B208" s="716">
        <f>'PROJECT DETAILS'!B104</f>
        <v>10</v>
      </c>
      <c r="C208" s="688" t="s">
        <v>25</v>
      </c>
      <c r="F208" s="688" t="s">
        <v>255</v>
      </c>
      <c r="G208" s="716">
        <f>'PROJECT DETAILS'!F104</f>
        <v>10</v>
      </c>
      <c r="H208" s="688" t="s">
        <v>25</v>
      </c>
      <c r="K208" s="688" t="s">
        <v>255</v>
      </c>
      <c r="L208" s="716">
        <f>'PROJECT DETAILS'!J104</f>
        <v>10</v>
      </c>
      <c r="M208" s="688" t="s">
        <v>25</v>
      </c>
      <c r="P208" s="688" t="s">
        <v>255</v>
      </c>
      <c r="Q208" s="716">
        <f>'PROJECT DETAILS'!N104</f>
        <v>10</v>
      </c>
      <c r="R208" s="688" t="s">
        <v>25</v>
      </c>
    </row>
    <row r="209" spans="1:19" s="688" customFormat="1">
      <c r="A209" s="688" t="s">
        <v>276</v>
      </c>
      <c r="C209" s="707">
        <f>C193-B200</f>
        <v>51.4</v>
      </c>
      <c r="D209" s="688" t="s">
        <v>16</v>
      </c>
      <c r="F209" s="688" t="s">
        <v>276</v>
      </c>
      <c r="H209" s="707">
        <f>H193-G200</f>
        <v>51.4</v>
      </c>
      <c r="I209" s="688" t="s">
        <v>16</v>
      </c>
      <c r="K209" s="688" t="s">
        <v>276</v>
      </c>
      <c r="M209" s="707">
        <f>M193-L200</f>
        <v>51.4</v>
      </c>
      <c r="N209" s="688" t="s">
        <v>16</v>
      </c>
      <c r="P209" s="688" t="s">
        <v>276</v>
      </c>
      <c r="R209" s="707">
        <f>R193-Q200</f>
        <v>51.4</v>
      </c>
      <c r="S209" s="688" t="s">
        <v>16</v>
      </c>
    </row>
    <row r="210" spans="1:19" s="688" customFormat="1">
      <c r="A210" s="712" t="s">
        <v>30</v>
      </c>
      <c r="B210" s="707">
        <f>'PROJECT DETAILS'!B105</f>
        <v>10</v>
      </c>
      <c r="C210" s="712" t="s">
        <v>262</v>
      </c>
      <c r="D210" s="707">
        <f>'PROJECT DETAILS'!D105</f>
        <v>0.05</v>
      </c>
      <c r="F210" s="712" t="s">
        <v>30</v>
      </c>
      <c r="G210" s="707">
        <f>'PROJECT DETAILS'!F105</f>
        <v>10</v>
      </c>
      <c r="H210" s="712" t="s">
        <v>262</v>
      </c>
      <c r="I210" s="707">
        <f>'PROJECT DETAILS'!H105</f>
        <v>0.05</v>
      </c>
      <c r="K210" s="712" t="s">
        <v>30</v>
      </c>
      <c r="L210" s="707">
        <f>'PROJECT DETAILS'!J105</f>
        <v>10</v>
      </c>
      <c r="M210" s="712" t="s">
        <v>262</v>
      </c>
      <c r="N210" s="707">
        <f>'PROJECT DETAILS'!L105</f>
        <v>0.05</v>
      </c>
      <c r="P210" s="712" t="s">
        <v>30</v>
      </c>
      <c r="Q210" s="707">
        <f>'PROJECT DETAILS'!N105</f>
        <v>10</v>
      </c>
      <c r="R210" s="712" t="s">
        <v>262</v>
      </c>
      <c r="S210" s="707">
        <f>'PROJECT DETAILS'!P105</f>
        <v>0.05</v>
      </c>
    </row>
    <row r="211" spans="1:19" s="688" customFormat="1">
      <c r="A211" s="712" t="s">
        <v>32</v>
      </c>
      <c r="B211" s="707">
        <f>'PROJECT DETAILS'!B106</f>
        <v>10</v>
      </c>
      <c r="C211" s="712" t="s">
        <v>263</v>
      </c>
      <c r="D211" s="707">
        <f>'PROJECT DETAILS'!D106</f>
        <v>0.1</v>
      </c>
      <c r="F211" s="712" t="s">
        <v>32</v>
      </c>
      <c r="G211" s="707">
        <f>'PROJECT DETAILS'!F106</f>
        <v>10</v>
      </c>
      <c r="H211" s="712" t="s">
        <v>263</v>
      </c>
      <c r="I211" s="707">
        <f>'PROJECT DETAILS'!H106</f>
        <v>0.1</v>
      </c>
      <c r="K211" s="712" t="s">
        <v>32</v>
      </c>
      <c r="L211" s="707">
        <f>'PROJECT DETAILS'!J106</f>
        <v>10</v>
      </c>
      <c r="M211" s="712" t="s">
        <v>263</v>
      </c>
      <c r="N211" s="707">
        <f>'PROJECT DETAILS'!L106</f>
        <v>0.1</v>
      </c>
      <c r="P211" s="712" t="s">
        <v>32</v>
      </c>
      <c r="Q211" s="707">
        <f>'PROJECT DETAILS'!N106</f>
        <v>10</v>
      </c>
      <c r="R211" s="712" t="s">
        <v>263</v>
      </c>
      <c r="S211" s="707">
        <f>'PROJECT DETAILS'!P106</f>
        <v>0.1</v>
      </c>
    </row>
    <row r="212" spans="1:19" s="688" customFormat="1">
      <c r="A212" s="712" t="s">
        <v>34</v>
      </c>
      <c r="B212" s="707">
        <f>'PROJECT DETAILS'!B107</f>
        <v>10</v>
      </c>
      <c r="C212" s="712" t="s">
        <v>264</v>
      </c>
      <c r="D212" s="707">
        <f>'PROJECT DETAILS'!D107</f>
        <v>0.15</v>
      </c>
      <c r="F212" s="712" t="s">
        <v>34</v>
      </c>
      <c r="G212" s="707">
        <f>'PROJECT DETAILS'!F107</f>
        <v>10</v>
      </c>
      <c r="H212" s="712" t="s">
        <v>264</v>
      </c>
      <c r="I212" s="707">
        <f>'PROJECT DETAILS'!H107</f>
        <v>0.15</v>
      </c>
      <c r="K212" s="712" t="s">
        <v>34</v>
      </c>
      <c r="L212" s="707">
        <f>'PROJECT DETAILS'!J107</f>
        <v>10</v>
      </c>
      <c r="M212" s="712" t="s">
        <v>264</v>
      </c>
      <c r="N212" s="707">
        <f>'PROJECT DETAILS'!L107</f>
        <v>0.15</v>
      </c>
      <c r="P212" s="712" t="s">
        <v>34</v>
      </c>
      <c r="Q212" s="707">
        <f>'PROJECT DETAILS'!N107</f>
        <v>10</v>
      </c>
      <c r="R212" s="712" t="s">
        <v>264</v>
      </c>
      <c r="S212" s="707">
        <f>'PROJECT DETAILS'!P107</f>
        <v>0.15</v>
      </c>
    </row>
    <row r="213" spans="1:19" s="688" customFormat="1">
      <c r="A213" s="712" t="s">
        <v>36</v>
      </c>
      <c r="B213" s="707">
        <f>'PROJECT DETAILS'!B108</f>
        <v>10</v>
      </c>
      <c r="C213" s="712" t="s">
        <v>265</v>
      </c>
      <c r="D213" s="707">
        <f>'PROJECT DETAILS'!D108</f>
        <v>0.2</v>
      </c>
      <c r="F213" s="712" t="s">
        <v>36</v>
      </c>
      <c r="G213" s="707">
        <f>'PROJECT DETAILS'!F108</f>
        <v>10</v>
      </c>
      <c r="H213" s="712" t="s">
        <v>265</v>
      </c>
      <c r="I213" s="707">
        <f>'PROJECT DETAILS'!H108</f>
        <v>0.2</v>
      </c>
      <c r="K213" s="712" t="s">
        <v>36</v>
      </c>
      <c r="L213" s="707">
        <f>'PROJECT DETAILS'!J108</f>
        <v>10</v>
      </c>
      <c r="M213" s="712" t="s">
        <v>265</v>
      </c>
      <c r="N213" s="707">
        <f>'PROJECT DETAILS'!L108</f>
        <v>0.2</v>
      </c>
      <c r="P213" s="712" t="s">
        <v>36</v>
      </c>
      <c r="Q213" s="707">
        <f>'PROJECT DETAILS'!N108</f>
        <v>10</v>
      </c>
      <c r="R213" s="712" t="s">
        <v>265</v>
      </c>
      <c r="S213" s="707">
        <f>'PROJECT DETAILS'!P108</f>
        <v>0.2</v>
      </c>
    </row>
    <row r="214" spans="1:19" s="688" customFormat="1">
      <c r="A214" s="712" t="s">
        <v>266</v>
      </c>
      <c r="B214" s="717">
        <f>(C209-(B210*D210)-(B211*D211)-(B212*D212)-(B213*D213))/D214</f>
        <v>185.6</v>
      </c>
      <c r="C214" s="712" t="s">
        <v>267</v>
      </c>
      <c r="D214" s="707">
        <f>'PROJECT DETAILS'!D109</f>
        <v>0.25</v>
      </c>
      <c r="F214" s="712" t="s">
        <v>266</v>
      </c>
      <c r="G214" s="717">
        <f>(H209-(G210*I210)-(G211*I211)-(G212*I212)-(G213*I213))/I214</f>
        <v>185.6</v>
      </c>
      <c r="H214" s="712" t="s">
        <v>267</v>
      </c>
      <c r="I214" s="707">
        <f>'PROJECT DETAILS'!H109</f>
        <v>0.25</v>
      </c>
      <c r="K214" s="712" t="s">
        <v>266</v>
      </c>
      <c r="L214" s="717">
        <f>(M209-(L210*N210)-(L211*N211)-(L212*N212)-(L213*N213))/N214</f>
        <v>185.6</v>
      </c>
      <c r="M214" s="712" t="s">
        <v>267</v>
      </c>
      <c r="N214" s="707">
        <f>'PROJECT DETAILS'!L109</f>
        <v>0.25</v>
      </c>
      <c r="P214" s="712" t="s">
        <v>266</v>
      </c>
      <c r="Q214" s="717">
        <f>(R209-(Q210*S210)-(Q211*S211)-(Q212*S212)-(Q213*S213))/S214</f>
        <v>185.6</v>
      </c>
      <c r="R214" s="712" t="s">
        <v>267</v>
      </c>
      <c r="S214" s="707">
        <f>'PROJECT DETAILS'!P109</f>
        <v>0.25</v>
      </c>
    </row>
    <row r="215" spans="1:19" s="688" customFormat="1"/>
    <row r="216" spans="1:19" s="688" customFormat="1">
      <c r="B216" s="712" t="s">
        <v>268</v>
      </c>
      <c r="C216" s="713">
        <f>((2)*('PROJECT DETAILS'!B85-0.08))+((2)*('PROJECT DETAILS'!B86-0.08))+0.011*(B208)</f>
        <v>8.2899999999999991</v>
      </c>
      <c r="D216" s="688" t="s">
        <v>16</v>
      </c>
      <c r="G216" s="712" t="s">
        <v>268</v>
      </c>
      <c r="H216" s="713">
        <f>((2)*('PROJECT DETAILS'!F85-0.08))+((2)*('PROJECT DETAILS'!F86-0.08))+0.011*(G208)</f>
        <v>8.2899999999999991</v>
      </c>
      <c r="I216" s="688" t="s">
        <v>16</v>
      </c>
      <c r="L216" s="712" t="s">
        <v>268</v>
      </c>
      <c r="M216" s="713">
        <f>((2)*('PROJECT DETAILS'!J85-0.08))+((2)*('PROJECT DETAILS'!J86-0.08))+0.011*(L208)</f>
        <v>8.2899999999999991</v>
      </c>
      <c r="N216" s="688" t="s">
        <v>16</v>
      </c>
      <c r="Q216" s="712" t="s">
        <v>268</v>
      </c>
      <c r="R216" s="713">
        <f>((2)*('PROJECT DETAILS'!N85-0.08))+((2)*('PROJECT DETAILS'!N86-0.08))+0.011*(Q208)</f>
        <v>8.2899999999999991</v>
      </c>
      <c r="S216" s="688" t="s">
        <v>16</v>
      </c>
    </row>
    <row r="217" spans="1:19" s="688" customFormat="1"/>
    <row r="218" spans="1:19" s="688" customFormat="1">
      <c r="B218" s="715" t="s">
        <v>253</v>
      </c>
      <c r="C218" s="718">
        <f>C216*(SUM(B210:B214))*'PROJECT DETAILS'!B87</f>
        <v>9351.119999999999</v>
      </c>
      <c r="D218" s="688" t="s">
        <v>16</v>
      </c>
      <c r="G218" s="715" t="s">
        <v>253</v>
      </c>
      <c r="H218" s="718">
        <f>H216*(SUM(G210:G214))*'PROJECT DETAILS'!F87</f>
        <v>9351.119999999999</v>
      </c>
      <c r="I218" s="688" t="s">
        <v>16</v>
      </c>
      <c r="L218" s="715" t="s">
        <v>253</v>
      </c>
      <c r="M218" s="718">
        <f>M216*(SUM(L210:L214))*'PROJECT DETAILS'!J87</f>
        <v>9351.119999999999</v>
      </c>
      <c r="N218" s="688" t="s">
        <v>16</v>
      </c>
      <c r="Q218" s="715" t="s">
        <v>253</v>
      </c>
      <c r="R218" s="718">
        <f>R216*(SUM(Q210:Q214))*'PROJECT DETAILS'!N87</f>
        <v>9351.119999999999</v>
      </c>
      <c r="S218" s="688" t="s">
        <v>16</v>
      </c>
    </row>
    <row r="219" spans="1:19" s="688" customFormat="1"/>
    <row r="220" spans="1:19" s="688" customFormat="1">
      <c r="A220" s="688" t="s">
        <v>279</v>
      </c>
    </row>
    <row r="221" spans="1:19" s="688" customFormat="1"/>
    <row r="222" spans="1:19" s="688" customFormat="1">
      <c r="A222" s="688" t="s">
        <v>269</v>
      </c>
      <c r="B222" s="709">
        <f>'PROJECT DETAILS'!B129</f>
        <v>10</v>
      </c>
      <c r="C222" s="688" t="s">
        <v>25</v>
      </c>
    </row>
    <row r="223" spans="1:19" s="688" customFormat="1">
      <c r="A223" s="688" t="s">
        <v>95</v>
      </c>
      <c r="B223" s="710">
        <f>'PROJECT DETAILS'!F129</f>
        <v>252.13333333333333</v>
      </c>
      <c r="C223" s="688" t="s">
        <v>16</v>
      </c>
    </row>
    <row r="224" spans="1:19" s="688" customFormat="1"/>
    <row r="225" spans="1:7" s="688" customFormat="1">
      <c r="A225" s="688" t="s">
        <v>76</v>
      </c>
    </row>
    <row r="226" spans="1:7" s="688" customFormat="1"/>
    <row r="227" spans="1:7" s="688" customFormat="1">
      <c r="A227" s="688" t="s">
        <v>269</v>
      </c>
      <c r="B227" s="709">
        <f>'PROJECT DETAILS'!B122</f>
        <v>12</v>
      </c>
      <c r="C227" s="688" t="s">
        <v>25</v>
      </c>
    </row>
    <row r="228" spans="1:7" s="688" customFormat="1">
      <c r="A228" s="688" t="s">
        <v>95</v>
      </c>
      <c r="B228" s="710">
        <f>'PROJECT DETAILS'!B123</f>
        <v>100</v>
      </c>
      <c r="C228" s="688" t="s">
        <v>16</v>
      </c>
    </row>
    <row r="229" spans="1:7" s="688" customFormat="1">
      <c r="B229" s="707"/>
    </row>
    <row r="230" spans="1:7" s="688" customFormat="1">
      <c r="A230" s="688" t="s">
        <v>70</v>
      </c>
      <c r="B230" s="707"/>
    </row>
    <row r="231" spans="1:7" s="688" customFormat="1">
      <c r="B231" s="707"/>
    </row>
    <row r="232" spans="1:7" s="688" customFormat="1">
      <c r="A232" s="688" t="s">
        <v>71</v>
      </c>
      <c r="E232" s="688" t="s">
        <v>72</v>
      </c>
    </row>
    <row r="233" spans="1:7" s="688" customFormat="1">
      <c r="B233" s="707"/>
    </row>
    <row r="234" spans="1:7" s="688" customFormat="1">
      <c r="B234" s="707" t="s">
        <v>280</v>
      </c>
      <c r="C234" s="719">
        <f>'PROJECT DETAILS'!G114</f>
        <v>10</v>
      </c>
      <c r="D234" s="688" t="s">
        <v>16</v>
      </c>
      <c r="E234" s="707" t="s">
        <v>280</v>
      </c>
      <c r="F234" s="709">
        <f>'PROJECT DETAILS'!M114</f>
        <v>10</v>
      </c>
      <c r="G234" s="688" t="s">
        <v>16</v>
      </c>
    </row>
    <row r="235" spans="1:7" s="688" customFormat="1">
      <c r="B235" s="707"/>
      <c r="E235" s="707" t="s">
        <v>281</v>
      </c>
      <c r="F235" s="710">
        <f>(2*('PROJECT DETAILS'!B114))+(2*('PROJECT DETAILS'!B115))+0.2</f>
        <v>1.3</v>
      </c>
      <c r="G235" s="688" t="s">
        <v>16</v>
      </c>
    </row>
    <row r="236" spans="1:7" s="688" customFormat="1">
      <c r="B236" s="720" t="s">
        <v>253</v>
      </c>
      <c r="C236" s="710">
        <f>'PROJECT DETAILS'!G115*'PROJECT DETAILS'!B113</f>
        <v>193.79999999999998</v>
      </c>
      <c r="D236" s="688" t="s">
        <v>16</v>
      </c>
      <c r="E236" s="720" t="s">
        <v>253</v>
      </c>
      <c r="F236" s="710">
        <f>('PROJECT DETAILS'!B113/'PROJECT DETAILS'!M116)*F235</f>
        <v>209.94999999999996</v>
      </c>
      <c r="G236" s="688" t="s">
        <v>16</v>
      </c>
    </row>
    <row r="237" spans="1:7" s="688" customFormat="1">
      <c r="B237" s="720"/>
      <c r="C237" s="707"/>
      <c r="E237" s="720"/>
      <c r="F237" s="707"/>
    </row>
    <row r="238" spans="1:7" s="688" customFormat="1"/>
    <row r="239" spans="1:7" s="688" customFormat="1"/>
    <row r="240" spans="1:7" s="688" customFormat="1"/>
    <row r="241" spans="1:15" s="688" customFormat="1">
      <c r="B241" s="707"/>
    </row>
    <row r="242" spans="1:15" s="61" customFormat="1"/>
    <row r="243" spans="1:15" s="61" customFormat="1">
      <c r="A243" s="721" t="s">
        <v>98</v>
      </c>
    </row>
    <row r="244" spans="1:15" s="61" customFormat="1">
      <c r="A244" s="721"/>
    </row>
    <row r="245" spans="1:15" s="61" customFormat="1">
      <c r="A245" s="61" t="s">
        <v>282</v>
      </c>
      <c r="C245" s="722">
        <f>C246+(C247-C248-C249)</f>
        <v>130.76749999999998</v>
      </c>
      <c r="D245" s="61" t="s">
        <v>112</v>
      </c>
      <c r="E245" s="723" t="s">
        <v>86</v>
      </c>
      <c r="F245" s="723"/>
      <c r="G245" s="724">
        <f>'PROJECT DETAILS'!F134</f>
        <v>19.25</v>
      </c>
      <c r="H245" s="723" t="s">
        <v>16</v>
      </c>
    </row>
    <row r="246" spans="1:15" s="61" customFormat="1">
      <c r="B246" s="725" t="s">
        <v>283</v>
      </c>
      <c r="C246" s="722">
        <f>D57</f>
        <v>3.3914999999999997</v>
      </c>
      <c r="D246" s="61" t="s">
        <v>112</v>
      </c>
      <c r="E246" s="726" t="s">
        <v>284</v>
      </c>
      <c r="F246" s="724">
        <f>'PROJECT DETAILS'!E133</f>
        <v>10</v>
      </c>
      <c r="G246" s="723" t="s">
        <v>25</v>
      </c>
      <c r="H246" s="723"/>
    </row>
    <row r="247" spans="1:15" s="61" customFormat="1">
      <c r="B247" s="725" t="s">
        <v>285</v>
      </c>
      <c r="C247" s="722">
        <f>'PROJECT DETAILS'!D163*'PROJECT DETAILS'!D164</f>
        <v>157.79999999999998</v>
      </c>
      <c r="D247" s="61" t="s">
        <v>112</v>
      </c>
    </row>
    <row r="248" spans="1:15" s="61" customFormat="1">
      <c r="B248" s="725" t="s">
        <v>286</v>
      </c>
      <c r="C248" s="722">
        <f>SUM('PROJECT DETAILS'!E167:E172)</f>
        <v>16.564000000000004</v>
      </c>
      <c r="D248" s="61" t="s">
        <v>112</v>
      </c>
      <c r="E248" s="727" t="s">
        <v>287</v>
      </c>
      <c r="F248" s="728"/>
      <c r="G248" s="727"/>
      <c r="H248" s="727"/>
      <c r="I248" s="727" t="s">
        <v>288</v>
      </c>
      <c r="J248" s="728"/>
      <c r="K248" s="727"/>
      <c r="L248" s="727"/>
      <c r="M248" s="727" t="s">
        <v>289</v>
      </c>
      <c r="N248" s="728"/>
      <c r="O248" s="727"/>
    </row>
    <row r="249" spans="1:15" s="61" customFormat="1">
      <c r="B249" s="725" t="s">
        <v>290</v>
      </c>
      <c r="C249" s="722">
        <f>SUM('PROJECT DETAILS'!E173:E179)</f>
        <v>13.86</v>
      </c>
      <c r="D249" s="61" t="s">
        <v>112</v>
      </c>
      <c r="E249" s="729" t="s">
        <v>94</v>
      </c>
      <c r="F249" s="730">
        <f>'PROJECT DETAILS'!B146</f>
        <v>10</v>
      </c>
      <c r="G249" s="727" t="s">
        <v>25</v>
      </c>
      <c r="H249" s="727"/>
      <c r="I249" s="729" t="s">
        <v>94</v>
      </c>
      <c r="J249" s="730">
        <f>'PROJECT DETAILS'!F146</f>
        <v>10</v>
      </c>
      <c r="K249" s="727" t="s">
        <v>25</v>
      </c>
      <c r="L249" s="727"/>
      <c r="M249" s="729" t="s">
        <v>94</v>
      </c>
      <c r="N249" s="730">
        <f>'PROJECT DETAILS'!J146</f>
        <v>10</v>
      </c>
      <c r="O249" s="727" t="s">
        <v>25</v>
      </c>
    </row>
    <row r="250" spans="1:15" s="61" customFormat="1">
      <c r="B250" s="725" t="s">
        <v>24</v>
      </c>
      <c r="C250" s="722">
        <f>'PROJECT DETAILS'!B180</f>
        <v>10</v>
      </c>
      <c r="D250" s="61" t="s">
        <v>25</v>
      </c>
      <c r="E250" s="729" t="s">
        <v>95</v>
      </c>
      <c r="F250" s="730">
        <f>'PROJECT DETAILS'!B147</f>
        <v>2.3975999999999997</v>
      </c>
      <c r="G250" s="727" t="s">
        <v>16</v>
      </c>
      <c r="H250" s="727"/>
      <c r="I250" s="729" t="s">
        <v>95</v>
      </c>
      <c r="J250" s="730">
        <f>'PROJECT DETAILS'!F147</f>
        <v>2.3975999999999997</v>
      </c>
      <c r="K250" s="727" t="s">
        <v>16</v>
      </c>
      <c r="L250" s="727"/>
      <c r="M250" s="729" t="s">
        <v>95</v>
      </c>
      <c r="N250" s="730">
        <f>'PROJECT DETAILS'!J147</f>
        <v>2.3975999999999997</v>
      </c>
      <c r="O250" s="727" t="s">
        <v>16</v>
      </c>
    </row>
    <row r="251" spans="1:15" s="61" customFormat="1">
      <c r="B251" s="725" t="s">
        <v>291</v>
      </c>
      <c r="C251" s="722">
        <f>(C245*2.13)+(C245*2.15)</f>
        <v>559.68489999999997</v>
      </c>
      <c r="D251" s="61" t="s">
        <v>16</v>
      </c>
    </row>
    <row r="252" spans="1:15" s="61" customFormat="1"/>
    <row r="253" spans="1:15" s="687" customFormat="1">
      <c r="A253" s="687" t="s">
        <v>125</v>
      </c>
    </row>
    <row r="254" spans="1:15" s="687" customFormat="1">
      <c r="B254" s="699" t="s">
        <v>77</v>
      </c>
      <c r="C254" s="701">
        <f>'PROJECT DETAILS'!C186</f>
        <v>127.4</v>
      </c>
      <c r="D254" s="687" t="s">
        <v>112</v>
      </c>
    </row>
    <row r="255" spans="1:15" s="687" customFormat="1">
      <c r="A255" s="687" t="s">
        <v>126</v>
      </c>
      <c r="C255" s="701">
        <f>'PROJECT DETAILS'!C187</f>
        <v>50</v>
      </c>
      <c r="D255" s="687" t="s">
        <v>16</v>
      </c>
    </row>
    <row r="256" spans="1:15" s="687" customFormat="1">
      <c r="B256" s="687" t="s">
        <v>292</v>
      </c>
      <c r="C256" s="701">
        <f>'PROJECT DETAILS'!C188</f>
        <v>222.42</v>
      </c>
      <c r="D256" s="687" t="s">
        <v>16</v>
      </c>
    </row>
    <row r="257" spans="1:13" s="687" customFormat="1">
      <c r="B257" s="687" t="s">
        <v>293</v>
      </c>
      <c r="C257" s="701">
        <f>'PROJECT DETAILS'!C189</f>
        <v>0</v>
      </c>
      <c r="D257" s="687" t="s">
        <v>16</v>
      </c>
    </row>
    <row r="258" spans="1:13" s="687" customFormat="1"/>
    <row r="259" spans="1:13" s="1" customFormat="1">
      <c r="A259" s="1" t="s">
        <v>129</v>
      </c>
    </row>
    <row r="260" spans="1:13" s="1" customFormat="1">
      <c r="B260" s="731" t="s">
        <v>77</v>
      </c>
      <c r="C260" s="732">
        <f>'PROJECT DETAILS'!C191</f>
        <v>127.4</v>
      </c>
      <c r="D260" s="1" t="s">
        <v>112</v>
      </c>
    </row>
    <row r="261" spans="1:13" s="1" customFormat="1">
      <c r="B261" s="731" t="s">
        <v>294</v>
      </c>
      <c r="C261" s="732">
        <f>'PROJECT DETAILS'!C192</f>
        <v>424.66666666666674</v>
      </c>
      <c r="D261" s="1" t="s">
        <v>16</v>
      </c>
    </row>
    <row r="262" spans="1:13" s="59" customFormat="1">
      <c r="A262" s="59" t="s">
        <v>132</v>
      </c>
    </row>
    <row r="263" spans="1:13" s="59" customFormat="1"/>
    <row r="264" spans="1:13" s="59" customFormat="1">
      <c r="A264" s="59" t="s">
        <v>133</v>
      </c>
      <c r="H264" s="59" t="s">
        <v>134</v>
      </c>
    </row>
    <row r="265" spans="1:13" s="59" customFormat="1">
      <c r="A265" s="59" t="s">
        <v>135</v>
      </c>
      <c r="B265" s="733">
        <v>1</v>
      </c>
      <c r="C265" s="59" t="s">
        <v>16</v>
      </c>
      <c r="D265" s="59" t="s">
        <v>136</v>
      </c>
      <c r="E265" s="733">
        <f>'PROJECT DETAILS'!E196</f>
        <v>53.44</v>
      </c>
      <c r="F265" s="59" t="s">
        <v>16</v>
      </c>
      <c r="H265" s="59" t="s">
        <v>135</v>
      </c>
      <c r="I265" s="733">
        <f>'PROJECT DETAILS'!I196</f>
        <v>0</v>
      </c>
      <c r="J265" s="59" t="s">
        <v>16</v>
      </c>
      <c r="K265" s="59" t="s">
        <v>136</v>
      </c>
      <c r="L265" s="733">
        <f>'PROJECT DETAILS'!L196</f>
        <v>45</v>
      </c>
      <c r="M265" s="59" t="s">
        <v>16</v>
      </c>
    </row>
    <row r="266" spans="1:13" s="59" customFormat="1">
      <c r="A266" s="59" t="s">
        <v>137</v>
      </c>
      <c r="B266" s="733">
        <v>1</v>
      </c>
      <c r="C266" s="59" t="s">
        <v>16</v>
      </c>
      <c r="D266" s="59" t="s">
        <v>138</v>
      </c>
      <c r="E266" s="733">
        <f>'PROJECT DETAILS'!E197</f>
        <v>53.44</v>
      </c>
      <c r="F266" s="59" t="s">
        <v>16</v>
      </c>
      <c r="H266" s="59" t="s">
        <v>137</v>
      </c>
      <c r="I266" s="733">
        <f>'PROJECT DETAILS'!I197</f>
        <v>0</v>
      </c>
      <c r="J266" s="59" t="s">
        <v>16</v>
      </c>
      <c r="K266" s="59" t="s">
        <v>138</v>
      </c>
      <c r="L266" s="733">
        <f>'PROJECT DETAILS'!L197</f>
        <v>21.95</v>
      </c>
      <c r="M266" s="59" t="s">
        <v>16</v>
      </c>
    </row>
    <row r="267" spans="1:13" s="59" customFormat="1">
      <c r="A267" s="59" t="s">
        <v>139</v>
      </c>
      <c r="B267" s="733">
        <v>2</v>
      </c>
      <c r="C267" s="59" t="s">
        <v>16</v>
      </c>
      <c r="D267" s="59" t="s">
        <v>140</v>
      </c>
      <c r="E267" s="733">
        <f>'PROJECT DETAILS'!E198</f>
        <v>25.4</v>
      </c>
      <c r="F267" s="59" t="s">
        <v>16</v>
      </c>
      <c r="H267" s="59" t="s">
        <v>139</v>
      </c>
      <c r="I267" s="733">
        <f>'PROJECT DETAILS'!I198</f>
        <v>0</v>
      </c>
      <c r="J267" s="59" t="s">
        <v>16</v>
      </c>
      <c r="K267" s="59" t="s">
        <v>140</v>
      </c>
      <c r="L267" s="733">
        <f>'PROJECT DETAILS'!L198</f>
        <v>7.1</v>
      </c>
      <c r="M267" s="59" t="s">
        <v>16</v>
      </c>
    </row>
    <row r="268" spans="1:13" s="59" customFormat="1">
      <c r="A268" s="59" t="s">
        <v>141</v>
      </c>
      <c r="B268" s="733">
        <v>3</v>
      </c>
      <c r="C268" s="59" t="s">
        <v>16</v>
      </c>
      <c r="D268" s="59" t="s">
        <v>142</v>
      </c>
      <c r="E268" s="733">
        <f>'PROJECT DETAILS'!E199</f>
        <v>0</v>
      </c>
      <c r="F268" s="59" t="s">
        <v>16</v>
      </c>
      <c r="H268" s="59" t="s">
        <v>141</v>
      </c>
      <c r="I268" s="733">
        <f>'PROJECT DETAILS'!I199</f>
        <v>0</v>
      </c>
      <c r="J268" s="59" t="s">
        <v>16</v>
      </c>
      <c r="K268" s="59" t="s">
        <v>142</v>
      </c>
      <c r="L268" s="733">
        <f>'PROJECT DETAILS'!L199</f>
        <v>0</v>
      </c>
      <c r="M268" s="59" t="s">
        <v>16</v>
      </c>
    </row>
    <row r="269" spans="1:13" s="59" customFormat="1">
      <c r="A269" s="59" t="s">
        <v>143</v>
      </c>
      <c r="B269" s="733">
        <v>4</v>
      </c>
      <c r="C269" s="59" t="s">
        <v>16</v>
      </c>
      <c r="D269" s="59" t="s">
        <v>144</v>
      </c>
      <c r="E269" s="733">
        <f>'PROJECT DETAILS'!E200</f>
        <v>0</v>
      </c>
      <c r="F269" s="59" t="s">
        <v>16</v>
      </c>
      <c r="H269" s="59" t="s">
        <v>143</v>
      </c>
      <c r="I269" s="733">
        <f>'PROJECT DETAILS'!I200</f>
        <v>0</v>
      </c>
      <c r="J269" s="59" t="s">
        <v>16</v>
      </c>
      <c r="K269" s="59" t="s">
        <v>144</v>
      </c>
      <c r="L269" s="733">
        <f>'PROJECT DETAILS'!L200</f>
        <v>0</v>
      </c>
      <c r="M269" s="59" t="s">
        <v>16</v>
      </c>
    </row>
    <row r="270" spans="1:13" s="59" customFormat="1">
      <c r="A270" s="59" t="s">
        <v>145</v>
      </c>
      <c r="B270" s="733">
        <v>5</v>
      </c>
      <c r="C270" s="59" t="s">
        <v>16</v>
      </c>
      <c r="D270" s="59" t="s">
        <v>146</v>
      </c>
      <c r="E270" s="733">
        <f>'PROJECT DETAILS'!E201</f>
        <v>0</v>
      </c>
      <c r="F270" s="59" t="s">
        <v>16</v>
      </c>
      <c r="H270" s="59" t="s">
        <v>145</v>
      </c>
      <c r="I270" s="733">
        <f>'PROJECT DETAILS'!I201</f>
        <v>0</v>
      </c>
      <c r="J270" s="59" t="s">
        <v>16</v>
      </c>
      <c r="K270" s="59" t="s">
        <v>146</v>
      </c>
      <c r="L270" s="733">
        <f>'PROJECT DETAILS'!L201</f>
        <v>0</v>
      </c>
      <c r="M270" s="59" t="s">
        <v>16</v>
      </c>
    </row>
    <row r="271" spans="1:13" s="59" customFormat="1">
      <c r="A271" s="59" t="s">
        <v>147</v>
      </c>
      <c r="B271" s="733">
        <v>6</v>
      </c>
      <c r="C271" s="59" t="s">
        <v>16</v>
      </c>
      <c r="D271" s="59" t="s">
        <v>148</v>
      </c>
      <c r="E271" s="733">
        <f>'PROJECT DETAILS'!E202</f>
        <v>0</v>
      </c>
      <c r="F271" s="59" t="s">
        <v>16</v>
      </c>
      <c r="H271" s="59" t="s">
        <v>147</v>
      </c>
      <c r="I271" s="733">
        <f>'PROJECT DETAILS'!I202</f>
        <v>0</v>
      </c>
      <c r="J271" s="59" t="s">
        <v>16</v>
      </c>
      <c r="K271" s="59" t="s">
        <v>148</v>
      </c>
      <c r="L271" s="733">
        <f>'PROJECT DETAILS'!L202</f>
        <v>0</v>
      </c>
      <c r="M271" s="59" t="s">
        <v>16</v>
      </c>
    </row>
    <row r="272" spans="1:13" s="59" customFormat="1">
      <c r="A272" s="59" t="s">
        <v>149</v>
      </c>
      <c r="B272" s="733">
        <v>7</v>
      </c>
      <c r="C272" s="59" t="s">
        <v>16</v>
      </c>
      <c r="D272" s="59" t="s">
        <v>150</v>
      </c>
      <c r="E272" s="733">
        <f>'PROJECT DETAILS'!E203</f>
        <v>0</v>
      </c>
      <c r="F272" s="59" t="s">
        <v>16</v>
      </c>
      <c r="H272" s="59" t="s">
        <v>149</v>
      </c>
      <c r="I272" s="733">
        <f>'PROJECT DETAILS'!I203</f>
        <v>0</v>
      </c>
      <c r="J272" s="59" t="s">
        <v>16</v>
      </c>
      <c r="K272" s="59" t="s">
        <v>150</v>
      </c>
      <c r="L272" s="733">
        <f>'PROJECT DETAILS'!L203</f>
        <v>0</v>
      </c>
      <c r="M272" s="59" t="s">
        <v>16</v>
      </c>
    </row>
    <row r="273" spans="1:13" s="59" customFormat="1">
      <c r="A273" s="59" t="s">
        <v>151</v>
      </c>
      <c r="B273" s="733">
        <v>8</v>
      </c>
      <c r="C273" s="59" t="s">
        <v>16</v>
      </c>
      <c r="D273" s="59" t="s">
        <v>152</v>
      </c>
      <c r="E273" s="733">
        <f>'PROJECT DETAILS'!E204</f>
        <v>0</v>
      </c>
      <c r="F273" s="59" t="s">
        <v>16</v>
      </c>
      <c r="H273" s="59" t="s">
        <v>151</v>
      </c>
      <c r="I273" s="733">
        <f>'PROJECT DETAILS'!I204</f>
        <v>0</v>
      </c>
      <c r="J273" s="59" t="s">
        <v>16</v>
      </c>
      <c r="K273" s="59" t="s">
        <v>152</v>
      </c>
      <c r="L273" s="733">
        <f>'PROJECT DETAILS'!L204</f>
        <v>0</v>
      </c>
      <c r="M273" s="59" t="s">
        <v>16</v>
      </c>
    </row>
    <row r="274" spans="1:13" s="59" customFormat="1"/>
    <row r="275" spans="1:13" s="59" customFormat="1">
      <c r="A275" s="59" t="s">
        <v>153</v>
      </c>
      <c r="B275" s="733">
        <f>'PROJECT DETAILS'!B206</f>
        <v>0</v>
      </c>
      <c r="C275" s="59" t="s">
        <v>112</v>
      </c>
    </row>
    <row r="276" spans="1:13" s="59" customFormat="1"/>
    <row r="277" spans="1:13" s="60" customFormat="1">
      <c r="A277" s="60" t="s">
        <v>154</v>
      </c>
    </row>
    <row r="278" spans="1:13" s="60" customFormat="1"/>
    <row r="279" spans="1:13" s="60" customFormat="1">
      <c r="A279" s="60" t="s">
        <v>155</v>
      </c>
      <c r="B279" s="734">
        <f>'PROJECT DETAILS'!B210</f>
        <v>89.8</v>
      </c>
      <c r="C279" s="60" t="s">
        <v>112</v>
      </c>
    </row>
    <row r="280" spans="1:13" s="60" customFormat="1"/>
    <row r="281" spans="1:13" s="690" customFormat="1">
      <c r="A281" s="690" t="s">
        <v>157</v>
      </c>
    </row>
    <row r="282" spans="1:13" s="690" customFormat="1"/>
    <row r="283" spans="1:13" s="690" customFormat="1">
      <c r="A283" s="690" t="s">
        <v>155</v>
      </c>
      <c r="B283" s="735">
        <f>'PROJECT DETAILS'!B217</f>
        <v>388.93499999999995</v>
      </c>
      <c r="C283" s="690" t="s">
        <v>112</v>
      </c>
    </row>
    <row r="284" spans="1:13" s="690" customFormat="1"/>
    <row r="285" spans="1:13" s="691" customFormat="1">
      <c r="A285" s="691" t="s">
        <v>156</v>
      </c>
    </row>
    <row r="286" spans="1:13" s="691" customFormat="1"/>
    <row r="287" spans="1:13" s="691" customFormat="1">
      <c r="A287" s="691" t="s">
        <v>155</v>
      </c>
      <c r="B287" s="736">
        <f>'PROJECT DETAILS'!B214</f>
        <v>123</v>
      </c>
      <c r="C287" s="691" t="s">
        <v>112</v>
      </c>
    </row>
    <row r="288" spans="1:13" s="691" customFormat="1">
      <c r="B288" s="691" t="s">
        <v>295</v>
      </c>
    </row>
  </sheetData>
  <mergeCells count="16">
    <mergeCell ref="A169:B169"/>
    <mergeCell ref="F169:G169"/>
    <mergeCell ref="K169:L169"/>
    <mergeCell ref="P169:Q169"/>
    <mergeCell ref="A170:B170"/>
    <mergeCell ref="F170:G170"/>
    <mergeCell ref="K170:L170"/>
    <mergeCell ref="P170:Q170"/>
    <mergeCell ref="A201:B201"/>
    <mergeCell ref="F201:G201"/>
    <mergeCell ref="K201:L201"/>
    <mergeCell ref="P201:Q201"/>
    <mergeCell ref="A202:B202"/>
    <mergeCell ref="F202:G202"/>
    <mergeCell ref="K202:L202"/>
    <mergeCell ref="P202:Q202"/>
  </mergeCells>
  <pageMargins left="0.7" right="0.7" top="0.75" bottom="0.75" header="0.3" footer="0.3"/>
  <pageSetup paperSize="9" orientation="portrait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opLeftCell="A28" workbookViewId="0">
      <selection activeCell="B8" sqref="B8"/>
    </sheetView>
  </sheetViews>
  <sheetFormatPr defaultColWidth="9.140625" defaultRowHeight="18.75"/>
  <cols>
    <col min="1" max="1" width="31.5703125" style="680" customWidth="1"/>
    <col min="2" max="2" width="12.7109375" style="681" customWidth="1"/>
    <col min="3" max="3" width="9.140625" style="680"/>
    <col min="4" max="4" width="14.7109375" style="680" customWidth="1"/>
    <col min="5" max="5" width="12" style="680" customWidth="1"/>
    <col min="6" max="6" width="10.5703125" style="680" customWidth="1"/>
    <col min="7" max="16384" width="9.140625" style="680"/>
  </cols>
  <sheetData>
    <row r="1" spans="1:6">
      <c r="A1" s="682" t="s">
        <v>296</v>
      </c>
      <c r="B1" s="683" t="s">
        <v>173</v>
      </c>
      <c r="C1" s="682" t="s">
        <v>297</v>
      </c>
    </row>
    <row r="2" spans="1:6">
      <c r="A2" s="682"/>
      <c r="B2" s="683"/>
      <c r="C2" s="682"/>
    </row>
    <row r="3" spans="1:6" ht="20.100000000000001" customHeight="1">
      <c r="A3" s="682" t="s">
        <v>184</v>
      </c>
      <c r="B3" s="683">
        <f>ESTIMATES!B6</f>
        <v>2038.3880000000001</v>
      </c>
      <c r="C3" s="682" t="s">
        <v>23</v>
      </c>
    </row>
    <row r="4" spans="1:6" ht="20.100000000000001" customHeight="1">
      <c r="A4" s="682" t="s">
        <v>206</v>
      </c>
      <c r="B4" s="683">
        <f>ESTIMATES!B40</f>
        <v>1308.8595000000003</v>
      </c>
      <c r="C4" s="682" t="s">
        <v>23</v>
      </c>
    </row>
    <row r="5" spans="1:6" ht="20.100000000000001" customHeight="1">
      <c r="A5" s="682" t="s">
        <v>98</v>
      </c>
      <c r="B5" s="683">
        <f>ESTIMATES!C245</f>
        <v>130.76749999999998</v>
      </c>
      <c r="C5" s="682" t="s">
        <v>112</v>
      </c>
    </row>
    <row r="6" spans="1:6" ht="20.100000000000001" customHeight="1">
      <c r="A6" s="682" t="s">
        <v>232</v>
      </c>
      <c r="B6" s="683">
        <f>ESTIMATES!B103</f>
        <v>1704.7829999999999</v>
      </c>
      <c r="C6" s="682" t="s">
        <v>23</v>
      </c>
    </row>
    <row r="7" spans="1:6" ht="20.100000000000001" customHeight="1">
      <c r="A7" s="682" t="s">
        <v>298</v>
      </c>
      <c r="B7" s="683">
        <f>ESTIMATES!B107</f>
        <v>91.183999999999997</v>
      </c>
      <c r="C7" s="682" t="s">
        <v>238</v>
      </c>
    </row>
    <row r="8" spans="1:6" ht="20.100000000000001" customHeight="1">
      <c r="A8" s="682" t="s">
        <v>132</v>
      </c>
      <c r="B8" s="683">
        <f>SUM(B10:B27,E10:E27)</f>
        <v>243.32999999999998</v>
      </c>
      <c r="C8" s="682" t="s">
        <v>299</v>
      </c>
    </row>
    <row r="9" spans="1:6" ht="20.100000000000001" customHeight="1">
      <c r="A9" s="684" t="s">
        <v>300</v>
      </c>
      <c r="B9" s="683"/>
      <c r="C9" s="682"/>
      <c r="D9" s="684" t="s">
        <v>300</v>
      </c>
      <c r="E9" s="682"/>
      <c r="F9" s="682"/>
    </row>
    <row r="10" spans="1:6" ht="20.100000000000001" customHeight="1">
      <c r="A10" s="685" t="s">
        <v>135</v>
      </c>
      <c r="B10" s="683">
        <f>ESTIMATES!B265</f>
        <v>1</v>
      </c>
      <c r="C10" s="682" t="s">
        <v>299</v>
      </c>
      <c r="D10" s="685" t="s">
        <v>135</v>
      </c>
      <c r="E10" s="683">
        <f>ESTIMATES!I265</f>
        <v>0</v>
      </c>
      <c r="F10" s="682" t="s">
        <v>299</v>
      </c>
    </row>
    <row r="11" spans="1:6" ht="20.100000000000001" customHeight="1">
      <c r="A11" s="685" t="s">
        <v>137</v>
      </c>
      <c r="B11" s="683">
        <f>ESTIMATES!B266</f>
        <v>1</v>
      </c>
      <c r="C11" s="682" t="s">
        <v>299</v>
      </c>
      <c r="D11" s="685" t="s">
        <v>137</v>
      </c>
      <c r="E11" s="683">
        <f>ESTIMATES!I266</f>
        <v>0</v>
      </c>
      <c r="F11" s="682" t="s">
        <v>299</v>
      </c>
    </row>
    <row r="12" spans="1:6" ht="20.100000000000001" customHeight="1">
      <c r="A12" s="685" t="s">
        <v>139</v>
      </c>
      <c r="B12" s="683">
        <f>ESTIMATES!B267</f>
        <v>2</v>
      </c>
      <c r="C12" s="682" t="s">
        <v>299</v>
      </c>
      <c r="D12" s="685" t="s">
        <v>139</v>
      </c>
      <c r="E12" s="683">
        <f>ESTIMATES!I267</f>
        <v>0</v>
      </c>
      <c r="F12" s="682" t="s">
        <v>299</v>
      </c>
    </row>
    <row r="13" spans="1:6" ht="20.100000000000001" customHeight="1">
      <c r="A13" s="685" t="s">
        <v>141</v>
      </c>
      <c r="B13" s="683">
        <f>ESTIMATES!B268</f>
        <v>3</v>
      </c>
      <c r="C13" s="682" t="s">
        <v>299</v>
      </c>
      <c r="D13" s="685" t="s">
        <v>141</v>
      </c>
      <c r="E13" s="683">
        <f>ESTIMATES!I268</f>
        <v>0</v>
      </c>
      <c r="F13" s="682" t="s">
        <v>299</v>
      </c>
    </row>
    <row r="14" spans="1:6" ht="20.100000000000001" customHeight="1">
      <c r="A14" s="685" t="s">
        <v>143</v>
      </c>
      <c r="B14" s="683">
        <f>ESTIMATES!B269</f>
        <v>4</v>
      </c>
      <c r="C14" s="682" t="s">
        <v>299</v>
      </c>
      <c r="D14" s="685" t="s">
        <v>143</v>
      </c>
      <c r="E14" s="683">
        <f>ESTIMATES!I269</f>
        <v>0</v>
      </c>
      <c r="F14" s="682" t="s">
        <v>299</v>
      </c>
    </row>
    <row r="15" spans="1:6" ht="20.100000000000001" customHeight="1">
      <c r="A15" s="685" t="s">
        <v>145</v>
      </c>
      <c r="B15" s="683">
        <f>ESTIMATES!B270</f>
        <v>5</v>
      </c>
      <c r="C15" s="682" t="s">
        <v>299</v>
      </c>
      <c r="D15" s="685" t="s">
        <v>145</v>
      </c>
      <c r="E15" s="683">
        <f>ESTIMATES!I270</f>
        <v>0</v>
      </c>
      <c r="F15" s="682" t="s">
        <v>299</v>
      </c>
    </row>
    <row r="16" spans="1:6" ht="20.100000000000001" customHeight="1">
      <c r="A16" s="685" t="s">
        <v>147</v>
      </c>
      <c r="B16" s="683">
        <f>ESTIMATES!B271</f>
        <v>6</v>
      </c>
      <c r="C16" s="682" t="s">
        <v>299</v>
      </c>
      <c r="D16" s="685" t="s">
        <v>147</v>
      </c>
      <c r="E16" s="683">
        <f>ESTIMATES!I271</f>
        <v>0</v>
      </c>
      <c r="F16" s="682" t="s">
        <v>299</v>
      </c>
    </row>
    <row r="17" spans="1:6" ht="20.100000000000001" customHeight="1">
      <c r="A17" s="685" t="s">
        <v>149</v>
      </c>
      <c r="B17" s="683">
        <f>ESTIMATES!B272</f>
        <v>7</v>
      </c>
      <c r="C17" s="682" t="s">
        <v>299</v>
      </c>
      <c r="D17" s="685" t="s">
        <v>149</v>
      </c>
      <c r="E17" s="683">
        <f>ESTIMATES!I272</f>
        <v>0</v>
      </c>
      <c r="F17" s="682" t="s">
        <v>299</v>
      </c>
    </row>
    <row r="18" spans="1:6" ht="20.100000000000001" customHeight="1">
      <c r="A18" s="685" t="s">
        <v>151</v>
      </c>
      <c r="B18" s="683">
        <f>ESTIMATES!B273</f>
        <v>8</v>
      </c>
      <c r="C18" s="682" t="s">
        <v>299</v>
      </c>
      <c r="D18" s="685" t="s">
        <v>151</v>
      </c>
      <c r="E18" s="683">
        <f>ESTIMATES!I273</f>
        <v>0</v>
      </c>
      <c r="F18" s="682" t="s">
        <v>299</v>
      </c>
    </row>
    <row r="19" spans="1:6" ht="20.100000000000001" customHeight="1">
      <c r="A19" s="685" t="s">
        <v>136</v>
      </c>
      <c r="B19" s="683">
        <f>ESTIMATES!E265</f>
        <v>53.44</v>
      </c>
      <c r="C19" s="682" t="s">
        <v>299</v>
      </c>
      <c r="D19" s="685" t="s">
        <v>136</v>
      </c>
      <c r="E19" s="683">
        <f>ESTIMATES!L265</f>
        <v>45</v>
      </c>
      <c r="F19" s="682" t="s">
        <v>299</v>
      </c>
    </row>
    <row r="20" spans="1:6" ht="20.100000000000001" customHeight="1">
      <c r="A20" s="685" t="s">
        <v>138</v>
      </c>
      <c r="B20" s="683">
        <f>ESTIMATES!E266</f>
        <v>53.44</v>
      </c>
      <c r="C20" s="682" t="s">
        <v>299</v>
      </c>
      <c r="D20" s="685" t="s">
        <v>138</v>
      </c>
      <c r="E20" s="683">
        <f>ESTIMATES!L266</f>
        <v>21.95</v>
      </c>
      <c r="F20" s="682" t="s">
        <v>299</v>
      </c>
    </row>
    <row r="21" spans="1:6" ht="20.100000000000001" customHeight="1">
      <c r="A21" s="685" t="s">
        <v>140</v>
      </c>
      <c r="B21" s="683">
        <f>ESTIMATES!E267</f>
        <v>25.4</v>
      </c>
      <c r="C21" s="682" t="s">
        <v>299</v>
      </c>
      <c r="D21" s="685" t="s">
        <v>140</v>
      </c>
      <c r="E21" s="683">
        <f>ESTIMATES!L267</f>
        <v>7.1</v>
      </c>
      <c r="F21" s="682" t="s">
        <v>299</v>
      </c>
    </row>
    <row r="22" spans="1:6" ht="20.100000000000001" customHeight="1">
      <c r="A22" s="685" t="s">
        <v>301</v>
      </c>
      <c r="B22" s="683">
        <f>ESTIMATES!E268</f>
        <v>0</v>
      </c>
      <c r="C22" s="682" t="s">
        <v>299</v>
      </c>
      <c r="D22" s="685" t="s">
        <v>301</v>
      </c>
      <c r="E22" s="683">
        <f>ESTIMATES!L268</f>
        <v>0</v>
      </c>
      <c r="F22" s="682" t="s">
        <v>299</v>
      </c>
    </row>
    <row r="23" spans="1:6" ht="20.100000000000001" customHeight="1">
      <c r="A23" s="685" t="s">
        <v>144</v>
      </c>
      <c r="B23" s="683">
        <f>ESTIMATES!E269</f>
        <v>0</v>
      </c>
      <c r="C23" s="682" t="s">
        <v>299</v>
      </c>
      <c r="D23" s="685" t="s">
        <v>144</v>
      </c>
      <c r="E23" s="683">
        <f>ESTIMATES!L269</f>
        <v>0</v>
      </c>
      <c r="F23" s="682" t="s">
        <v>299</v>
      </c>
    </row>
    <row r="24" spans="1:6" ht="20.100000000000001" customHeight="1">
      <c r="A24" s="685" t="s">
        <v>302</v>
      </c>
      <c r="B24" s="683">
        <f>ESTIMATES!E270</f>
        <v>0</v>
      </c>
      <c r="C24" s="682" t="s">
        <v>299</v>
      </c>
      <c r="D24" s="685" t="s">
        <v>302</v>
      </c>
      <c r="E24" s="683">
        <f>ESTIMATES!L270</f>
        <v>0</v>
      </c>
      <c r="F24" s="682" t="s">
        <v>299</v>
      </c>
    </row>
    <row r="25" spans="1:6" ht="20.100000000000001" customHeight="1">
      <c r="A25" s="685" t="s">
        <v>148</v>
      </c>
      <c r="B25" s="683">
        <f>ESTIMATES!E271</f>
        <v>0</v>
      </c>
      <c r="C25" s="682" t="s">
        <v>299</v>
      </c>
      <c r="D25" s="685" t="s">
        <v>148</v>
      </c>
      <c r="E25" s="683">
        <f>ESTIMATES!L271</f>
        <v>0</v>
      </c>
      <c r="F25" s="682" t="s">
        <v>299</v>
      </c>
    </row>
    <row r="26" spans="1:6" ht="20.100000000000001" customHeight="1">
      <c r="A26" s="685" t="s">
        <v>150</v>
      </c>
      <c r="B26" s="683">
        <f>ESTIMATES!E272</f>
        <v>0</v>
      </c>
      <c r="C26" s="682" t="s">
        <v>299</v>
      </c>
      <c r="D26" s="685" t="s">
        <v>150</v>
      </c>
      <c r="E26" s="683">
        <f>ESTIMATES!L272</f>
        <v>0</v>
      </c>
      <c r="F26" s="682" t="s">
        <v>299</v>
      </c>
    </row>
    <row r="27" spans="1:6" ht="20.100000000000001" customHeight="1">
      <c r="A27" s="685" t="s">
        <v>152</v>
      </c>
      <c r="B27" s="683">
        <f>ESTIMATES!E273</f>
        <v>0</v>
      </c>
      <c r="C27" s="682" t="s">
        <v>299</v>
      </c>
      <c r="D27" s="685" t="s">
        <v>152</v>
      </c>
      <c r="E27" s="683">
        <f>ESTIMATES!L273</f>
        <v>0</v>
      </c>
      <c r="F27" s="682" t="s">
        <v>299</v>
      </c>
    </row>
    <row r="28" spans="1:6" ht="20.100000000000001" customHeight="1">
      <c r="A28" s="686" t="s">
        <v>303</v>
      </c>
      <c r="B28" s="683">
        <f>ESTIMATES!C254</f>
        <v>127.4</v>
      </c>
      <c r="C28" s="682" t="s">
        <v>112</v>
      </c>
    </row>
    <row r="29" spans="1:6" ht="20.100000000000001" customHeight="1">
      <c r="A29" s="686" t="s">
        <v>157</v>
      </c>
      <c r="B29" s="683">
        <f>ESTIMATES!B283</f>
        <v>388.93499999999995</v>
      </c>
      <c r="C29" s="682" t="s">
        <v>112</v>
      </c>
    </row>
    <row r="30" spans="1:6" ht="20.100000000000001" customHeight="1">
      <c r="A30" s="686" t="s">
        <v>154</v>
      </c>
      <c r="B30" s="683">
        <f>ESTIMATES!B279</f>
        <v>89.8</v>
      </c>
      <c r="C30" s="682" t="s">
        <v>112</v>
      </c>
    </row>
    <row r="31" spans="1:6" ht="20.100000000000001" customHeight="1">
      <c r="A31" s="686" t="s">
        <v>82</v>
      </c>
      <c r="B31" s="683">
        <f>'PROJECT DETAILS'!B222</f>
        <v>1</v>
      </c>
      <c r="C31" s="682" t="s">
        <v>165</v>
      </c>
    </row>
    <row r="32" spans="1:6" ht="20.100000000000001" customHeight="1">
      <c r="A32" s="686" t="s">
        <v>304</v>
      </c>
      <c r="B32" s="683">
        <f>'PROJECT DETAILS'!B221</f>
        <v>1</v>
      </c>
      <c r="C32" s="682" t="s">
        <v>165</v>
      </c>
    </row>
    <row r="33" spans="1:3" ht="20.100000000000001" customHeight="1">
      <c r="A33" s="686" t="s">
        <v>305</v>
      </c>
      <c r="B33" s="683">
        <f>'PROJECT DETAILS'!B220</f>
        <v>1</v>
      </c>
      <c r="C33" s="682" t="s">
        <v>306</v>
      </c>
    </row>
    <row r="34" spans="1:3" ht="20.100000000000001" customHeight="1">
      <c r="A34" s="686" t="s">
        <v>167</v>
      </c>
      <c r="B34" s="683">
        <f>'PROJECT DETAILS'!B226</f>
        <v>1</v>
      </c>
      <c r="C34" s="682" t="s">
        <v>307</v>
      </c>
    </row>
    <row r="35" spans="1:3" ht="20.100000000000001" customHeight="1">
      <c r="A35" s="686" t="s">
        <v>129</v>
      </c>
      <c r="B35" s="683">
        <f>ESTIMATES!C260</f>
        <v>127.4</v>
      </c>
      <c r="C35" s="682" t="s">
        <v>112</v>
      </c>
    </row>
    <row r="36" spans="1:3" ht="20.100000000000001" customHeight="1">
      <c r="A36" s="686" t="s">
        <v>308</v>
      </c>
      <c r="B36" s="683">
        <f>'PROJECT DETAILS'!B227</f>
        <v>17</v>
      </c>
      <c r="C36" s="682" t="s">
        <v>169</v>
      </c>
    </row>
    <row r="37" spans="1:3" ht="20.100000000000001" customHeight="1">
      <c r="A37" s="686" t="s">
        <v>164</v>
      </c>
      <c r="B37" s="683">
        <f>'PROJECT DETAILS'!B224</f>
        <v>1</v>
      </c>
      <c r="C37" s="682" t="s">
        <v>307</v>
      </c>
    </row>
    <row r="38" spans="1:3" ht="20.100000000000001" customHeight="1">
      <c r="A38" s="686" t="s">
        <v>309</v>
      </c>
      <c r="B38" s="683">
        <f>'PROJECT DETAILS'!B228</f>
        <v>10</v>
      </c>
      <c r="C38" s="682" t="s">
        <v>171</v>
      </c>
    </row>
    <row r="39" spans="1:3" ht="20.100000000000001" customHeight="1">
      <c r="A39" s="686" t="s">
        <v>310</v>
      </c>
      <c r="B39" s="683">
        <f>'PROJECT DETAILS'!B223</f>
        <v>1</v>
      </c>
      <c r="C39" s="682" t="s">
        <v>307</v>
      </c>
    </row>
    <row r="40" spans="1:3" ht="20.100000000000001" customHeight="1">
      <c r="A40" s="686" t="s">
        <v>166</v>
      </c>
      <c r="B40" s="683">
        <f>'PROJECT DETAILS'!B225</f>
        <v>1</v>
      </c>
      <c r="C40" s="682" t="s">
        <v>165</v>
      </c>
    </row>
    <row r="41" spans="1:3">
      <c r="A41" s="686" t="s">
        <v>311</v>
      </c>
      <c r="B41" s="683">
        <f>'PROJECT DETAILS'!B214</f>
        <v>123</v>
      </c>
      <c r="C41" s="68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93"/>
  <sheetViews>
    <sheetView topLeftCell="A241" workbookViewId="0">
      <selection activeCell="C265" sqref="C265"/>
    </sheetView>
  </sheetViews>
  <sheetFormatPr defaultColWidth="9" defaultRowHeight="15"/>
  <cols>
    <col min="1" max="1" width="22" style="594" customWidth="1"/>
    <col min="2" max="2" width="44.42578125" customWidth="1"/>
    <col min="3" max="4" width="9.28515625" style="595" customWidth="1"/>
    <col min="5" max="5" width="10.42578125" style="595" customWidth="1"/>
    <col min="6" max="6" width="10" style="595" customWidth="1"/>
    <col min="7" max="7" width="9.140625" style="596"/>
    <col min="8" max="10" width="9" style="596" customWidth="1"/>
    <col min="11" max="11" width="7.85546875" style="596" customWidth="1"/>
    <col min="12" max="12" width="10.42578125" style="596" customWidth="1"/>
    <col min="13" max="13" width="12.140625" customWidth="1"/>
  </cols>
  <sheetData>
    <row r="1" spans="1:30" ht="15.75">
      <c r="A1" s="597" t="s">
        <v>312</v>
      </c>
      <c r="B1" s="598" t="s">
        <v>313</v>
      </c>
      <c r="C1" s="599" t="s">
        <v>314</v>
      </c>
      <c r="D1" s="599" t="s">
        <v>315</v>
      </c>
      <c r="E1" s="845" t="s">
        <v>316</v>
      </c>
      <c r="F1" s="845"/>
      <c r="G1" s="845"/>
      <c r="H1" s="845"/>
      <c r="I1" s="845"/>
      <c r="J1" s="845"/>
      <c r="K1" s="845"/>
      <c r="L1" s="845"/>
      <c r="M1" s="845"/>
    </row>
    <row r="2" spans="1:30" ht="30">
      <c r="A2" s="600"/>
      <c r="B2" s="601"/>
      <c r="C2" s="602"/>
      <c r="D2" s="602"/>
      <c r="E2" s="603" t="s">
        <v>317</v>
      </c>
      <c r="F2" s="604" t="s">
        <v>318</v>
      </c>
      <c r="G2" s="605" t="s">
        <v>319</v>
      </c>
      <c r="H2" s="605" t="s">
        <v>320</v>
      </c>
      <c r="I2" s="605" t="s">
        <v>321</v>
      </c>
      <c r="J2" s="630" t="s">
        <v>322</v>
      </c>
      <c r="K2" s="630" t="s">
        <v>323</v>
      </c>
      <c r="L2" s="631" t="s">
        <v>324</v>
      </c>
      <c r="M2" s="632" t="s">
        <v>325</v>
      </c>
    </row>
    <row r="3" spans="1:30" s="593" customFormat="1" ht="15.75">
      <c r="A3" s="606" t="s">
        <v>184</v>
      </c>
      <c r="B3" s="607"/>
      <c r="C3" s="608" t="s">
        <v>112</v>
      </c>
      <c r="D3" s="608"/>
      <c r="E3" s="609"/>
      <c r="F3" s="610"/>
      <c r="G3" s="611"/>
      <c r="H3" s="611"/>
      <c r="I3" s="611"/>
      <c r="J3" s="633"/>
      <c r="K3" s="633"/>
      <c r="L3" s="634"/>
      <c r="M3" s="635"/>
    </row>
    <row r="4" spans="1:30" ht="15.75">
      <c r="A4" s="600"/>
      <c r="B4" s="601"/>
      <c r="C4" s="602"/>
      <c r="D4" s="602"/>
      <c r="E4" s="603"/>
      <c r="F4" s="604"/>
      <c r="G4" s="605"/>
      <c r="H4" s="605"/>
      <c r="I4" s="605"/>
      <c r="J4" s="630"/>
      <c r="K4" s="630"/>
      <c r="L4" s="631"/>
      <c r="M4" s="632"/>
    </row>
    <row r="5" spans="1:30">
      <c r="A5" s="612"/>
      <c r="B5" s="612" t="s">
        <v>172</v>
      </c>
      <c r="C5" s="603"/>
      <c r="D5" s="602"/>
      <c r="E5" s="603"/>
      <c r="F5" s="604"/>
      <c r="G5" s="605"/>
      <c r="H5" s="605"/>
      <c r="I5" s="605"/>
      <c r="J5" s="630"/>
      <c r="K5" s="630"/>
      <c r="L5" s="631"/>
      <c r="M5" s="632"/>
    </row>
    <row r="6" spans="1:30">
      <c r="A6" s="600"/>
      <c r="B6" s="600" t="s">
        <v>326</v>
      </c>
      <c r="C6" s="603"/>
      <c r="D6" s="613">
        <v>1537</v>
      </c>
      <c r="E6" s="603"/>
      <c r="F6" s="604"/>
      <c r="G6" s="605"/>
      <c r="H6" s="605"/>
      <c r="I6" s="605"/>
      <c r="J6" s="630"/>
      <c r="K6" s="630"/>
      <c r="L6" s="631"/>
      <c r="M6" s="632"/>
    </row>
    <row r="7" spans="1:30">
      <c r="A7" s="600"/>
      <c r="B7" s="600" t="s">
        <v>327</v>
      </c>
      <c r="C7" s="603"/>
      <c r="D7" s="613">
        <v>676</v>
      </c>
      <c r="E7" s="603"/>
      <c r="F7" s="604"/>
      <c r="G7" s="605"/>
      <c r="H7" s="605"/>
      <c r="I7" s="605"/>
      <c r="J7" s="630"/>
      <c r="K7" s="630"/>
      <c r="L7" s="631"/>
      <c r="M7" s="632"/>
    </row>
    <row r="8" spans="1:30" ht="15.75">
      <c r="A8" s="600"/>
      <c r="B8" s="601"/>
      <c r="C8" s="603"/>
      <c r="D8" s="613"/>
      <c r="E8" s="603"/>
      <c r="F8" s="604"/>
      <c r="G8" s="605"/>
      <c r="H8" s="605"/>
      <c r="I8" s="605"/>
      <c r="J8" s="630"/>
      <c r="K8" s="630"/>
      <c r="L8" s="631"/>
      <c r="M8" s="632"/>
      <c r="N8" t="s">
        <v>295</v>
      </c>
    </row>
    <row r="9" spans="1:30" s="593" customFormat="1" ht="15.75">
      <c r="A9" s="606" t="s">
        <v>206</v>
      </c>
      <c r="B9" s="607"/>
      <c r="C9" s="608" t="s">
        <v>112</v>
      </c>
      <c r="D9" s="614"/>
      <c r="E9" s="609"/>
      <c r="F9" s="610"/>
      <c r="G9" s="611"/>
      <c r="H9" s="611"/>
      <c r="I9" s="611"/>
      <c r="J9" s="633"/>
      <c r="K9" s="633"/>
      <c r="L9" s="634"/>
      <c r="M9" s="635"/>
    </row>
    <row r="10" spans="1:30" ht="15.75">
      <c r="A10" s="600"/>
      <c r="B10" s="601"/>
      <c r="C10" s="602"/>
      <c r="D10" s="613"/>
      <c r="E10" s="603"/>
      <c r="F10" s="604"/>
      <c r="G10" s="605"/>
      <c r="H10" s="605"/>
      <c r="I10" s="605"/>
      <c r="J10" s="630"/>
      <c r="K10" s="630"/>
      <c r="L10" s="631"/>
      <c r="M10" s="632"/>
    </row>
    <row r="11" spans="1:30">
      <c r="A11" s="600"/>
      <c r="B11" s="612" t="s">
        <v>172</v>
      </c>
      <c r="C11" s="602"/>
      <c r="D11" s="613"/>
      <c r="E11" s="603"/>
      <c r="F11" s="604"/>
      <c r="G11" s="605"/>
      <c r="H11" s="605"/>
      <c r="I11" s="605"/>
      <c r="J11" s="630"/>
      <c r="K11" s="630"/>
      <c r="L11" s="631"/>
      <c r="M11" s="632"/>
    </row>
    <row r="12" spans="1:30">
      <c r="A12" s="600"/>
      <c r="B12" s="602" t="s">
        <v>328</v>
      </c>
      <c r="C12" s="602"/>
      <c r="D12" s="613">
        <v>2173</v>
      </c>
      <c r="E12" s="603"/>
      <c r="F12" s="604"/>
      <c r="G12" s="605"/>
      <c r="H12" s="605"/>
      <c r="I12" s="605"/>
      <c r="J12" s="630"/>
      <c r="K12" s="630"/>
      <c r="L12" s="631"/>
      <c r="M12" s="632"/>
    </row>
    <row r="13" spans="1:30">
      <c r="A13" s="600"/>
      <c r="B13" s="602" t="s">
        <v>329</v>
      </c>
      <c r="C13" s="602"/>
      <c r="D13" s="615">
        <v>1065</v>
      </c>
      <c r="E13" s="603"/>
      <c r="F13" s="604"/>
      <c r="G13" s="605"/>
      <c r="H13" s="605"/>
      <c r="I13" s="605"/>
      <c r="J13" s="630"/>
      <c r="K13" s="630"/>
      <c r="L13" s="631"/>
      <c r="M13" s="632"/>
    </row>
    <row r="14" spans="1:30">
      <c r="A14" s="600"/>
      <c r="B14" s="602" t="s">
        <v>330</v>
      </c>
      <c r="C14" s="602"/>
      <c r="D14" s="613">
        <v>1507</v>
      </c>
      <c r="E14" s="603"/>
      <c r="F14" s="604"/>
      <c r="G14" s="605"/>
      <c r="H14" s="605"/>
      <c r="I14" s="605"/>
      <c r="J14" s="630"/>
      <c r="K14" s="630"/>
      <c r="L14" s="631"/>
      <c r="M14" s="632"/>
    </row>
    <row r="15" spans="1:30" ht="15.75">
      <c r="A15" s="600"/>
      <c r="B15" s="616" t="s">
        <v>331</v>
      </c>
      <c r="C15" s="617" t="s">
        <v>332</v>
      </c>
      <c r="D15" s="617"/>
      <c r="E15" s="618"/>
      <c r="F15" s="619"/>
      <c r="G15" s="620"/>
      <c r="H15" s="620"/>
      <c r="I15" s="620"/>
      <c r="J15" s="620">
        <v>450</v>
      </c>
      <c r="K15" s="620">
        <v>500</v>
      </c>
      <c r="L15" s="620">
        <v>500</v>
      </c>
      <c r="M15" s="625"/>
    </row>
    <row r="16" spans="1:30" ht="16.5">
      <c r="A16" s="621"/>
      <c r="B16" s="13" t="s">
        <v>333</v>
      </c>
      <c r="C16" s="622" t="s">
        <v>23</v>
      </c>
      <c r="D16" s="623"/>
      <c r="E16" s="623"/>
      <c r="F16" s="623"/>
      <c r="G16" s="623"/>
      <c r="H16" s="623"/>
      <c r="I16" s="623"/>
      <c r="J16" s="623"/>
      <c r="K16" s="623"/>
      <c r="L16" s="623"/>
      <c r="M16" s="636">
        <v>400</v>
      </c>
      <c r="N16" s="52"/>
      <c r="O16" s="637"/>
      <c r="P16" s="26"/>
      <c r="Q16" s="846"/>
      <c r="R16" s="847"/>
      <c r="S16" s="848"/>
      <c r="T16" s="849"/>
      <c r="U16" s="850"/>
      <c r="V16" s="850"/>
      <c r="W16" s="851"/>
      <c r="X16" s="852">
        <f>T16*Q16</f>
        <v>0</v>
      </c>
      <c r="Y16" s="853"/>
      <c r="Z16" s="853"/>
      <c r="AA16" s="853"/>
      <c r="AB16" s="853"/>
      <c r="AC16" s="853"/>
      <c r="AD16" s="18"/>
    </row>
    <row r="17" spans="1:13" ht="15.75">
      <c r="A17" s="600"/>
      <c r="B17" s="616" t="s">
        <v>334</v>
      </c>
      <c r="C17" s="617" t="s">
        <v>332</v>
      </c>
      <c r="D17" s="617"/>
      <c r="E17" s="618"/>
      <c r="F17" s="619"/>
      <c r="G17" s="620"/>
      <c r="H17" s="620"/>
      <c r="I17" s="620"/>
      <c r="J17" s="620">
        <v>450</v>
      </c>
      <c r="K17" s="620">
        <v>400</v>
      </c>
      <c r="L17" s="620">
        <v>400</v>
      </c>
      <c r="M17" s="625"/>
    </row>
    <row r="18" spans="1:13" s="593" customFormat="1" ht="15.75">
      <c r="A18" s="606" t="s">
        <v>232</v>
      </c>
      <c r="B18" s="607"/>
      <c r="C18" s="624" t="s">
        <v>112</v>
      </c>
      <c r="D18" s="624"/>
      <c r="E18" s="609"/>
      <c r="F18" s="610"/>
      <c r="G18" s="611"/>
      <c r="H18" s="611"/>
      <c r="I18" s="611"/>
      <c r="J18" s="633"/>
      <c r="K18" s="633"/>
      <c r="L18" s="634"/>
      <c r="M18" s="635"/>
    </row>
    <row r="19" spans="1:13">
      <c r="A19" s="600"/>
      <c r="B19" s="625"/>
      <c r="C19" s="602"/>
      <c r="D19" s="602"/>
      <c r="E19" s="603"/>
      <c r="F19" s="604"/>
      <c r="G19" s="605"/>
      <c r="H19" s="605"/>
      <c r="I19" s="605"/>
      <c r="J19" s="630"/>
      <c r="K19" s="630"/>
      <c r="L19" s="631"/>
      <c r="M19" s="632"/>
    </row>
    <row r="20" spans="1:13" ht="15.75">
      <c r="A20" s="600"/>
      <c r="B20" s="626" t="s">
        <v>335</v>
      </c>
      <c r="C20" s="627" t="s">
        <v>336</v>
      </c>
      <c r="D20" s="627"/>
      <c r="E20" s="628"/>
      <c r="F20" s="629">
        <v>320</v>
      </c>
      <c r="G20" s="620"/>
      <c r="H20" s="620"/>
      <c r="I20" s="620"/>
      <c r="J20" s="638">
        <v>305</v>
      </c>
      <c r="K20" s="620">
        <v>290</v>
      </c>
      <c r="L20" s="620">
        <v>290</v>
      </c>
      <c r="M20" s="625"/>
    </row>
    <row r="21" spans="1:13" ht="15.75">
      <c r="A21" s="600"/>
      <c r="B21" s="626" t="s">
        <v>337</v>
      </c>
      <c r="C21" s="627" t="s">
        <v>338</v>
      </c>
      <c r="D21" s="627"/>
      <c r="E21" s="628"/>
      <c r="F21" s="619"/>
      <c r="G21" s="620"/>
      <c r="H21" s="620"/>
      <c r="I21" s="620"/>
      <c r="J21" s="620">
        <v>45</v>
      </c>
      <c r="K21" s="620">
        <v>50</v>
      </c>
      <c r="L21" s="620">
        <v>50</v>
      </c>
      <c r="M21" s="625"/>
    </row>
    <row r="22" spans="1:13" ht="15.75">
      <c r="A22" s="600"/>
      <c r="B22" s="626" t="s">
        <v>339</v>
      </c>
      <c r="C22" s="627" t="s">
        <v>336</v>
      </c>
      <c r="D22" s="627"/>
      <c r="E22" s="628"/>
      <c r="F22" s="619"/>
      <c r="G22" s="620"/>
      <c r="H22" s="620"/>
      <c r="I22" s="620"/>
      <c r="J22" s="620">
        <v>295</v>
      </c>
      <c r="K22" s="620">
        <v>287</v>
      </c>
      <c r="L22" s="620">
        <v>285</v>
      </c>
      <c r="M22" s="625"/>
    </row>
    <row r="23" spans="1:13" ht="15.75">
      <c r="A23" s="600"/>
      <c r="B23" s="626" t="s">
        <v>339</v>
      </c>
      <c r="C23" s="627" t="s">
        <v>336</v>
      </c>
      <c r="D23" s="627"/>
      <c r="E23" s="628"/>
      <c r="F23" s="619"/>
      <c r="G23" s="620"/>
      <c r="H23" s="620"/>
      <c r="I23" s="620"/>
      <c r="J23" s="620">
        <v>295</v>
      </c>
      <c r="K23" s="620">
        <v>287</v>
      </c>
      <c r="L23" s="620">
        <v>285</v>
      </c>
      <c r="M23" s="625"/>
    </row>
    <row r="24" spans="1:13" ht="15.75">
      <c r="A24" s="600"/>
      <c r="B24" s="616" t="s">
        <v>340</v>
      </c>
      <c r="C24" s="617" t="s">
        <v>332</v>
      </c>
      <c r="D24" s="617"/>
      <c r="E24" s="618">
        <v>1010</v>
      </c>
      <c r="F24" s="629">
        <v>4000</v>
      </c>
      <c r="G24" s="620"/>
      <c r="H24" s="620"/>
      <c r="I24" s="620"/>
      <c r="J24" s="638">
        <v>1150</v>
      </c>
      <c r="K24" s="620">
        <v>1200</v>
      </c>
      <c r="L24" s="620">
        <v>1200</v>
      </c>
      <c r="M24" s="625"/>
    </row>
    <row r="25" spans="1:13" ht="15.75">
      <c r="A25" s="600"/>
      <c r="B25" s="616" t="s">
        <v>341</v>
      </c>
      <c r="C25" s="617" t="s">
        <v>332</v>
      </c>
      <c r="D25" s="617"/>
      <c r="E25" s="618">
        <v>1055</v>
      </c>
      <c r="F25" s="629"/>
      <c r="G25" s="620"/>
      <c r="H25" s="620"/>
      <c r="I25" s="620"/>
      <c r="J25" s="638"/>
      <c r="K25" s="620"/>
      <c r="L25" s="620"/>
      <c r="M25" s="625"/>
    </row>
    <row r="26" spans="1:13" ht="15.75">
      <c r="A26" s="600"/>
      <c r="B26" s="616" t="s">
        <v>342</v>
      </c>
      <c r="C26" s="617" t="s">
        <v>332</v>
      </c>
      <c r="D26" s="617"/>
      <c r="E26" s="618">
        <v>795</v>
      </c>
      <c r="F26" s="629">
        <v>4000</v>
      </c>
      <c r="G26" s="620"/>
      <c r="H26" s="620"/>
      <c r="I26" s="620"/>
      <c r="J26" s="638">
        <v>1200</v>
      </c>
      <c r="K26" s="620"/>
      <c r="L26" s="620"/>
      <c r="M26" s="625"/>
    </row>
    <row r="27" spans="1:13" ht="15.75">
      <c r="A27" s="600"/>
      <c r="B27" s="616" t="s">
        <v>343</v>
      </c>
      <c r="C27" s="617" t="s">
        <v>332</v>
      </c>
      <c r="D27" s="617"/>
      <c r="E27" s="618">
        <v>900</v>
      </c>
      <c r="F27" s="629"/>
      <c r="G27" s="620"/>
      <c r="H27" s="620"/>
      <c r="I27" s="620"/>
      <c r="J27" s="638"/>
      <c r="K27" s="620"/>
      <c r="L27" s="620"/>
      <c r="M27" s="625"/>
    </row>
    <row r="28" spans="1:13" ht="15.75">
      <c r="A28" s="600"/>
      <c r="B28" s="616" t="s">
        <v>344</v>
      </c>
      <c r="C28" s="617" t="s">
        <v>332</v>
      </c>
      <c r="D28" s="617"/>
      <c r="E28" s="618">
        <v>655</v>
      </c>
      <c r="F28" s="629">
        <v>4800</v>
      </c>
      <c r="G28" s="620"/>
      <c r="H28" s="620"/>
      <c r="I28" s="620"/>
      <c r="J28" s="638">
        <v>1200</v>
      </c>
      <c r="K28" s="620"/>
      <c r="L28" s="620"/>
      <c r="M28" s="625"/>
    </row>
    <row r="29" spans="1:13" ht="15.75">
      <c r="A29" s="600"/>
      <c r="B29" s="616" t="s">
        <v>345</v>
      </c>
      <c r="C29" s="617" t="s">
        <v>332</v>
      </c>
      <c r="D29" s="617"/>
      <c r="E29" s="618">
        <v>655</v>
      </c>
      <c r="F29" s="619"/>
      <c r="G29" s="620"/>
      <c r="H29" s="620"/>
      <c r="I29" s="620"/>
      <c r="J29" s="620"/>
      <c r="K29" s="620"/>
      <c r="L29" s="620"/>
      <c r="M29" s="625"/>
    </row>
    <row r="30" spans="1:13" ht="15.75">
      <c r="A30" s="600"/>
      <c r="B30" s="616" t="s">
        <v>346</v>
      </c>
      <c r="C30" s="617" t="s">
        <v>332</v>
      </c>
      <c r="D30" s="617"/>
      <c r="E30" s="618">
        <v>325</v>
      </c>
      <c r="F30" s="629">
        <v>1500</v>
      </c>
      <c r="G30" s="620"/>
      <c r="H30" s="620"/>
      <c r="I30" s="620"/>
      <c r="J30" s="638">
        <v>450</v>
      </c>
      <c r="K30" s="620">
        <v>500</v>
      </c>
      <c r="L30" s="620">
        <v>500</v>
      </c>
      <c r="M30" s="625"/>
    </row>
    <row r="31" spans="1:13" ht="15.75">
      <c r="A31" s="600"/>
      <c r="B31" s="616" t="s">
        <v>347</v>
      </c>
      <c r="C31" s="617" t="s">
        <v>332</v>
      </c>
      <c r="D31" s="617"/>
      <c r="E31" s="618"/>
      <c r="F31" s="629">
        <v>3500</v>
      </c>
      <c r="G31" s="620"/>
      <c r="H31" s="620"/>
      <c r="I31" s="620"/>
      <c r="J31" s="638">
        <v>500</v>
      </c>
      <c r="K31" s="620">
        <v>420</v>
      </c>
      <c r="L31" s="620"/>
      <c r="M31" s="625"/>
    </row>
    <row r="32" spans="1:13" ht="15.75">
      <c r="A32" s="600"/>
      <c r="B32" s="616"/>
      <c r="C32" s="617"/>
      <c r="D32" s="617"/>
      <c r="E32" s="618"/>
      <c r="F32" s="619"/>
      <c r="G32" s="620"/>
      <c r="H32" s="620"/>
      <c r="I32" s="620"/>
      <c r="J32" s="620"/>
      <c r="K32" s="620"/>
      <c r="L32" s="639"/>
      <c r="M32" s="625"/>
    </row>
    <row r="33" spans="1:13" s="593" customFormat="1" ht="15.75">
      <c r="A33" s="606" t="s">
        <v>298</v>
      </c>
      <c r="B33" s="607"/>
      <c r="C33" s="624" t="s">
        <v>112</v>
      </c>
      <c r="D33" s="624"/>
      <c r="E33" s="609"/>
      <c r="F33" s="610"/>
      <c r="G33" s="611"/>
      <c r="H33" s="611"/>
      <c r="I33" s="611"/>
      <c r="J33" s="633"/>
      <c r="K33" s="633"/>
      <c r="L33" s="634"/>
      <c r="M33" s="635"/>
    </row>
    <row r="34" spans="1:13">
      <c r="A34" s="600"/>
      <c r="B34" s="625"/>
      <c r="C34" s="602"/>
      <c r="D34" s="602"/>
      <c r="E34" s="603"/>
      <c r="F34" s="604"/>
      <c r="G34" s="605"/>
      <c r="H34" s="605"/>
      <c r="I34" s="605"/>
      <c r="J34" s="630"/>
      <c r="K34" s="630"/>
      <c r="L34" s="631"/>
      <c r="M34" s="632"/>
    </row>
    <row r="35" spans="1:13" ht="15.75">
      <c r="A35" s="600"/>
      <c r="B35" s="616" t="s">
        <v>348</v>
      </c>
      <c r="C35" s="617" t="s">
        <v>21</v>
      </c>
      <c r="D35" s="617"/>
      <c r="E35" s="618"/>
      <c r="F35" s="619"/>
      <c r="G35" s="620"/>
      <c r="H35" s="620"/>
      <c r="I35" s="620"/>
      <c r="J35" s="620">
        <v>95</v>
      </c>
      <c r="K35" s="620">
        <v>125</v>
      </c>
      <c r="L35" s="620">
        <v>600</v>
      </c>
      <c r="M35" s="625"/>
    </row>
    <row r="36" spans="1:13" ht="15.75">
      <c r="A36" s="600"/>
      <c r="B36" s="616" t="s">
        <v>349</v>
      </c>
      <c r="C36" s="617" t="s">
        <v>350</v>
      </c>
      <c r="D36" s="617"/>
      <c r="E36" s="618"/>
      <c r="F36" s="629">
        <v>1100</v>
      </c>
      <c r="G36" s="620"/>
      <c r="H36" s="620"/>
      <c r="I36" s="620"/>
      <c r="J36" s="620">
        <v>990</v>
      </c>
      <c r="K36" s="620"/>
      <c r="L36" s="620"/>
      <c r="M36" s="625"/>
    </row>
    <row r="37" spans="1:13" ht="15.75">
      <c r="A37" s="600"/>
      <c r="B37" s="616" t="s">
        <v>351</v>
      </c>
      <c r="C37" s="617" t="s">
        <v>350</v>
      </c>
      <c r="D37" s="617"/>
      <c r="E37" s="618"/>
      <c r="F37" s="629">
        <v>650</v>
      </c>
      <c r="G37" s="620"/>
      <c r="H37" s="620"/>
      <c r="I37" s="620"/>
      <c r="J37" s="620">
        <v>580</v>
      </c>
      <c r="K37" s="620"/>
      <c r="L37" s="620"/>
      <c r="M37" s="625"/>
    </row>
    <row r="38" spans="1:13" ht="15.75">
      <c r="A38" s="600"/>
      <c r="B38" s="626" t="s">
        <v>352</v>
      </c>
      <c r="C38" s="627" t="s">
        <v>350</v>
      </c>
      <c r="D38" s="627"/>
      <c r="E38" s="628"/>
      <c r="F38" s="629">
        <v>150</v>
      </c>
      <c r="G38" s="620"/>
      <c r="H38" s="620"/>
      <c r="I38" s="620"/>
      <c r="J38" s="638">
        <v>160</v>
      </c>
      <c r="K38" s="620">
        <v>155</v>
      </c>
      <c r="L38" s="620">
        <v>175</v>
      </c>
      <c r="M38" s="625"/>
    </row>
    <row r="39" spans="1:13" ht="15.75">
      <c r="A39" s="600"/>
      <c r="B39" s="626" t="s">
        <v>353</v>
      </c>
      <c r="C39" s="627" t="s">
        <v>350</v>
      </c>
      <c r="D39" s="627"/>
      <c r="E39" s="628"/>
      <c r="F39" s="629">
        <v>200</v>
      </c>
      <c r="G39" s="620"/>
      <c r="H39" s="620"/>
      <c r="I39" s="620"/>
      <c r="J39" s="638">
        <v>250</v>
      </c>
      <c r="K39" s="620">
        <v>250</v>
      </c>
      <c r="L39" s="620">
        <v>280</v>
      </c>
      <c r="M39" s="625"/>
    </row>
    <row r="40" spans="1:13" ht="15.75">
      <c r="A40" s="600"/>
      <c r="B40" s="626" t="s">
        <v>354</v>
      </c>
      <c r="C40" s="627" t="s">
        <v>350</v>
      </c>
      <c r="D40" s="627"/>
      <c r="E40" s="628"/>
      <c r="F40" s="629">
        <v>380</v>
      </c>
      <c r="G40" s="620"/>
      <c r="H40" s="620"/>
      <c r="I40" s="620"/>
      <c r="J40" s="620">
        <v>380</v>
      </c>
      <c r="K40" s="620">
        <v>410</v>
      </c>
      <c r="L40" s="620">
        <v>470</v>
      </c>
      <c r="M40" s="625"/>
    </row>
    <row r="41" spans="1:13" ht="15.75">
      <c r="A41" s="600"/>
      <c r="B41" s="626" t="s">
        <v>355</v>
      </c>
      <c r="C41" s="627" t="s">
        <v>350</v>
      </c>
      <c r="D41" s="627"/>
      <c r="E41" s="628"/>
      <c r="F41" s="619"/>
      <c r="G41" s="620"/>
      <c r="H41" s="620"/>
      <c r="I41" s="620"/>
      <c r="J41" s="620">
        <v>95</v>
      </c>
      <c r="K41" s="620"/>
      <c r="L41" s="620">
        <v>80</v>
      </c>
      <c r="M41" s="625"/>
    </row>
    <row r="42" spans="1:13" ht="15.75">
      <c r="A42" s="600"/>
      <c r="B42" s="626" t="s">
        <v>356</v>
      </c>
      <c r="C42" s="627" t="s">
        <v>350</v>
      </c>
      <c r="D42" s="627"/>
      <c r="E42" s="628"/>
      <c r="F42" s="619"/>
      <c r="G42" s="620"/>
      <c r="H42" s="620"/>
      <c r="I42" s="620"/>
      <c r="J42" s="620">
        <v>120</v>
      </c>
      <c r="K42" s="620">
        <v>120</v>
      </c>
      <c r="L42" s="620">
        <v>135</v>
      </c>
      <c r="M42" s="625"/>
    </row>
    <row r="43" spans="1:13" ht="15.75">
      <c r="A43" s="600"/>
      <c r="B43" s="626" t="s">
        <v>357</v>
      </c>
      <c r="C43" s="627" t="s">
        <v>350</v>
      </c>
      <c r="D43" s="627"/>
      <c r="E43" s="628"/>
      <c r="F43" s="619"/>
      <c r="G43" s="620"/>
      <c r="H43" s="620"/>
      <c r="I43" s="620"/>
      <c r="J43" s="620">
        <v>135</v>
      </c>
      <c r="K43" s="620">
        <v>140</v>
      </c>
      <c r="L43" s="620">
        <v>165</v>
      </c>
      <c r="M43" s="625"/>
    </row>
    <row r="44" spans="1:13" ht="15.75">
      <c r="A44" s="600"/>
      <c r="B44" s="626" t="s">
        <v>358</v>
      </c>
      <c r="C44" s="627" t="s">
        <v>21</v>
      </c>
      <c r="D44" s="627"/>
      <c r="E44" s="628"/>
      <c r="F44" s="619"/>
      <c r="G44" s="620"/>
      <c r="H44" s="620"/>
      <c r="I44" s="620"/>
      <c r="J44" s="620">
        <v>80</v>
      </c>
      <c r="K44" s="620">
        <v>90</v>
      </c>
      <c r="L44" s="620">
        <v>90</v>
      </c>
      <c r="M44" s="625"/>
    </row>
    <row r="45" spans="1:13" ht="15.75">
      <c r="A45" s="600"/>
      <c r="B45" s="616" t="s">
        <v>346</v>
      </c>
      <c r="C45" s="617" t="s">
        <v>332</v>
      </c>
      <c r="D45" s="617"/>
      <c r="E45" s="618">
        <v>325</v>
      </c>
      <c r="F45" s="629">
        <v>1500</v>
      </c>
      <c r="G45" s="620"/>
      <c r="H45" s="620"/>
      <c r="I45" s="620"/>
      <c r="J45" s="638">
        <v>450</v>
      </c>
      <c r="K45" s="620">
        <v>500</v>
      </c>
      <c r="L45" s="620">
        <v>500</v>
      </c>
      <c r="M45" s="625"/>
    </row>
    <row r="46" spans="1:13" ht="15.75">
      <c r="A46" s="600"/>
      <c r="B46" s="616" t="s">
        <v>347</v>
      </c>
      <c r="C46" s="617" t="s">
        <v>332</v>
      </c>
      <c r="D46" s="617"/>
      <c r="E46" s="618"/>
      <c r="F46" s="629">
        <v>3500</v>
      </c>
      <c r="G46" s="620"/>
      <c r="H46" s="620"/>
      <c r="I46" s="620"/>
      <c r="J46" s="638">
        <v>500</v>
      </c>
      <c r="K46" s="620">
        <v>420</v>
      </c>
      <c r="L46" s="620"/>
      <c r="M46" s="625"/>
    </row>
    <row r="47" spans="1:13" ht="15.75">
      <c r="A47" s="600"/>
      <c r="B47" s="626" t="s">
        <v>359</v>
      </c>
      <c r="C47" s="627"/>
      <c r="D47" s="627"/>
      <c r="E47" s="628"/>
      <c r="F47" s="619"/>
      <c r="G47" s="620"/>
      <c r="H47" s="620"/>
      <c r="I47" s="620"/>
      <c r="J47" s="620">
        <v>80</v>
      </c>
      <c r="K47" s="620">
        <v>120</v>
      </c>
      <c r="L47" s="620">
        <v>110</v>
      </c>
      <c r="M47" s="625"/>
    </row>
    <row r="48" spans="1:13" ht="15.75">
      <c r="A48" s="600"/>
      <c r="B48" s="626" t="s">
        <v>360</v>
      </c>
      <c r="C48" s="627" t="s">
        <v>238</v>
      </c>
      <c r="D48" s="627"/>
      <c r="E48" s="628"/>
      <c r="F48" s="629">
        <v>80</v>
      </c>
      <c r="G48" s="620"/>
      <c r="H48" s="620"/>
      <c r="I48" s="620"/>
      <c r="J48" s="620">
        <v>80</v>
      </c>
      <c r="K48" s="620">
        <v>90</v>
      </c>
      <c r="L48" s="620">
        <v>90</v>
      </c>
      <c r="M48" s="625"/>
    </row>
    <row r="49" spans="1:13" ht="15.75">
      <c r="A49" s="600"/>
      <c r="B49" s="626" t="s">
        <v>361</v>
      </c>
      <c r="C49" s="627" t="s">
        <v>238</v>
      </c>
      <c r="D49" s="627"/>
      <c r="E49" s="628"/>
      <c r="F49" s="619"/>
      <c r="G49" s="620"/>
      <c r="H49" s="620"/>
      <c r="I49" s="620"/>
      <c r="J49" s="620">
        <v>90</v>
      </c>
      <c r="K49" s="620">
        <v>100</v>
      </c>
      <c r="L49" s="620">
        <v>90</v>
      </c>
      <c r="M49" s="625"/>
    </row>
    <row r="50" spans="1:13" ht="15.75">
      <c r="A50" s="600"/>
      <c r="B50" s="616"/>
      <c r="C50" s="617"/>
      <c r="D50" s="617"/>
      <c r="E50" s="618"/>
      <c r="F50" s="619"/>
      <c r="G50" s="620"/>
      <c r="H50" s="620"/>
      <c r="I50" s="620"/>
      <c r="J50" s="620"/>
      <c r="K50" s="620"/>
      <c r="L50" s="639"/>
      <c r="M50" s="625"/>
    </row>
    <row r="51" spans="1:13" s="593" customFormat="1" ht="15.75">
      <c r="A51" s="606" t="s">
        <v>362</v>
      </c>
      <c r="B51" s="607"/>
      <c r="C51" s="624" t="s">
        <v>112</v>
      </c>
      <c r="D51" s="624"/>
      <c r="E51" s="609"/>
      <c r="F51" s="610"/>
      <c r="G51" s="611"/>
      <c r="H51" s="611"/>
      <c r="I51" s="611"/>
      <c r="J51" s="633"/>
      <c r="K51" s="633"/>
      <c r="L51" s="634"/>
      <c r="M51" s="635"/>
    </row>
    <row r="52" spans="1:13" ht="15.75">
      <c r="A52" s="600"/>
      <c r="B52" s="616" t="s">
        <v>363</v>
      </c>
      <c r="C52" s="617" t="s">
        <v>332</v>
      </c>
      <c r="D52" s="617"/>
      <c r="E52" s="618"/>
      <c r="F52" s="629"/>
      <c r="G52" s="620"/>
      <c r="H52" s="620"/>
      <c r="I52" s="620"/>
      <c r="J52" s="638">
        <v>950</v>
      </c>
      <c r="K52" s="620">
        <v>820</v>
      </c>
      <c r="L52" s="620">
        <v>1000</v>
      </c>
      <c r="M52" s="625"/>
    </row>
    <row r="53" spans="1:13" ht="15.75">
      <c r="A53" s="600"/>
      <c r="B53" s="626" t="s">
        <v>335</v>
      </c>
      <c r="C53" s="627" t="s">
        <v>336</v>
      </c>
      <c r="D53" s="627"/>
      <c r="E53" s="628"/>
      <c r="F53" s="629">
        <v>320</v>
      </c>
      <c r="G53" s="620"/>
      <c r="H53" s="620"/>
      <c r="I53" s="620"/>
      <c r="J53" s="638">
        <v>305</v>
      </c>
      <c r="K53" s="620">
        <v>290</v>
      </c>
      <c r="L53" s="620">
        <v>290</v>
      </c>
      <c r="M53" s="625"/>
    </row>
    <row r="54" spans="1:13" ht="15.75">
      <c r="A54" s="600"/>
      <c r="B54" s="626" t="s">
        <v>337</v>
      </c>
      <c r="C54" s="627" t="s">
        <v>338</v>
      </c>
      <c r="D54" s="627"/>
      <c r="E54" s="628"/>
      <c r="F54" s="619"/>
      <c r="G54" s="620"/>
      <c r="H54" s="620"/>
      <c r="I54" s="620"/>
      <c r="J54" s="620">
        <v>45</v>
      </c>
      <c r="K54" s="620">
        <v>50</v>
      </c>
      <c r="L54" s="620">
        <v>50</v>
      </c>
      <c r="M54" s="625"/>
    </row>
    <row r="55" spans="1:13" ht="15.75">
      <c r="A55" s="600"/>
      <c r="B55" s="626" t="s">
        <v>339</v>
      </c>
      <c r="C55" s="627" t="s">
        <v>336</v>
      </c>
      <c r="D55" s="627"/>
      <c r="E55" s="628"/>
      <c r="F55" s="619"/>
      <c r="G55" s="620"/>
      <c r="H55" s="620"/>
      <c r="I55" s="620"/>
      <c r="J55" s="620">
        <v>295</v>
      </c>
      <c r="K55" s="620">
        <v>287</v>
      </c>
      <c r="L55" s="620">
        <v>285</v>
      </c>
      <c r="M55" s="625"/>
    </row>
    <row r="56" spans="1:13" ht="15.75">
      <c r="A56" s="600"/>
      <c r="B56" s="626" t="s">
        <v>364</v>
      </c>
      <c r="C56" s="627" t="s">
        <v>21</v>
      </c>
      <c r="D56" s="627"/>
      <c r="E56" s="628"/>
      <c r="F56" s="629">
        <v>10</v>
      </c>
      <c r="G56" s="620"/>
      <c r="H56" s="620"/>
      <c r="I56" s="620"/>
      <c r="J56" s="638">
        <v>12</v>
      </c>
      <c r="K56" s="620">
        <v>12</v>
      </c>
      <c r="L56" s="620">
        <v>12</v>
      </c>
      <c r="M56" s="625"/>
    </row>
    <row r="57" spans="1:13" ht="15.75">
      <c r="A57" s="600"/>
      <c r="B57" s="626" t="s">
        <v>365</v>
      </c>
      <c r="C57" s="627" t="s">
        <v>21</v>
      </c>
      <c r="D57" s="627"/>
      <c r="E57" s="628"/>
      <c r="F57" s="629">
        <v>15</v>
      </c>
      <c r="G57" s="620"/>
      <c r="H57" s="620"/>
      <c r="I57" s="620"/>
      <c r="J57" s="638">
        <v>20</v>
      </c>
      <c r="K57" s="620">
        <v>20</v>
      </c>
      <c r="L57" s="620">
        <v>18</v>
      </c>
      <c r="M57" s="625"/>
    </row>
    <row r="58" spans="1:13" ht="15.75">
      <c r="A58" s="600"/>
      <c r="B58" s="626" t="s">
        <v>366</v>
      </c>
      <c r="C58" s="627" t="s">
        <v>367</v>
      </c>
      <c r="D58" s="627"/>
      <c r="E58" s="628"/>
      <c r="F58" s="619"/>
      <c r="G58" s="620"/>
      <c r="H58" s="620"/>
      <c r="I58" s="620"/>
      <c r="J58" s="638">
        <v>950</v>
      </c>
      <c r="K58" s="620">
        <v>760</v>
      </c>
      <c r="L58" s="620"/>
      <c r="M58" s="625"/>
    </row>
    <row r="59" spans="1:13" ht="15.75">
      <c r="A59" s="600"/>
      <c r="B59" s="616" t="s">
        <v>368</v>
      </c>
      <c r="C59" s="617" t="s">
        <v>21</v>
      </c>
      <c r="D59" s="617"/>
      <c r="E59" s="618"/>
      <c r="F59" s="619"/>
      <c r="G59" s="620"/>
      <c r="H59" s="620"/>
      <c r="I59" s="620"/>
      <c r="J59" s="620">
        <v>280</v>
      </c>
      <c r="K59" s="620">
        <v>360</v>
      </c>
      <c r="L59" s="620">
        <v>120</v>
      </c>
      <c r="M59" s="625"/>
    </row>
    <row r="60" spans="1:13" ht="15.75">
      <c r="A60" s="600"/>
      <c r="B60" s="616" t="s">
        <v>369</v>
      </c>
      <c r="C60" s="617" t="s">
        <v>21</v>
      </c>
      <c r="D60" s="617"/>
      <c r="E60" s="618"/>
      <c r="F60" s="619"/>
      <c r="G60" s="620"/>
      <c r="H60" s="620"/>
      <c r="I60" s="620"/>
      <c r="J60" s="620">
        <v>450</v>
      </c>
      <c r="K60" s="620">
        <v>305</v>
      </c>
      <c r="L60" s="620">
        <v>550</v>
      </c>
      <c r="M60" s="625"/>
    </row>
    <row r="61" spans="1:13" ht="15.75">
      <c r="A61" s="600"/>
      <c r="B61" s="616" t="s">
        <v>348</v>
      </c>
      <c r="C61" s="617" t="s">
        <v>21</v>
      </c>
      <c r="D61" s="617"/>
      <c r="E61" s="618"/>
      <c r="F61" s="619"/>
      <c r="G61" s="620"/>
      <c r="H61" s="620"/>
      <c r="I61" s="620"/>
      <c r="J61" s="620">
        <v>95</v>
      </c>
      <c r="K61" s="620">
        <v>125</v>
      </c>
      <c r="L61" s="620">
        <v>600</v>
      </c>
      <c r="M61" s="625"/>
    </row>
    <row r="62" spans="1:13" ht="15.75">
      <c r="A62" s="600"/>
      <c r="B62" s="616" t="s">
        <v>349</v>
      </c>
      <c r="C62" s="617" t="s">
        <v>350</v>
      </c>
      <c r="D62" s="617"/>
      <c r="E62" s="618"/>
      <c r="F62" s="629">
        <v>1100</v>
      </c>
      <c r="G62" s="620"/>
      <c r="H62" s="620"/>
      <c r="I62" s="620"/>
      <c r="J62" s="620">
        <v>990</v>
      </c>
      <c r="K62" s="620"/>
      <c r="L62" s="620"/>
      <c r="M62" s="625"/>
    </row>
    <row r="63" spans="1:13" ht="15.75">
      <c r="A63" s="600"/>
      <c r="B63" s="616" t="s">
        <v>351</v>
      </c>
      <c r="C63" s="617" t="s">
        <v>350</v>
      </c>
      <c r="D63" s="617"/>
      <c r="E63" s="618"/>
      <c r="F63" s="629">
        <v>650</v>
      </c>
      <c r="G63" s="620"/>
      <c r="H63" s="620"/>
      <c r="I63" s="620"/>
      <c r="J63" s="620">
        <v>580</v>
      </c>
      <c r="K63" s="620"/>
      <c r="L63" s="620"/>
      <c r="M63" s="625"/>
    </row>
    <row r="64" spans="1:13" ht="15.75">
      <c r="A64" s="600"/>
      <c r="B64" s="626" t="s">
        <v>352</v>
      </c>
      <c r="C64" s="627" t="s">
        <v>350</v>
      </c>
      <c r="D64" s="627"/>
      <c r="E64" s="628"/>
      <c r="F64" s="629">
        <v>150</v>
      </c>
      <c r="G64" s="620"/>
      <c r="H64" s="620"/>
      <c r="I64" s="620"/>
      <c r="J64" s="638">
        <v>160</v>
      </c>
      <c r="K64" s="620">
        <v>155</v>
      </c>
      <c r="L64" s="620">
        <v>175</v>
      </c>
      <c r="M64" s="625"/>
    </row>
    <row r="65" spans="1:13" ht="15.75">
      <c r="A65" s="600"/>
      <c r="B65" s="626" t="s">
        <v>353</v>
      </c>
      <c r="C65" s="627" t="s">
        <v>350</v>
      </c>
      <c r="D65" s="627"/>
      <c r="E65" s="628"/>
      <c r="F65" s="629">
        <v>200</v>
      </c>
      <c r="G65" s="620"/>
      <c r="H65" s="620"/>
      <c r="I65" s="620"/>
      <c r="J65" s="638">
        <v>250</v>
      </c>
      <c r="K65" s="620">
        <v>250</v>
      </c>
      <c r="L65" s="620">
        <v>280</v>
      </c>
      <c r="M65" s="625"/>
    </row>
    <row r="66" spans="1:13" ht="15.75">
      <c r="A66" s="600"/>
      <c r="B66" s="626" t="s">
        <v>354</v>
      </c>
      <c r="C66" s="627" t="s">
        <v>350</v>
      </c>
      <c r="D66" s="627"/>
      <c r="E66" s="628"/>
      <c r="F66" s="629">
        <v>380</v>
      </c>
      <c r="G66" s="620"/>
      <c r="H66" s="620"/>
      <c r="I66" s="620"/>
      <c r="J66" s="620">
        <v>380</v>
      </c>
      <c r="K66" s="620">
        <v>410</v>
      </c>
      <c r="L66" s="620">
        <v>470</v>
      </c>
      <c r="M66" s="625"/>
    </row>
    <row r="67" spans="1:13" ht="15.75">
      <c r="A67" s="600"/>
      <c r="B67" s="626" t="s">
        <v>355</v>
      </c>
      <c r="C67" s="627" t="s">
        <v>350</v>
      </c>
      <c r="D67" s="627"/>
      <c r="E67" s="628"/>
      <c r="F67" s="619"/>
      <c r="G67" s="620"/>
      <c r="H67" s="620"/>
      <c r="I67" s="620"/>
      <c r="J67" s="620">
        <v>95</v>
      </c>
      <c r="K67" s="620"/>
      <c r="L67" s="620">
        <v>80</v>
      </c>
      <c r="M67" s="625"/>
    </row>
    <row r="68" spans="1:13" ht="15.75">
      <c r="A68" s="600"/>
      <c r="B68" s="626" t="s">
        <v>356</v>
      </c>
      <c r="C68" s="627" t="s">
        <v>350</v>
      </c>
      <c r="D68" s="627"/>
      <c r="E68" s="628"/>
      <c r="F68" s="619"/>
      <c r="G68" s="620"/>
      <c r="H68" s="620"/>
      <c r="I68" s="620"/>
      <c r="J68" s="620">
        <v>120</v>
      </c>
      <c r="K68" s="620">
        <v>120</v>
      </c>
      <c r="L68" s="620">
        <v>135</v>
      </c>
      <c r="M68" s="625"/>
    </row>
    <row r="69" spans="1:13" ht="15.75">
      <c r="A69" s="600"/>
      <c r="B69" s="626" t="s">
        <v>357</v>
      </c>
      <c r="C69" s="627" t="s">
        <v>350</v>
      </c>
      <c r="D69" s="627"/>
      <c r="E69" s="628"/>
      <c r="F69" s="619"/>
      <c r="G69" s="620"/>
      <c r="H69" s="620"/>
      <c r="I69" s="620"/>
      <c r="J69" s="620">
        <v>135</v>
      </c>
      <c r="K69" s="620">
        <v>140</v>
      </c>
      <c r="L69" s="620">
        <v>165</v>
      </c>
      <c r="M69" s="625"/>
    </row>
    <row r="70" spans="1:13" ht="15.75">
      <c r="A70" s="600"/>
      <c r="B70" s="626" t="s">
        <v>370</v>
      </c>
      <c r="C70" s="627" t="s">
        <v>21</v>
      </c>
      <c r="D70" s="627"/>
      <c r="E70" s="628"/>
      <c r="F70" s="619"/>
      <c r="G70" s="620"/>
      <c r="H70" s="620"/>
      <c r="I70" s="620"/>
      <c r="J70" s="620">
        <v>180</v>
      </c>
      <c r="K70" s="620">
        <v>150</v>
      </c>
      <c r="L70" s="620">
        <v>150</v>
      </c>
      <c r="M70" s="625"/>
    </row>
    <row r="71" spans="1:13" ht="15.75">
      <c r="A71" s="600"/>
      <c r="B71" s="626" t="s">
        <v>371</v>
      </c>
      <c r="C71" s="627" t="s">
        <v>21</v>
      </c>
      <c r="D71" s="627"/>
      <c r="E71" s="628"/>
      <c r="F71" s="619"/>
      <c r="G71" s="620"/>
      <c r="H71" s="620"/>
      <c r="I71" s="620"/>
      <c r="J71" s="620">
        <v>10</v>
      </c>
      <c r="K71" s="620">
        <v>15</v>
      </c>
      <c r="L71" s="620">
        <v>10</v>
      </c>
      <c r="M71" s="625"/>
    </row>
    <row r="72" spans="1:13" ht="15.75">
      <c r="A72" s="600"/>
      <c r="B72" s="616" t="s">
        <v>340</v>
      </c>
      <c r="C72" s="617" t="s">
        <v>332</v>
      </c>
      <c r="D72" s="617"/>
      <c r="E72" s="618">
        <v>1010</v>
      </c>
      <c r="F72" s="629">
        <v>4000</v>
      </c>
      <c r="G72" s="620"/>
      <c r="H72" s="620"/>
      <c r="I72" s="620"/>
      <c r="J72" s="638">
        <v>1150</v>
      </c>
      <c r="K72" s="620">
        <v>1200</v>
      </c>
      <c r="L72" s="620">
        <v>1200</v>
      </c>
      <c r="M72" s="625"/>
    </row>
    <row r="73" spans="1:13" ht="15.75">
      <c r="A73" s="600"/>
      <c r="B73" s="616" t="s">
        <v>341</v>
      </c>
      <c r="C73" s="617" t="s">
        <v>332</v>
      </c>
      <c r="D73" s="617"/>
      <c r="E73" s="618">
        <v>1055</v>
      </c>
      <c r="F73" s="629"/>
      <c r="G73" s="620"/>
      <c r="H73" s="620"/>
      <c r="I73" s="620"/>
      <c r="J73" s="638"/>
      <c r="K73" s="620"/>
      <c r="L73" s="620"/>
      <c r="M73" s="625"/>
    </row>
    <row r="74" spans="1:13" ht="15.75">
      <c r="A74" s="600"/>
      <c r="B74" s="616" t="s">
        <v>342</v>
      </c>
      <c r="C74" s="617" t="s">
        <v>332</v>
      </c>
      <c r="D74" s="617"/>
      <c r="E74" s="618">
        <v>795</v>
      </c>
      <c r="F74" s="629">
        <v>4000</v>
      </c>
      <c r="G74" s="620"/>
      <c r="H74" s="620"/>
      <c r="I74" s="620"/>
      <c r="J74" s="638">
        <v>1200</v>
      </c>
      <c r="K74" s="620"/>
      <c r="L74" s="620"/>
      <c r="M74" s="625"/>
    </row>
    <row r="75" spans="1:13" ht="15.75">
      <c r="A75" s="600"/>
      <c r="B75" s="616" t="s">
        <v>343</v>
      </c>
      <c r="C75" s="617" t="s">
        <v>332</v>
      </c>
      <c r="D75" s="617"/>
      <c r="E75" s="618">
        <v>900</v>
      </c>
      <c r="F75" s="629"/>
      <c r="G75" s="620"/>
      <c r="H75" s="620"/>
      <c r="I75" s="620"/>
      <c r="J75" s="638"/>
      <c r="K75" s="620"/>
      <c r="L75" s="620"/>
      <c r="M75" s="625"/>
    </row>
    <row r="76" spans="1:13" ht="15.75">
      <c r="A76" s="600"/>
      <c r="B76" s="616" t="s">
        <v>344</v>
      </c>
      <c r="C76" s="617" t="s">
        <v>332</v>
      </c>
      <c r="D76" s="617"/>
      <c r="E76" s="618">
        <v>655</v>
      </c>
      <c r="F76" s="629">
        <v>4800</v>
      </c>
      <c r="G76" s="620"/>
      <c r="H76" s="620"/>
      <c r="I76" s="620"/>
      <c r="J76" s="638">
        <v>1200</v>
      </c>
      <c r="K76" s="620"/>
      <c r="L76" s="620"/>
      <c r="M76" s="625"/>
    </row>
    <row r="77" spans="1:13" ht="15.75">
      <c r="A77" s="600"/>
      <c r="B77" s="616" t="s">
        <v>345</v>
      </c>
      <c r="C77" s="617" t="s">
        <v>332</v>
      </c>
      <c r="D77" s="617"/>
      <c r="E77" s="618">
        <v>655</v>
      </c>
      <c r="F77" s="619"/>
      <c r="G77" s="620"/>
      <c r="H77" s="620"/>
      <c r="I77" s="620"/>
      <c r="J77" s="620"/>
      <c r="K77" s="620"/>
      <c r="L77" s="620"/>
      <c r="M77" s="625"/>
    </row>
    <row r="78" spans="1:13" ht="15.75">
      <c r="A78" s="600"/>
      <c r="B78" s="616" t="s">
        <v>372</v>
      </c>
      <c r="C78" s="617" t="s">
        <v>373</v>
      </c>
      <c r="D78" s="617"/>
      <c r="E78" s="618"/>
      <c r="F78" s="619"/>
      <c r="G78" s="620"/>
      <c r="H78" s="620"/>
      <c r="I78" s="620"/>
      <c r="J78" s="620">
        <v>145</v>
      </c>
      <c r="K78" s="620">
        <v>85</v>
      </c>
      <c r="L78" s="620"/>
      <c r="M78" s="625"/>
    </row>
    <row r="79" spans="1:13" ht="15.75">
      <c r="A79" s="600"/>
      <c r="B79" s="626" t="s">
        <v>358</v>
      </c>
      <c r="C79" s="627" t="s">
        <v>21</v>
      </c>
      <c r="D79" s="627"/>
      <c r="E79" s="628"/>
      <c r="F79" s="619"/>
      <c r="G79" s="620"/>
      <c r="H79" s="620"/>
      <c r="I79" s="620"/>
      <c r="J79" s="620">
        <v>80</v>
      </c>
      <c r="K79" s="620">
        <v>90</v>
      </c>
      <c r="L79" s="620">
        <v>90</v>
      </c>
      <c r="M79" s="625"/>
    </row>
    <row r="80" spans="1:13" ht="15.75">
      <c r="A80" s="600"/>
      <c r="B80" s="626" t="s">
        <v>374</v>
      </c>
      <c r="C80" s="627" t="s">
        <v>299</v>
      </c>
      <c r="D80" s="627"/>
      <c r="E80" s="628"/>
      <c r="F80" s="619"/>
      <c r="G80" s="620"/>
      <c r="H80" s="620"/>
      <c r="I80" s="620"/>
      <c r="J80" s="620">
        <v>130</v>
      </c>
      <c r="K80" s="620">
        <v>160</v>
      </c>
      <c r="L80" s="620">
        <v>160</v>
      </c>
      <c r="M80" s="625"/>
    </row>
    <row r="81" spans="1:13" ht="15.75">
      <c r="A81" s="600"/>
      <c r="B81" s="626" t="s">
        <v>375</v>
      </c>
      <c r="C81" s="627" t="s">
        <v>373</v>
      </c>
      <c r="D81" s="627"/>
      <c r="E81" s="628"/>
      <c r="F81" s="619"/>
      <c r="G81" s="620"/>
      <c r="H81" s="620"/>
      <c r="I81" s="620"/>
      <c r="J81" s="620">
        <v>615</v>
      </c>
      <c r="K81" s="620">
        <v>450</v>
      </c>
      <c r="L81" s="620">
        <v>550</v>
      </c>
      <c r="M81" s="625"/>
    </row>
    <row r="82" spans="1:13" ht="15.75">
      <c r="A82" s="600"/>
      <c r="B82" s="626" t="s">
        <v>376</v>
      </c>
      <c r="C82" s="627" t="s">
        <v>16</v>
      </c>
      <c r="D82" s="627"/>
      <c r="E82" s="628"/>
      <c r="F82" s="619"/>
      <c r="G82" s="620"/>
      <c r="H82" s="620"/>
      <c r="I82" s="620"/>
      <c r="J82" s="620">
        <v>18</v>
      </c>
      <c r="K82" s="620">
        <v>15</v>
      </c>
      <c r="L82" s="620">
        <v>12</v>
      </c>
      <c r="M82" s="625"/>
    </row>
    <row r="83" spans="1:13" ht="15.75">
      <c r="A83" s="600"/>
      <c r="B83" s="626" t="s">
        <v>377</v>
      </c>
      <c r="C83" s="627" t="s">
        <v>378</v>
      </c>
      <c r="D83" s="627"/>
      <c r="E83" s="628"/>
      <c r="F83" s="619"/>
      <c r="G83" s="620"/>
      <c r="H83" s="620"/>
      <c r="I83" s="620"/>
      <c r="J83" s="620">
        <v>65</v>
      </c>
      <c r="K83" s="620">
        <v>45</v>
      </c>
      <c r="L83" s="620">
        <v>35</v>
      </c>
      <c r="M83" s="625"/>
    </row>
    <row r="84" spans="1:13" ht="15.75">
      <c r="A84" s="600"/>
      <c r="B84" s="626" t="s">
        <v>379</v>
      </c>
      <c r="C84" s="627" t="s">
        <v>378</v>
      </c>
      <c r="D84" s="627"/>
      <c r="E84" s="628"/>
      <c r="F84" s="619"/>
      <c r="G84" s="620"/>
      <c r="H84" s="620"/>
      <c r="I84" s="620"/>
      <c r="J84" s="620">
        <v>65</v>
      </c>
      <c r="K84" s="620"/>
      <c r="L84" s="620"/>
      <c r="M84" s="625"/>
    </row>
    <row r="85" spans="1:13" ht="15.75">
      <c r="A85" s="600"/>
      <c r="B85" s="626" t="s">
        <v>380</v>
      </c>
      <c r="C85" s="627" t="s">
        <v>373</v>
      </c>
      <c r="D85" s="627"/>
      <c r="E85" s="628"/>
      <c r="F85" s="629">
        <v>160</v>
      </c>
      <c r="G85" s="620"/>
      <c r="H85" s="620"/>
      <c r="I85" s="620"/>
      <c r="J85" s="620">
        <v>220</v>
      </c>
      <c r="K85" s="620"/>
      <c r="L85" s="620"/>
      <c r="M85" s="625"/>
    </row>
    <row r="86" spans="1:13" ht="15.75">
      <c r="A86" s="600"/>
      <c r="B86" s="626" t="s">
        <v>381</v>
      </c>
      <c r="C86" s="627" t="s">
        <v>373</v>
      </c>
      <c r="D86" s="627"/>
      <c r="E86" s="628"/>
      <c r="F86" s="629">
        <v>270</v>
      </c>
      <c r="G86" s="620"/>
      <c r="H86" s="620"/>
      <c r="I86" s="620"/>
      <c r="J86" s="620">
        <v>310</v>
      </c>
      <c r="K86" s="620"/>
      <c r="L86" s="620"/>
      <c r="M86" s="625"/>
    </row>
    <row r="87" spans="1:13" ht="15.75">
      <c r="A87" s="600"/>
      <c r="B87" s="626" t="s">
        <v>382</v>
      </c>
      <c r="C87" s="627" t="s">
        <v>373</v>
      </c>
      <c r="D87" s="627"/>
      <c r="E87" s="628"/>
      <c r="F87" s="629">
        <v>380</v>
      </c>
      <c r="G87" s="620"/>
      <c r="H87" s="620"/>
      <c r="I87" s="620"/>
      <c r="J87" s="620">
        <v>380</v>
      </c>
      <c r="K87" s="620"/>
      <c r="L87" s="620"/>
      <c r="M87" s="625"/>
    </row>
    <row r="88" spans="1:13" ht="15.75">
      <c r="A88" s="600"/>
      <c r="B88" s="626" t="s">
        <v>383</v>
      </c>
      <c r="C88" s="627" t="s">
        <v>373</v>
      </c>
      <c r="D88" s="627"/>
      <c r="E88" s="628"/>
      <c r="F88" s="629">
        <v>650</v>
      </c>
      <c r="G88" s="620"/>
      <c r="H88" s="620"/>
      <c r="I88" s="620"/>
      <c r="J88" s="620">
        <v>680</v>
      </c>
      <c r="K88" s="620"/>
      <c r="L88" s="620"/>
      <c r="M88" s="625"/>
    </row>
    <row r="89" spans="1:13" ht="15.75">
      <c r="A89" s="600"/>
      <c r="B89" s="626" t="s">
        <v>384</v>
      </c>
      <c r="C89" s="627" t="s">
        <v>373</v>
      </c>
      <c r="D89" s="627"/>
      <c r="E89" s="628"/>
      <c r="F89" s="629">
        <v>1500</v>
      </c>
      <c r="G89" s="620"/>
      <c r="H89" s="620"/>
      <c r="I89" s="620"/>
      <c r="J89" s="620">
        <v>1050</v>
      </c>
      <c r="K89" s="620"/>
      <c r="L89" s="620"/>
      <c r="M89" s="625"/>
    </row>
    <row r="90" spans="1:13" ht="15.75">
      <c r="A90" s="600"/>
      <c r="B90" s="616" t="s">
        <v>385</v>
      </c>
      <c r="C90" s="617" t="s">
        <v>21</v>
      </c>
      <c r="D90" s="617"/>
      <c r="E90" s="618"/>
      <c r="F90" s="619"/>
      <c r="G90" s="620"/>
      <c r="H90" s="620"/>
      <c r="I90" s="620"/>
      <c r="J90" s="620">
        <v>85</v>
      </c>
      <c r="K90" s="620">
        <v>110</v>
      </c>
      <c r="L90" s="620"/>
      <c r="M90" s="625"/>
    </row>
    <row r="91" spans="1:13" ht="15.75">
      <c r="A91" s="600"/>
      <c r="B91" s="616" t="s">
        <v>386</v>
      </c>
      <c r="C91" s="617" t="s">
        <v>332</v>
      </c>
      <c r="D91" s="617"/>
      <c r="E91" s="618"/>
      <c r="F91" s="619"/>
      <c r="G91" s="620"/>
      <c r="H91" s="620"/>
      <c r="I91" s="620"/>
      <c r="J91" s="620">
        <v>450</v>
      </c>
      <c r="K91" s="620">
        <v>500</v>
      </c>
      <c r="L91" s="620">
        <v>500</v>
      </c>
      <c r="M91" s="625"/>
    </row>
    <row r="92" spans="1:13" ht="15.75">
      <c r="A92" s="600"/>
      <c r="B92" s="616" t="s">
        <v>387</v>
      </c>
      <c r="C92" s="617"/>
      <c r="D92" s="617"/>
      <c r="E92" s="618"/>
      <c r="F92" s="619"/>
      <c r="G92" s="620"/>
      <c r="H92" s="620"/>
      <c r="I92" s="620"/>
      <c r="J92" s="620"/>
      <c r="K92" s="620">
        <v>240</v>
      </c>
      <c r="L92" s="620"/>
      <c r="M92" s="625"/>
    </row>
    <row r="93" spans="1:13" ht="15.75">
      <c r="A93" s="600"/>
      <c r="B93" s="626" t="s">
        <v>388</v>
      </c>
      <c r="C93" s="627" t="s">
        <v>389</v>
      </c>
      <c r="D93" s="627"/>
      <c r="E93" s="628"/>
      <c r="F93" s="619"/>
      <c r="G93" s="620"/>
      <c r="H93" s="620"/>
      <c r="I93" s="620"/>
      <c r="J93" s="620"/>
      <c r="K93" s="620">
        <v>95</v>
      </c>
      <c r="L93" s="620">
        <v>75</v>
      </c>
      <c r="M93" s="625"/>
    </row>
    <row r="94" spans="1:13" ht="15.75">
      <c r="A94" s="600"/>
      <c r="B94" s="626" t="s">
        <v>359</v>
      </c>
      <c r="C94" s="627"/>
      <c r="D94" s="627"/>
      <c r="E94" s="628"/>
      <c r="F94" s="619"/>
      <c r="G94" s="620"/>
      <c r="H94" s="620"/>
      <c r="I94" s="620"/>
      <c r="J94" s="620">
        <v>80</v>
      </c>
      <c r="K94" s="620">
        <v>120</v>
      </c>
      <c r="L94" s="620">
        <v>110</v>
      </c>
      <c r="M94" s="625"/>
    </row>
    <row r="95" spans="1:13" ht="15.75">
      <c r="A95" s="600"/>
      <c r="B95" s="626" t="s">
        <v>360</v>
      </c>
      <c r="C95" s="627" t="s">
        <v>238</v>
      </c>
      <c r="D95" s="627"/>
      <c r="E95" s="628"/>
      <c r="F95" s="629">
        <v>80</v>
      </c>
      <c r="G95" s="620"/>
      <c r="H95" s="620"/>
      <c r="I95" s="620"/>
      <c r="J95" s="620">
        <v>80</v>
      </c>
      <c r="K95" s="620">
        <v>90</v>
      </c>
      <c r="L95" s="620">
        <v>90</v>
      </c>
      <c r="M95" s="625"/>
    </row>
    <row r="96" spans="1:13" ht="15.75">
      <c r="A96" s="600"/>
      <c r="B96" s="626" t="s">
        <v>361</v>
      </c>
      <c r="C96" s="627" t="s">
        <v>238</v>
      </c>
      <c r="D96" s="627"/>
      <c r="E96" s="628"/>
      <c r="F96" s="619"/>
      <c r="G96" s="620"/>
      <c r="H96" s="620"/>
      <c r="I96" s="620"/>
      <c r="J96" s="620">
        <v>90</v>
      </c>
      <c r="K96" s="620">
        <v>100</v>
      </c>
      <c r="L96" s="620">
        <v>90</v>
      </c>
      <c r="M96" s="625"/>
    </row>
    <row r="97" spans="1:13" ht="15.75">
      <c r="A97" s="600"/>
      <c r="B97" s="616" t="s">
        <v>346</v>
      </c>
      <c r="C97" s="617" t="s">
        <v>332</v>
      </c>
      <c r="D97" s="617"/>
      <c r="E97" s="618">
        <v>325</v>
      </c>
      <c r="F97" s="629">
        <v>1500</v>
      </c>
      <c r="G97" s="620"/>
      <c r="H97" s="620"/>
      <c r="I97" s="620"/>
      <c r="J97" s="638">
        <v>450</v>
      </c>
      <c r="K97" s="620">
        <v>500</v>
      </c>
      <c r="L97" s="620">
        <v>500</v>
      </c>
      <c r="M97" s="625"/>
    </row>
    <row r="98" spans="1:13" ht="15.75">
      <c r="A98" s="600"/>
      <c r="B98" s="616" t="s">
        <v>347</v>
      </c>
      <c r="C98" s="617" t="s">
        <v>332</v>
      </c>
      <c r="D98" s="617"/>
      <c r="E98" s="618"/>
      <c r="F98" s="629">
        <v>3500</v>
      </c>
      <c r="G98" s="620"/>
      <c r="H98" s="620"/>
      <c r="I98" s="620"/>
      <c r="J98" s="638">
        <v>500</v>
      </c>
      <c r="K98" s="620">
        <v>420</v>
      </c>
      <c r="L98" s="620"/>
      <c r="M98" s="625"/>
    </row>
    <row r="99" spans="1:13" ht="15.75">
      <c r="A99" s="600"/>
      <c r="B99" s="616" t="s">
        <v>390</v>
      </c>
      <c r="C99" s="617" t="s">
        <v>332</v>
      </c>
      <c r="D99" s="617"/>
      <c r="E99" s="618"/>
      <c r="F99" s="619"/>
      <c r="G99" s="620"/>
      <c r="H99" s="620"/>
      <c r="I99" s="620"/>
      <c r="J99" s="620">
        <v>1150</v>
      </c>
      <c r="K99" s="620">
        <v>1100</v>
      </c>
      <c r="L99" s="620">
        <v>1100</v>
      </c>
      <c r="M99" s="625"/>
    </row>
    <row r="100" spans="1:13" ht="15.75">
      <c r="A100" s="600"/>
      <c r="B100" s="616" t="s">
        <v>391</v>
      </c>
      <c r="C100" s="617" t="s">
        <v>332</v>
      </c>
      <c r="D100" s="617"/>
      <c r="E100" s="618"/>
      <c r="F100" s="619"/>
      <c r="G100" s="620"/>
      <c r="H100" s="620"/>
      <c r="I100" s="620"/>
      <c r="J100" s="620">
        <v>1150</v>
      </c>
      <c r="K100" s="620">
        <v>1100</v>
      </c>
      <c r="L100" s="620">
        <v>1100</v>
      </c>
      <c r="M100" s="625"/>
    </row>
    <row r="101" spans="1:13" s="593" customFormat="1" ht="15.75">
      <c r="A101" s="606" t="s">
        <v>392</v>
      </c>
      <c r="B101" s="607"/>
      <c r="C101" s="624" t="s">
        <v>112</v>
      </c>
      <c r="D101" s="624"/>
      <c r="E101" s="609"/>
      <c r="F101" s="610"/>
      <c r="G101" s="611"/>
      <c r="H101" s="611"/>
      <c r="I101" s="611"/>
      <c r="J101" s="633"/>
      <c r="K101" s="633"/>
      <c r="L101" s="634"/>
      <c r="M101" s="635"/>
    </row>
    <row r="102" spans="1:13" ht="15.75">
      <c r="A102" s="597"/>
      <c r="B102" s="626"/>
      <c r="C102" s="617"/>
      <c r="D102" s="617"/>
      <c r="E102" s="603"/>
      <c r="F102" s="604"/>
      <c r="G102" s="605"/>
      <c r="H102" s="605"/>
      <c r="I102" s="605"/>
      <c r="J102" s="630"/>
      <c r="K102" s="630"/>
      <c r="L102" s="631"/>
      <c r="M102" s="632"/>
    </row>
    <row r="103" spans="1:13" ht="15.75">
      <c r="A103" s="600"/>
      <c r="B103" s="616" t="s">
        <v>393</v>
      </c>
      <c r="C103" s="627" t="s">
        <v>336</v>
      </c>
      <c r="D103" s="627"/>
      <c r="E103" s="640"/>
      <c r="F103" s="619"/>
      <c r="G103" s="620"/>
      <c r="H103" s="620"/>
      <c r="I103" s="620"/>
      <c r="J103" s="620">
        <v>380</v>
      </c>
      <c r="K103" s="620">
        <v>315</v>
      </c>
      <c r="L103" s="620">
        <v>390</v>
      </c>
      <c r="M103" s="625"/>
    </row>
    <row r="104" spans="1:13" ht="15.75">
      <c r="A104" s="600"/>
      <c r="B104" s="616" t="s">
        <v>394</v>
      </c>
      <c r="C104" s="627" t="s">
        <v>373</v>
      </c>
      <c r="D104" s="627"/>
      <c r="E104" s="640"/>
      <c r="F104" s="619"/>
      <c r="G104" s="620"/>
      <c r="H104" s="620"/>
      <c r="I104" s="620"/>
      <c r="J104" s="620">
        <v>175</v>
      </c>
      <c r="K104" s="620">
        <v>95</v>
      </c>
      <c r="L104" s="620">
        <v>250</v>
      </c>
      <c r="M104" s="625"/>
    </row>
    <row r="105" spans="1:13" ht="15.75">
      <c r="A105" s="600"/>
      <c r="B105" s="616" t="s">
        <v>395</v>
      </c>
      <c r="C105" s="627" t="s">
        <v>21</v>
      </c>
      <c r="D105" s="627"/>
      <c r="E105" s="640"/>
      <c r="F105" s="619"/>
      <c r="G105" s="620"/>
      <c r="H105" s="620"/>
      <c r="I105" s="620"/>
      <c r="J105" s="620">
        <v>175</v>
      </c>
      <c r="K105" s="620">
        <v>95</v>
      </c>
      <c r="L105" s="620"/>
      <c r="M105" s="625"/>
    </row>
    <row r="106" spans="1:13" ht="15.75">
      <c r="A106" s="600"/>
      <c r="B106" s="616" t="s">
        <v>396</v>
      </c>
      <c r="C106" s="627" t="s">
        <v>21</v>
      </c>
      <c r="D106" s="627"/>
      <c r="E106" s="640"/>
      <c r="F106" s="619"/>
      <c r="G106" s="620"/>
      <c r="H106" s="620"/>
      <c r="I106" s="620"/>
      <c r="J106" s="620">
        <v>65</v>
      </c>
      <c r="K106" s="620"/>
      <c r="L106" s="620"/>
      <c r="M106" s="625"/>
    </row>
    <row r="107" spans="1:13" ht="15.75">
      <c r="A107" s="600"/>
      <c r="B107" s="616" t="s">
        <v>397</v>
      </c>
      <c r="C107" s="627" t="s">
        <v>398</v>
      </c>
      <c r="D107" s="627"/>
      <c r="E107" s="640"/>
      <c r="F107" s="619"/>
      <c r="G107" s="620"/>
      <c r="H107" s="620"/>
      <c r="I107" s="620"/>
      <c r="J107" s="620">
        <v>6500</v>
      </c>
      <c r="K107" s="620"/>
      <c r="L107" s="620"/>
      <c r="M107" s="625"/>
    </row>
    <row r="108" spans="1:13" ht="15.75">
      <c r="A108" s="600"/>
      <c r="B108" s="616" t="s">
        <v>399</v>
      </c>
      <c r="C108" s="627" t="s">
        <v>21</v>
      </c>
      <c r="D108" s="627"/>
      <c r="E108" s="640"/>
      <c r="F108" s="619"/>
      <c r="G108" s="620"/>
      <c r="H108" s="620"/>
      <c r="I108" s="620"/>
      <c r="J108" s="620">
        <v>80</v>
      </c>
      <c r="K108" s="620"/>
      <c r="L108" s="620"/>
      <c r="M108" s="642"/>
    </row>
    <row r="109" spans="1:13" ht="15.75">
      <c r="A109" s="600"/>
      <c r="B109" s="616" t="s">
        <v>400</v>
      </c>
      <c r="C109" s="627" t="s">
        <v>21</v>
      </c>
      <c r="D109" s="627"/>
      <c r="E109" s="640"/>
      <c r="F109" s="619"/>
      <c r="G109" s="620"/>
      <c r="H109" s="620"/>
      <c r="I109" s="620"/>
      <c r="J109" s="620">
        <v>95</v>
      </c>
      <c r="K109" s="620"/>
      <c r="L109" s="620"/>
      <c r="M109" s="625"/>
    </row>
    <row r="110" spans="1:13" ht="15.75">
      <c r="A110" s="600"/>
      <c r="B110" s="616" t="s">
        <v>401</v>
      </c>
      <c r="C110" s="627" t="s">
        <v>373</v>
      </c>
      <c r="D110" s="627"/>
      <c r="E110" s="641"/>
      <c r="F110" s="619"/>
      <c r="G110" s="620"/>
      <c r="H110" s="620"/>
      <c r="I110" s="620"/>
      <c r="J110" s="620">
        <v>650</v>
      </c>
      <c r="K110" s="620"/>
      <c r="L110" s="620">
        <v>430</v>
      </c>
      <c r="M110" s="625"/>
    </row>
    <row r="111" spans="1:13" ht="15.75">
      <c r="A111" s="600"/>
      <c r="B111" s="616" t="s">
        <v>402</v>
      </c>
      <c r="C111" s="627" t="s">
        <v>373</v>
      </c>
      <c r="D111" s="627"/>
      <c r="E111" s="641"/>
      <c r="F111" s="619"/>
      <c r="G111" s="620"/>
      <c r="H111" s="620"/>
      <c r="I111" s="620"/>
      <c r="J111" s="620">
        <v>180</v>
      </c>
      <c r="K111" s="620"/>
      <c r="L111" s="620">
        <v>195</v>
      </c>
      <c r="M111" s="625"/>
    </row>
    <row r="112" spans="1:13" ht="15.75">
      <c r="A112" s="600"/>
      <c r="B112" s="616" t="s">
        <v>403</v>
      </c>
      <c r="C112" s="627" t="s">
        <v>404</v>
      </c>
      <c r="D112" s="627"/>
      <c r="E112" s="641"/>
      <c r="F112" s="619"/>
      <c r="G112" s="620"/>
      <c r="H112" s="620"/>
      <c r="I112" s="620"/>
      <c r="J112" s="620">
        <v>450</v>
      </c>
      <c r="K112" s="620">
        <v>315</v>
      </c>
      <c r="L112" s="620"/>
      <c r="M112" s="625"/>
    </row>
    <row r="113" spans="1:13" ht="15.75">
      <c r="A113" s="600"/>
      <c r="B113" s="616" t="s">
        <v>405</v>
      </c>
      <c r="C113" s="627" t="s">
        <v>373</v>
      </c>
      <c r="D113" s="627"/>
      <c r="E113" s="640"/>
      <c r="F113" s="619"/>
      <c r="G113" s="620"/>
      <c r="H113" s="620"/>
      <c r="I113" s="620"/>
      <c r="J113" s="620">
        <v>480</v>
      </c>
      <c r="K113" s="620"/>
      <c r="L113" s="620">
        <v>790</v>
      </c>
      <c r="M113" s="625"/>
    </row>
    <row r="114" spans="1:13" ht="15.75">
      <c r="A114" s="600"/>
      <c r="B114" s="616" t="s">
        <v>406</v>
      </c>
      <c r="C114" s="627" t="s">
        <v>373</v>
      </c>
      <c r="D114" s="627"/>
      <c r="E114" s="640"/>
      <c r="F114" s="619"/>
      <c r="G114" s="620"/>
      <c r="H114" s="620"/>
      <c r="I114" s="620"/>
      <c r="J114" s="620"/>
      <c r="K114" s="620">
        <v>55</v>
      </c>
      <c r="L114" s="620">
        <v>50</v>
      </c>
      <c r="M114" s="625"/>
    </row>
    <row r="115" spans="1:13" ht="15.75">
      <c r="A115" s="600"/>
      <c r="B115" s="616" t="s">
        <v>407</v>
      </c>
      <c r="C115" s="627" t="s">
        <v>373</v>
      </c>
      <c r="D115" s="627"/>
      <c r="E115" s="640"/>
      <c r="F115" s="619"/>
      <c r="G115" s="620"/>
      <c r="H115" s="620"/>
      <c r="I115" s="620"/>
      <c r="J115" s="620"/>
      <c r="K115" s="620">
        <v>30</v>
      </c>
      <c r="L115" s="620">
        <v>20</v>
      </c>
      <c r="M115" s="625"/>
    </row>
    <row r="116" spans="1:13" ht="15.75">
      <c r="A116" s="600"/>
      <c r="B116" s="616" t="s">
        <v>408</v>
      </c>
      <c r="C116" s="627" t="s">
        <v>373</v>
      </c>
      <c r="D116" s="627"/>
      <c r="E116" s="640"/>
      <c r="F116" s="619"/>
      <c r="G116" s="620"/>
      <c r="H116" s="620"/>
      <c r="I116" s="620"/>
      <c r="J116" s="620"/>
      <c r="K116" s="620">
        <v>30</v>
      </c>
      <c r="L116" s="620"/>
      <c r="M116" s="625"/>
    </row>
    <row r="117" spans="1:13" ht="15.75">
      <c r="A117" s="600"/>
      <c r="B117" s="616" t="s">
        <v>409</v>
      </c>
      <c r="C117" s="627" t="s">
        <v>373</v>
      </c>
      <c r="D117" s="627"/>
      <c r="E117" s="640"/>
      <c r="F117" s="619"/>
      <c r="G117" s="620"/>
      <c r="H117" s="620"/>
      <c r="I117" s="620"/>
      <c r="J117" s="620"/>
      <c r="K117" s="620">
        <v>130</v>
      </c>
      <c r="L117" s="620"/>
      <c r="M117" s="625"/>
    </row>
    <row r="118" spans="1:13" ht="15.75">
      <c r="A118" s="600"/>
      <c r="B118" s="616" t="s">
        <v>410</v>
      </c>
      <c r="C118" s="627" t="s">
        <v>373</v>
      </c>
      <c r="D118" s="627"/>
      <c r="E118" s="640"/>
      <c r="F118" s="619"/>
      <c r="G118" s="620"/>
      <c r="H118" s="620"/>
      <c r="I118" s="620"/>
      <c r="J118" s="620">
        <v>180</v>
      </c>
      <c r="K118" s="620">
        <v>60</v>
      </c>
      <c r="L118" s="620"/>
      <c r="M118" s="625"/>
    </row>
    <row r="119" spans="1:13" ht="15.75">
      <c r="A119" s="600"/>
      <c r="B119" s="616" t="s">
        <v>411</v>
      </c>
      <c r="C119" s="627" t="s">
        <v>373</v>
      </c>
      <c r="D119" s="627"/>
      <c r="E119" s="640"/>
      <c r="F119" s="619"/>
      <c r="G119" s="620"/>
      <c r="H119" s="620"/>
      <c r="I119" s="620"/>
      <c r="J119" s="620">
        <v>180</v>
      </c>
      <c r="K119" s="620">
        <v>215</v>
      </c>
      <c r="L119" s="620">
        <v>250</v>
      </c>
      <c r="M119" s="625"/>
    </row>
    <row r="120" spans="1:13" ht="15.75">
      <c r="A120" s="600"/>
      <c r="B120" s="616" t="s">
        <v>412</v>
      </c>
      <c r="C120" s="617" t="s">
        <v>21</v>
      </c>
      <c r="D120" s="617"/>
      <c r="E120" s="640"/>
      <c r="F120" s="619"/>
      <c r="G120" s="620"/>
      <c r="H120" s="620"/>
      <c r="I120" s="620"/>
      <c r="J120" s="620">
        <v>180</v>
      </c>
      <c r="K120" s="620">
        <v>225</v>
      </c>
      <c r="L120" s="620"/>
      <c r="M120" s="625"/>
    </row>
    <row r="121" spans="1:13" ht="15.75">
      <c r="A121" s="600"/>
      <c r="B121" s="616" t="s">
        <v>413</v>
      </c>
      <c r="C121" s="627" t="s">
        <v>21</v>
      </c>
      <c r="D121" s="627"/>
      <c r="E121" s="640"/>
      <c r="F121" s="619"/>
      <c r="G121" s="620"/>
      <c r="H121" s="620"/>
      <c r="I121" s="620"/>
      <c r="J121" s="620">
        <v>150</v>
      </c>
      <c r="K121" s="620">
        <v>18</v>
      </c>
      <c r="L121" s="620"/>
      <c r="M121" s="625"/>
    </row>
    <row r="122" spans="1:13" ht="15.75">
      <c r="A122" s="600"/>
      <c r="B122" s="616" t="s">
        <v>414</v>
      </c>
      <c r="C122" s="627" t="s">
        <v>21</v>
      </c>
      <c r="D122" s="627"/>
      <c r="E122" s="640"/>
      <c r="F122" s="619"/>
      <c r="G122" s="620"/>
      <c r="H122" s="620"/>
      <c r="I122" s="620"/>
      <c r="J122" s="620">
        <v>170</v>
      </c>
      <c r="K122" s="620">
        <v>120</v>
      </c>
      <c r="L122" s="620">
        <v>250</v>
      </c>
      <c r="M122" s="625"/>
    </row>
    <row r="123" spans="1:13" ht="15.75">
      <c r="A123" s="600"/>
      <c r="B123" s="616" t="s">
        <v>415</v>
      </c>
      <c r="C123" s="627" t="s">
        <v>16</v>
      </c>
      <c r="D123" s="627"/>
      <c r="E123" s="640"/>
      <c r="F123" s="619"/>
      <c r="G123" s="620"/>
      <c r="H123" s="620">
        <v>10.25</v>
      </c>
      <c r="I123" s="620"/>
      <c r="J123" s="620"/>
      <c r="K123" s="620"/>
      <c r="L123" s="620"/>
      <c r="M123" s="625"/>
    </row>
    <row r="124" spans="1:13" ht="15.75">
      <c r="A124" s="600"/>
      <c r="B124" s="616" t="s">
        <v>416</v>
      </c>
      <c r="C124" s="627" t="s">
        <v>16</v>
      </c>
      <c r="D124" s="627"/>
      <c r="E124" s="640"/>
      <c r="F124" s="619"/>
      <c r="G124" s="620"/>
      <c r="H124" s="620">
        <v>6.75</v>
      </c>
      <c r="I124" s="620"/>
      <c r="J124" s="620"/>
      <c r="K124" s="620"/>
      <c r="L124" s="620"/>
      <c r="M124" s="625"/>
    </row>
    <row r="125" spans="1:13" ht="15.75">
      <c r="A125" s="600"/>
      <c r="B125" s="616" t="s">
        <v>417</v>
      </c>
      <c r="C125" s="627" t="s">
        <v>404</v>
      </c>
      <c r="D125" s="627"/>
      <c r="E125" s="640"/>
      <c r="F125" s="619"/>
      <c r="G125" s="620"/>
      <c r="H125" s="620"/>
      <c r="I125" s="620"/>
      <c r="J125" s="620"/>
      <c r="K125" s="620"/>
      <c r="L125" s="620"/>
      <c r="M125" s="625"/>
    </row>
    <row r="126" spans="1:13" ht="15.75">
      <c r="A126" s="600"/>
      <c r="B126" s="616" t="s">
        <v>418</v>
      </c>
      <c r="C126" s="627" t="s">
        <v>404</v>
      </c>
      <c r="D126" s="627"/>
      <c r="E126" s="640"/>
      <c r="F126" s="619"/>
      <c r="G126" s="620"/>
      <c r="H126" s="620"/>
      <c r="I126" s="620"/>
      <c r="J126" s="620">
        <v>95</v>
      </c>
      <c r="K126" s="620">
        <v>60</v>
      </c>
      <c r="L126" s="620">
        <v>110</v>
      </c>
      <c r="M126" s="625"/>
    </row>
    <row r="127" spans="1:13" ht="15.75">
      <c r="A127" s="600"/>
      <c r="B127" s="616" t="s">
        <v>419</v>
      </c>
      <c r="C127" s="627" t="s">
        <v>21</v>
      </c>
      <c r="D127" s="627"/>
      <c r="E127" s="640"/>
      <c r="F127" s="619"/>
      <c r="G127" s="620"/>
      <c r="H127" s="620"/>
      <c r="I127" s="620"/>
      <c r="J127" s="620">
        <v>220</v>
      </c>
      <c r="K127" s="620"/>
      <c r="L127" s="620"/>
      <c r="M127" s="625"/>
    </row>
    <row r="128" spans="1:13" ht="15.75">
      <c r="A128" s="600"/>
      <c r="B128" s="616" t="s">
        <v>420</v>
      </c>
      <c r="C128" s="627" t="s">
        <v>21</v>
      </c>
      <c r="D128" s="627"/>
      <c r="E128" s="640"/>
      <c r="F128" s="619"/>
      <c r="G128" s="620"/>
      <c r="H128" s="620"/>
      <c r="I128" s="620"/>
      <c r="J128" s="620">
        <v>18</v>
      </c>
      <c r="K128" s="620"/>
      <c r="L128" s="620"/>
      <c r="M128" s="625"/>
    </row>
    <row r="129" spans="1:13" ht="15.75">
      <c r="A129" s="600"/>
      <c r="B129" s="616" t="s">
        <v>421</v>
      </c>
      <c r="C129" s="627" t="s">
        <v>21</v>
      </c>
      <c r="D129" s="627"/>
      <c r="E129" s="640"/>
      <c r="F129" s="619"/>
      <c r="G129" s="620"/>
      <c r="H129" s="620"/>
      <c r="I129" s="620"/>
      <c r="J129" s="620">
        <v>75</v>
      </c>
      <c r="K129" s="620"/>
      <c r="L129" s="620"/>
      <c r="M129" s="625"/>
    </row>
    <row r="130" spans="1:13" ht="15.75">
      <c r="A130" s="600"/>
      <c r="B130" s="616" t="s">
        <v>422</v>
      </c>
      <c r="C130" s="627" t="s">
        <v>21</v>
      </c>
      <c r="D130" s="627"/>
      <c r="E130" s="640"/>
      <c r="F130" s="619"/>
      <c r="G130" s="620"/>
      <c r="H130" s="620"/>
      <c r="I130" s="620"/>
      <c r="J130" s="620">
        <v>35</v>
      </c>
      <c r="K130" s="620">
        <v>22</v>
      </c>
      <c r="L130" s="620"/>
      <c r="M130" s="625"/>
    </row>
    <row r="131" spans="1:13" ht="15.75">
      <c r="A131" s="600"/>
      <c r="B131" s="616" t="s">
        <v>423</v>
      </c>
      <c r="C131" s="627" t="s">
        <v>21</v>
      </c>
      <c r="D131" s="627"/>
      <c r="E131" s="640"/>
      <c r="F131" s="619"/>
      <c r="G131" s="620"/>
      <c r="H131" s="620"/>
      <c r="I131" s="620"/>
      <c r="J131" s="620"/>
      <c r="K131" s="620">
        <v>38</v>
      </c>
      <c r="L131" s="620">
        <v>20</v>
      </c>
      <c r="M131" s="625"/>
    </row>
    <row r="132" spans="1:13" ht="15.75">
      <c r="A132" s="600"/>
      <c r="B132" s="616" t="s">
        <v>424</v>
      </c>
      <c r="C132" s="627" t="s">
        <v>21</v>
      </c>
      <c r="D132" s="627"/>
      <c r="E132" s="640"/>
      <c r="F132" s="619"/>
      <c r="G132" s="620"/>
      <c r="H132" s="620"/>
      <c r="I132" s="620"/>
      <c r="J132" s="620">
        <v>55</v>
      </c>
      <c r="K132" s="620">
        <v>55</v>
      </c>
      <c r="L132" s="620">
        <v>50</v>
      </c>
      <c r="M132" s="625"/>
    </row>
    <row r="133" spans="1:13" ht="15.75">
      <c r="A133" s="600"/>
      <c r="B133" s="616" t="s">
        <v>425</v>
      </c>
      <c r="C133" s="627" t="s">
        <v>21</v>
      </c>
      <c r="D133" s="627"/>
      <c r="E133" s="640"/>
      <c r="F133" s="619"/>
      <c r="G133" s="620"/>
      <c r="H133" s="620"/>
      <c r="I133" s="620"/>
      <c r="J133" s="620">
        <v>25</v>
      </c>
      <c r="K133" s="620">
        <v>30</v>
      </c>
      <c r="L133" s="620">
        <v>20</v>
      </c>
      <c r="M133" s="625"/>
    </row>
    <row r="134" spans="1:13" ht="15.75">
      <c r="A134" s="600"/>
      <c r="B134" s="616" t="s">
        <v>426</v>
      </c>
      <c r="C134" s="627" t="s">
        <v>21</v>
      </c>
      <c r="D134" s="627"/>
      <c r="E134" s="640"/>
      <c r="F134" s="619"/>
      <c r="G134" s="620"/>
      <c r="H134" s="620"/>
      <c r="I134" s="620"/>
      <c r="J134" s="620">
        <v>80</v>
      </c>
      <c r="K134" s="620">
        <v>115</v>
      </c>
      <c r="L134" s="620">
        <v>95</v>
      </c>
      <c r="M134" s="625"/>
    </row>
    <row r="135" spans="1:13" ht="15.75">
      <c r="A135" s="600"/>
      <c r="B135" s="616" t="s">
        <v>427</v>
      </c>
      <c r="C135" s="627" t="s">
        <v>21</v>
      </c>
      <c r="D135" s="627"/>
      <c r="E135" s="640"/>
      <c r="F135" s="619"/>
      <c r="G135" s="620"/>
      <c r="H135" s="620"/>
      <c r="I135" s="620"/>
      <c r="J135" s="620">
        <v>28</v>
      </c>
      <c r="K135" s="620">
        <v>22</v>
      </c>
      <c r="L135" s="620">
        <v>12</v>
      </c>
      <c r="M135" s="625"/>
    </row>
    <row r="136" spans="1:13" ht="15.75">
      <c r="A136" s="600"/>
      <c r="B136" s="616" t="s">
        <v>428</v>
      </c>
      <c r="C136" s="627" t="s">
        <v>21</v>
      </c>
      <c r="D136" s="627"/>
      <c r="E136" s="640"/>
      <c r="F136" s="619"/>
      <c r="G136" s="620"/>
      <c r="H136" s="620"/>
      <c r="I136" s="620"/>
      <c r="J136" s="620">
        <v>15</v>
      </c>
      <c r="K136" s="620">
        <v>140</v>
      </c>
      <c r="L136" s="620">
        <v>160</v>
      </c>
      <c r="M136" s="625"/>
    </row>
    <row r="137" spans="1:13" ht="15.75">
      <c r="A137" s="600"/>
      <c r="B137" s="616" t="s">
        <v>429</v>
      </c>
      <c r="C137" s="627" t="s">
        <v>21</v>
      </c>
      <c r="D137" s="627"/>
      <c r="E137" s="640"/>
      <c r="F137" s="619"/>
      <c r="G137" s="620"/>
      <c r="H137" s="620"/>
      <c r="I137" s="620"/>
      <c r="J137" s="620">
        <v>35</v>
      </c>
      <c r="K137" s="620">
        <v>95</v>
      </c>
      <c r="L137" s="620">
        <v>125</v>
      </c>
      <c r="M137" s="625"/>
    </row>
    <row r="138" spans="1:13" ht="15.75">
      <c r="A138" s="600"/>
      <c r="B138" s="616" t="s">
        <v>430</v>
      </c>
      <c r="C138" s="627"/>
      <c r="D138" s="627"/>
      <c r="E138" s="640"/>
      <c r="F138" s="619"/>
      <c r="G138" s="620"/>
      <c r="H138" s="620"/>
      <c r="I138" s="620"/>
      <c r="J138" s="620">
        <v>18</v>
      </c>
      <c r="K138" s="620">
        <v>20</v>
      </c>
      <c r="L138" s="620"/>
      <c r="M138" s="625"/>
    </row>
    <row r="139" spans="1:13" ht="15.75">
      <c r="A139" s="600"/>
      <c r="B139" s="616" t="s">
        <v>431</v>
      </c>
      <c r="C139" s="627" t="s">
        <v>350</v>
      </c>
      <c r="D139" s="627"/>
      <c r="E139" s="640"/>
      <c r="F139" s="619"/>
      <c r="G139" s="620"/>
      <c r="H139" s="620"/>
      <c r="I139" s="620"/>
      <c r="J139" s="620">
        <v>1550</v>
      </c>
      <c r="K139" s="620">
        <v>1450</v>
      </c>
      <c r="L139" s="620">
        <v>2225</v>
      </c>
      <c r="M139" s="625"/>
    </row>
    <row r="140" spans="1:13" ht="15.75">
      <c r="A140" s="600"/>
      <c r="B140" s="616" t="s">
        <v>432</v>
      </c>
      <c r="C140" s="627" t="s">
        <v>373</v>
      </c>
      <c r="D140" s="627"/>
      <c r="E140" s="640"/>
      <c r="F140" s="619"/>
      <c r="G140" s="620"/>
      <c r="H140" s="620"/>
      <c r="I140" s="620"/>
      <c r="J140" s="620">
        <v>1770</v>
      </c>
      <c r="K140" s="620">
        <v>2050</v>
      </c>
      <c r="L140" s="620">
        <v>2625</v>
      </c>
      <c r="M140" s="625"/>
    </row>
    <row r="141" spans="1:13" ht="15.75">
      <c r="A141" s="600"/>
      <c r="B141" s="616" t="s">
        <v>433</v>
      </c>
      <c r="C141" s="627" t="s">
        <v>350</v>
      </c>
      <c r="D141" s="627"/>
      <c r="E141" s="640"/>
      <c r="F141" s="619"/>
      <c r="G141" s="620"/>
      <c r="H141" s="620"/>
      <c r="I141" s="620"/>
      <c r="J141" s="620">
        <v>2450</v>
      </c>
      <c r="K141" s="620">
        <v>2625</v>
      </c>
      <c r="L141" s="620">
        <v>3220</v>
      </c>
      <c r="M141" s="625"/>
    </row>
    <row r="142" spans="1:13" ht="15.75">
      <c r="A142" s="600"/>
      <c r="B142" s="616" t="s">
        <v>434</v>
      </c>
      <c r="C142" s="627" t="s">
        <v>21</v>
      </c>
      <c r="D142" s="627"/>
      <c r="E142" s="640"/>
      <c r="F142" s="619"/>
      <c r="G142" s="620"/>
      <c r="H142" s="620"/>
      <c r="I142" s="620"/>
      <c r="J142" s="620">
        <v>15</v>
      </c>
      <c r="K142" s="620"/>
      <c r="L142" s="620">
        <v>10</v>
      </c>
      <c r="M142" s="625"/>
    </row>
    <row r="143" spans="1:13" ht="15.75">
      <c r="A143" s="600"/>
      <c r="B143" s="616" t="s">
        <v>435</v>
      </c>
      <c r="C143" s="627" t="s">
        <v>21</v>
      </c>
      <c r="D143" s="627"/>
      <c r="E143" s="640"/>
      <c r="F143" s="619"/>
      <c r="G143" s="620"/>
      <c r="H143" s="620"/>
      <c r="I143" s="620"/>
      <c r="J143" s="620">
        <v>45</v>
      </c>
      <c r="K143" s="620"/>
      <c r="L143" s="620">
        <v>40</v>
      </c>
      <c r="M143" s="625"/>
    </row>
    <row r="144" spans="1:13" ht="15.75">
      <c r="A144" s="600"/>
      <c r="B144" s="616" t="s">
        <v>436</v>
      </c>
      <c r="C144" s="627" t="s">
        <v>350</v>
      </c>
      <c r="D144" s="627"/>
      <c r="E144" s="640"/>
      <c r="F144" s="619"/>
      <c r="G144" s="620"/>
      <c r="H144" s="620"/>
      <c r="I144" s="620"/>
      <c r="J144" s="620">
        <v>450</v>
      </c>
      <c r="K144" s="620">
        <v>530</v>
      </c>
      <c r="L144" s="620">
        <v>650</v>
      </c>
      <c r="M144" s="625"/>
    </row>
    <row r="145" spans="1:13" ht="15.75">
      <c r="A145" s="600"/>
      <c r="B145" s="616" t="s">
        <v>437</v>
      </c>
      <c r="C145" s="627" t="s">
        <v>373</v>
      </c>
      <c r="D145" s="627"/>
      <c r="E145" s="640"/>
      <c r="F145" s="619"/>
      <c r="G145" s="620"/>
      <c r="H145" s="620"/>
      <c r="I145" s="620"/>
      <c r="J145" s="620">
        <v>18</v>
      </c>
      <c r="K145" s="620"/>
      <c r="L145" s="620">
        <v>10</v>
      </c>
      <c r="M145" s="625"/>
    </row>
    <row r="146" spans="1:13" ht="15.75">
      <c r="A146" s="600"/>
      <c r="B146" s="616" t="s">
        <v>438</v>
      </c>
      <c r="C146" s="627" t="s">
        <v>21</v>
      </c>
      <c r="D146" s="627"/>
      <c r="E146" s="640"/>
      <c r="F146" s="619"/>
      <c r="G146" s="620"/>
      <c r="H146" s="620"/>
      <c r="I146" s="620"/>
      <c r="J146" s="620">
        <v>180</v>
      </c>
      <c r="K146" s="620"/>
      <c r="L146" s="620">
        <v>250</v>
      </c>
      <c r="M146" s="625"/>
    </row>
    <row r="147" spans="1:13" ht="15.75">
      <c r="A147" s="600"/>
      <c r="B147" s="616" t="s">
        <v>439</v>
      </c>
      <c r="C147" s="627" t="s">
        <v>350</v>
      </c>
      <c r="D147" s="627"/>
      <c r="E147" s="640"/>
      <c r="F147" s="619"/>
      <c r="G147" s="620"/>
      <c r="H147" s="620"/>
      <c r="I147" s="620"/>
      <c r="J147" s="620">
        <v>780</v>
      </c>
      <c r="K147" s="620">
        <v>730</v>
      </c>
      <c r="L147" s="620">
        <v>925</v>
      </c>
      <c r="M147" s="625"/>
    </row>
    <row r="148" spans="1:13" ht="15.75">
      <c r="A148" s="600"/>
      <c r="B148" s="616" t="s">
        <v>440</v>
      </c>
      <c r="C148" s="627" t="s">
        <v>350</v>
      </c>
      <c r="D148" s="627"/>
      <c r="E148" s="640"/>
      <c r="F148" s="643">
        <v>1400</v>
      </c>
      <c r="G148" s="620"/>
      <c r="H148" s="620"/>
      <c r="I148" s="620"/>
      <c r="J148" s="620">
        <v>1150</v>
      </c>
      <c r="K148" s="620">
        <v>1170</v>
      </c>
      <c r="L148" s="620">
        <v>1540</v>
      </c>
      <c r="M148" s="625"/>
    </row>
    <row r="149" spans="1:13" ht="15.75">
      <c r="A149" s="600"/>
      <c r="B149" s="616" t="s">
        <v>441</v>
      </c>
      <c r="C149" s="627" t="s">
        <v>350</v>
      </c>
      <c r="D149" s="627"/>
      <c r="E149" s="640"/>
      <c r="F149" s="643"/>
      <c r="G149" s="620"/>
      <c r="H149" s="620"/>
      <c r="I149" s="620"/>
      <c r="J149" s="620">
        <v>1380</v>
      </c>
      <c r="K149" s="620"/>
      <c r="L149" s="620">
        <v>1750</v>
      </c>
      <c r="M149" s="625"/>
    </row>
    <row r="150" spans="1:13" ht="15.75">
      <c r="A150" s="600"/>
      <c r="B150" s="616" t="s">
        <v>442</v>
      </c>
      <c r="C150" s="627" t="s">
        <v>350</v>
      </c>
      <c r="D150" s="627"/>
      <c r="E150" s="640"/>
      <c r="F150" s="643"/>
      <c r="G150" s="620"/>
      <c r="H150" s="620"/>
      <c r="I150" s="620"/>
      <c r="J150" s="620">
        <v>2250</v>
      </c>
      <c r="K150" s="620"/>
      <c r="L150" s="620"/>
      <c r="M150" s="625"/>
    </row>
    <row r="151" spans="1:13" ht="15.75">
      <c r="A151" s="600"/>
      <c r="B151" s="616" t="s">
        <v>443</v>
      </c>
      <c r="C151" s="627" t="s">
        <v>350</v>
      </c>
      <c r="D151" s="627"/>
      <c r="E151" s="640"/>
      <c r="F151" s="643">
        <v>2000</v>
      </c>
      <c r="G151" s="620"/>
      <c r="H151" s="620"/>
      <c r="I151" s="620"/>
      <c r="J151" s="620">
        <v>1580</v>
      </c>
      <c r="K151" s="620"/>
      <c r="L151" s="620"/>
      <c r="M151" s="625"/>
    </row>
    <row r="152" spans="1:13" ht="15.75">
      <c r="A152" s="600"/>
      <c r="B152" s="616" t="s">
        <v>444</v>
      </c>
      <c r="C152" s="627" t="s">
        <v>350</v>
      </c>
      <c r="D152" s="627"/>
      <c r="E152" s="640"/>
      <c r="F152" s="643"/>
      <c r="G152" s="620"/>
      <c r="H152" s="620"/>
      <c r="I152" s="620"/>
      <c r="J152" s="620"/>
      <c r="K152" s="620"/>
      <c r="L152" s="620">
        <v>3285</v>
      </c>
      <c r="M152" s="625"/>
    </row>
    <row r="153" spans="1:13" ht="15.75">
      <c r="A153" s="600"/>
      <c r="B153" s="616" t="s">
        <v>445</v>
      </c>
      <c r="C153" s="627" t="s">
        <v>350</v>
      </c>
      <c r="D153" s="627"/>
      <c r="E153" s="640"/>
      <c r="F153" s="643">
        <v>3300</v>
      </c>
      <c r="G153" s="620"/>
      <c r="H153" s="620"/>
      <c r="I153" s="620"/>
      <c r="J153" s="620"/>
      <c r="K153" s="620"/>
      <c r="L153" s="620"/>
      <c r="M153" s="625"/>
    </row>
    <row r="154" spans="1:13" ht="15.75">
      <c r="A154" s="600"/>
      <c r="B154" s="616" t="s">
        <v>446</v>
      </c>
      <c r="C154" s="627" t="s">
        <v>350</v>
      </c>
      <c r="D154" s="627"/>
      <c r="E154" s="640"/>
      <c r="F154" s="644"/>
      <c r="G154" s="620"/>
      <c r="H154" s="620"/>
      <c r="I154" s="620"/>
      <c r="J154" s="620">
        <v>3800</v>
      </c>
      <c r="K154" s="620">
        <v>3950</v>
      </c>
      <c r="L154" s="620">
        <v>5515</v>
      </c>
      <c r="M154" s="625"/>
    </row>
    <row r="155" spans="1:13" ht="15.75">
      <c r="A155" s="600"/>
      <c r="B155" s="616" t="s">
        <v>447</v>
      </c>
      <c r="C155" s="627" t="s">
        <v>398</v>
      </c>
      <c r="D155" s="627"/>
      <c r="E155" s="640"/>
      <c r="F155" s="644"/>
      <c r="G155" s="620"/>
      <c r="H155" s="620"/>
      <c r="I155" s="620"/>
      <c r="J155" s="620">
        <v>690</v>
      </c>
      <c r="K155" s="620"/>
      <c r="L155" s="620">
        <v>545</v>
      </c>
      <c r="M155" s="625"/>
    </row>
    <row r="156" spans="1:13" ht="15.75">
      <c r="A156" s="600"/>
      <c r="B156" s="616" t="s">
        <v>448</v>
      </c>
      <c r="C156" s="627" t="s">
        <v>398</v>
      </c>
      <c r="D156" s="627"/>
      <c r="E156" s="640"/>
      <c r="F156" s="619"/>
      <c r="G156" s="620"/>
      <c r="H156" s="620"/>
      <c r="I156" s="620"/>
      <c r="J156" s="620">
        <v>895</v>
      </c>
      <c r="K156" s="620"/>
      <c r="L156" s="620">
        <v>750</v>
      </c>
      <c r="M156" s="625"/>
    </row>
    <row r="157" spans="1:13" ht="15.75">
      <c r="A157" s="600"/>
      <c r="B157" s="616" t="s">
        <v>449</v>
      </c>
      <c r="C157" s="627" t="s">
        <v>21</v>
      </c>
      <c r="D157" s="627"/>
      <c r="E157" s="640"/>
      <c r="F157" s="619"/>
      <c r="G157" s="620"/>
      <c r="H157" s="620"/>
      <c r="I157" s="620"/>
      <c r="J157" s="620">
        <v>290</v>
      </c>
      <c r="K157" s="620"/>
      <c r="L157" s="620">
        <v>325</v>
      </c>
      <c r="M157" s="625"/>
    </row>
    <row r="158" spans="1:13" ht="15.75">
      <c r="A158" s="600"/>
      <c r="B158" s="616" t="s">
        <v>450</v>
      </c>
      <c r="C158" s="627" t="s">
        <v>398</v>
      </c>
      <c r="D158" s="627"/>
      <c r="E158" s="640"/>
      <c r="F158" s="619"/>
      <c r="G158" s="620"/>
      <c r="H158" s="620"/>
      <c r="I158" s="620"/>
      <c r="J158" s="620">
        <v>2300</v>
      </c>
      <c r="K158" s="620"/>
      <c r="L158" s="620">
        <v>1556</v>
      </c>
      <c r="M158" s="625"/>
    </row>
    <row r="159" spans="1:13" ht="15.75">
      <c r="A159" s="600"/>
      <c r="B159" s="616" t="s">
        <v>451</v>
      </c>
      <c r="C159" s="627" t="s">
        <v>21</v>
      </c>
      <c r="D159" s="627"/>
      <c r="E159" s="640"/>
      <c r="F159" s="619"/>
      <c r="G159" s="620"/>
      <c r="H159" s="620"/>
      <c r="I159" s="620"/>
      <c r="J159" s="620">
        <v>65</v>
      </c>
      <c r="K159" s="620"/>
      <c r="L159" s="620"/>
      <c r="M159" s="625"/>
    </row>
    <row r="160" spans="1:13" ht="15.75">
      <c r="A160" s="600"/>
      <c r="B160" s="616" t="s">
        <v>452</v>
      </c>
      <c r="C160" s="627" t="s">
        <v>373</v>
      </c>
      <c r="D160" s="627"/>
      <c r="E160" s="640"/>
      <c r="F160" s="619"/>
      <c r="G160" s="620"/>
      <c r="H160" s="620"/>
      <c r="I160" s="620"/>
      <c r="J160" s="620">
        <v>60</v>
      </c>
      <c r="K160" s="620"/>
      <c r="L160" s="620">
        <v>95</v>
      </c>
      <c r="M160" s="625"/>
    </row>
    <row r="161" spans="1:13" ht="15.75">
      <c r="A161" s="600"/>
      <c r="B161" s="616" t="s">
        <v>453</v>
      </c>
      <c r="C161" s="627" t="s">
        <v>373</v>
      </c>
      <c r="D161" s="627"/>
      <c r="E161" s="640"/>
      <c r="F161" s="619"/>
      <c r="G161" s="620"/>
      <c r="H161" s="620"/>
      <c r="I161" s="620"/>
      <c r="J161" s="620">
        <v>85</v>
      </c>
      <c r="K161" s="620"/>
      <c r="L161" s="620">
        <v>120</v>
      </c>
      <c r="M161" s="625"/>
    </row>
    <row r="162" spans="1:13" ht="15.75">
      <c r="A162" s="600"/>
      <c r="B162" s="616" t="s">
        <v>454</v>
      </c>
      <c r="C162" s="627" t="s">
        <v>373</v>
      </c>
      <c r="D162" s="627"/>
      <c r="E162" s="640"/>
      <c r="F162" s="619"/>
      <c r="G162" s="620"/>
      <c r="H162" s="620"/>
      <c r="I162" s="620"/>
      <c r="J162" s="620">
        <v>2700</v>
      </c>
      <c r="K162" s="620"/>
      <c r="L162" s="620">
        <v>3300</v>
      </c>
      <c r="M162" s="625"/>
    </row>
    <row r="163" spans="1:13" ht="15.75">
      <c r="A163" s="600"/>
      <c r="B163" s="616" t="s">
        <v>455</v>
      </c>
      <c r="C163" s="627" t="s">
        <v>373</v>
      </c>
      <c r="D163" s="627"/>
      <c r="E163" s="640"/>
      <c r="F163" s="619"/>
      <c r="G163" s="620"/>
      <c r="H163" s="620"/>
      <c r="I163" s="620"/>
      <c r="J163" s="620">
        <v>2500</v>
      </c>
      <c r="K163" s="620"/>
      <c r="L163" s="620">
        <v>1500</v>
      </c>
      <c r="M163" s="625"/>
    </row>
    <row r="164" spans="1:13" ht="15.75">
      <c r="A164" s="600"/>
      <c r="B164" s="616" t="s">
        <v>456</v>
      </c>
      <c r="C164" s="627" t="s">
        <v>373</v>
      </c>
      <c r="D164" s="627"/>
      <c r="E164" s="640"/>
      <c r="F164" s="619"/>
      <c r="G164" s="620"/>
      <c r="H164" s="620"/>
      <c r="I164" s="620"/>
      <c r="J164" s="620">
        <v>105</v>
      </c>
      <c r="K164" s="620">
        <v>35</v>
      </c>
      <c r="L164" s="620">
        <v>65</v>
      </c>
      <c r="M164" s="625"/>
    </row>
    <row r="165" spans="1:13" ht="15.75">
      <c r="A165" s="600"/>
      <c r="B165" s="616" t="s">
        <v>457</v>
      </c>
      <c r="C165" s="627" t="s">
        <v>404</v>
      </c>
      <c r="D165" s="627"/>
      <c r="E165" s="640"/>
      <c r="F165" s="619"/>
      <c r="G165" s="620"/>
      <c r="H165" s="620"/>
      <c r="I165" s="620"/>
      <c r="J165" s="620">
        <v>185</v>
      </c>
      <c r="K165" s="620">
        <v>130</v>
      </c>
      <c r="L165" s="620">
        <v>120</v>
      </c>
      <c r="M165" s="625"/>
    </row>
    <row r="166" spans="1:13" ht="15.75">
      <c r="A166" s="600"/>
      <c r="B166" s="616" t="s">
        <v>458</v>
      </c>
      <c r="C166" s="627" t="s">
        <v>404</v>
      </c>
      <c r="D166" s="627"/>
      <c r="E166" s="640"/>
      <c r="F166" s="619"/>
      <c r="G166" s="620"/>
      <c r="H166" s="620"/>
      <c r="I166" s="620"/>
      <c r="J166" s="620">
        <v>350</v>
      </c>
      <c r="K166" s="620"/>
      <c r="L166" s="620">
        <v>325</v>
      </c>
      <c r="M166" s="625"/>
    </row>
    <row r="167" spans="1:13" ht="15.75">
      <c r="A167" s="600"/>
      <c r="B167" s="616" t="s">
        <v>459</v>
      </c>
      <c r="C167" s="627" t="s">
        <v>460</v>
      </c>
      <c r="D167" s="627"/>
      <c r="E167" s="640"/>
      <c r="F167" s="619"/>
      <c r="G167" s="620"/>
      <c r="H167" s="620"/>
      <c r="I167" s="620"/>
      <c r="J167" s="620">
        <v>580</v>
      </c>
      <c r="K167" s="620"/>
      <c r="L167" s="620">
        <v>725</v>
      </c>
      <c r="M167" s="625"/>
    </row>
    <row r="168" spans="1:13" ht="15.75">
      <c r="A168" s="600"/>
      <c r="B168" s="616" t="s">
        <v>461</v>
      </c>
      <c r="C168" s="627" t="s">
        <v>398</v>
      </c>
      <c r="D168" s="627"/>
      <c r="E168" s="640"/>
      <c r="F168" s="619"/>
      <c r="G168" s="620"/>
      <c r="H168" s="620"/>
      <c r="I168" s="620"/>
      <c r="J168" s="620">
        <v>105</v>
      </c>
      <c r="K168" s="620"/>
      <c r="L168" s="620">
        <v>120</v>
      </c>
      <c r="M168" s="625"/>
    </row>
    <row r="169" spans="1:13" ht="15.75">
      <c r="A169" s="600"/>
      <c r="B169" s="616" t="s">
        <v>462</v>
      </c>
      <c r="C169" s="627" t="s">
        <v>398</v>
      </c>
      <c r="D169" s="627"/>
      <c r="E169" s="640"/>
      <c r="F169" s="619"/>
      <c r="G169" s="620"/>
      <c r="H169" s="620"/>
      <c r="I169" s="620"/>
      <c r="J169" s="620">
        <v>188</v>
      </c>
      <c r="K169" s="620"/>
      <c r="L169" s="620">
        <v>320</v>
      </c>
      <c r="M169" s="625"/>
    </row>
    <row r="170" spans="1:13" ht="15.75">
      <c r="A170" s="600"/>
      <c r="B170" s="616" t="s">
        <v>463</v>
      </c>
      <c r="C170" s="627" t="s">
        <v>21</v>
      </c>
      <c r="D170" s="627"/>
      <c r="E170" s="640"/>
      <c r="F170" s="619"/>
      <c r="G170" s="620"/>
      <c r="H170" s="620"/>
      <c r="I170" s="620"/>
      <c r="J170" s="620">
        <v>275</v>
      </c>
      <c r="K170" s="620"/>
      <c r="L170" s="620">
        <v>380</v>
      </c>
      <c r="M170" s="625"/>
    </row>
    <row r="171" spans="1:13" ht="15.75">
      <c r="A171" s="600"/>
      <c r="B171" s="616" t="s">
        <v>464</v>
      </c>
      <c r="C171" s="627"/>
      <c r="D171" s="627"/>
      <c r="E171" s="640"/>
      <c r="F171" s="619"/>
      <c r="G171" s="620"/>
      <c r="H171" s="620"/>
      <c r="I171" s="620"/>
      <c r="J171" s="620">
        <v>55</v>
      </c>
      <c r="K171" s="620"/>
      <c r="L171" s="620">
        <v>90</v>
      </c>
      <c r="M171" s="625"/>
    </row>
    <row r="172" spans="1:13" ht="15.75">
      <c r="A172" s="600"/>
      <c r="B172" s="616" t="s">
        <v>465</v>
      </c>
      <c r="C172" s="627" t="s">
        <v>373</v>
      </c>
      <c r="D172" s="627"/>
      <c r="E172" s="640"/>
      <c r="F172" s="619"/>
      <c r="G172" s="620"/>
      <c r="H172" s="620"/>
      <c r="I172" s="620"/>
      <c r="J172" s="620">
        <v>480</v>
      </c>
      <c r="K172" s="620"/>
      <c r="L172" s="620">
        <v>780</v>
      </c>
      <c r="M172" s="625"/>
    </row>
    <row r="173" spans="1:13" ht="15.75">
      <c r="A173" s="600"/>
      <c r="B173" s="616" t="s">
        <v>466</v>
      </c>
      <c r="C173" s="627" t="s">
        <v>21</v>
      </c>
      <c r="D173" s="627"/>
      <c r="E173" s="640"/>
      <c r="F173" s="619"/>
      <c r="G173" s="620"/>
      <c r="H173" s="620"/>
      <c r="I173" s="620"/>
      <c r="J173" s="620">
        <v>70</v>
      </c>
      <c r="K173" s="620"/>
      <c r="L173" s="620">
        <v>120</v>
      </c>
      <c r="M173" s="625"/>
    </row>
    <row r="174" spans="1:13" ht="15.75">
      <c r="A174" s="600"/>
      <c r="B174" s="616" t="s">
        <v>467</v>
      </c>
      <c r="C174" s="627" t="s">
        <v>404</v>
      </c>
      <c r="D174" s="627"/>
      <c r="E174" s="640"/>
      <c r="F174" s="619"/>
      <c r="G174" s="620"/>
      <c r="H174" s="620"/>
      <c r="I174" s="620"/>
      <c r="J174" s="620">
        <v>190</v>
      </c>
      <c r="K174" s="620"/>
      <c r="L174" s="620">
        <v>240</v>
      </c>
      <c r="M174" s="625"/>
    </row>
    <row r="175" spans="1:13" ht="15.75">
      <c r="A175" s="600"/>
      <c r="B175" s="616" t="s">
        <v>468</v>
      </c>
      <c r="C175" s="627" t="s">
        <v>469</v>
      </c>
      <c r="D175" s="627"/>
      <c r="E175" s="640"/>
      <c r="F175" s="619"/>
      <c r="G175" s="620"/>
      <c r="H175" s="620"/>
      <c r="I175" s="620"/>
      <c r="J175" s="620">
        <v>2750</v>
      </c>
      <c r="K175" s="620">
        <v>3300</v>
      </c>
      <c r="L175" s="620">
        <v>3550</v>
      </c>
      <c r="M175" s="625"/>
    </row>
    <row r="176" spans="1:13" ht="15.75">
      <c r="A176" s="600"/>
      <c r="B176" s="616" t="s">
        <v>470</v>
      </c>
      <c r="C176" s="627" t="s">
        <v>469</v>
      </c>
      <c r="D176" s="627"/>
      <c r="E176" s="640"/>
      <c r="F176" s="619"/>
      <c r="G176" s="620"/>
      <c r="H176" s="620"/>
      <c r="I176" s="620"/>
      <c r="J176" s="620">
        <v>6500</v>
      </c>
      <c r="K176" s="620"/>
      <c r="L176" s="620">
        <v>9495</v>
      </c>
      <c r="M176" s="625"/>
    </row>
    <row r="177" spans="1:13" ht="15.75">
      <c r="A177" s="600"/>
      <c r="B177" s="616" t="s">
        <v>471</v>
      </c>
      <c r="C177" s="627" t="s">
        <v>469</v>
      </c>
      <c r="D177" s="627"/>
      <c r="E177" s="640"/>
      <c r="F177" s="619"/>
      <c r="G177" s="620"/>
      <c r="H177" s="620"/>
      <c r="I177" s="620"/>
      <c r="J177" s="620">
        <v>1800</v>
      </c>
      <c r="K177" s="620">
        <v>2050</v>
      </c>
      <c r="L177" s="620">
        <v>2400</v>
      </c>
      <c r="M177" s="625"/>
    </row>
    <row r="178" spans="1:13" ht="15.75">
      <c r="A178" s="600"/>
      <c r="B178" s="616" t="s">
        <v>472</v>
      </c>
      <c r="C178" s="627" t="s">
        <v>469</v>
      </c>
      <c r="D178" s="627"/>
      <c r="E178" s="640"/>
      <c r="F178" s="619"/>
      <c r="G178" s="620"/>
      <c r="H178" s="620"/>
      <c r="I178" s="620"/>
      <c r="J178" s="620">
        <v>11500</v>
      </c>
      <c r="K178" s="620"/>
      <c r="L178" s="620"/>
      <c r="M178" s="625"/>
    </row>
    <row r="179" spans="1:13" ht="15.75">
      <c r="A179" s="600"/>
      <c r="B179" s="616" t="s">
        <v>473</v>
      </c>
      <c r="C179" s="627" t="s">
        <v>469</v>
      </c>
      <c r="D179" s="627"/>
      <c r="E179" s="640"/>
      <c r="F179" s="619"/>
      <c r="G179" s="620"/>
      <c r="H179" s="620"/>
      <c r="I179" s="620"/>
      <c r="J179" s="620">
        <v>1885</v>
      </c>
      <c r="K179" s="620">
        <v>3000</v>
      </c>
      <c r="L179" s="620">
        <v>3400</v>
      </c>
      <c r="M179" s="625"/>
    </row>
    <row r="180" spans="1:13" ht="15.75">
      <c r="A180" s="600"/>
      <c r="B180" s="616" t="s">
        <v>474</v>
      </c>
      <c r="C180" s="627" t="s">
        <v>469</v>
      </c>
      <c r="D180" s="627"/>
      <c r="E180" s="640"/>
      <c r="F180" s="619"/>
      <c r="G180" s="620"/>
      <c r="H180" s="620"/>
      <c r="I180" s="620"/>
      <c r="J180" s="620">
        <v>1500</v>
      </c>
      <c r="K180" s="620"/>
      <c r="L180" s="620"/>
      <c r="M180" s="625"/>
    </row>
    <row r="181" spans="1:13" ht="15.75">
      <c r="A181" s="600"/>
      <c r="B181" s="616" t="s">
        <v>475</v>
      </c>
      <c r="C181" s="627" t="s">
        <v>469</v>
      </c>
      <c r="D181" s="627"/>
      <c r="E181" s="640"/>
      <c r="F181" s="619"/>
      <c r="G181" s="620"/>
      <c r="H181" s="620"/>
      <c r="I181" s="620"/>
      <c r="J181" s="620">
        <v>9380</v>
      </c>
      <c r="K181" s="620"/>
      <c r="L181" s="620"/>
      <c r="M181" s="625"/>
    </row>
    <row r="182" spans="1:13" ht="15.75">
      <c r="A182" s="600"/>
      <c r="B182" s="616" t="s">
        <v>476</v>
      </c>
      <c r="C182" s="627" t="s">
        <v>469</v>
      </c>
      <c r="D182" s="627"/>
      <c r="E182" s="640"/>
      <c r="F182" s="619"/>
      <c r="G182" s="620"/>
      <c r="H182" s="620"/>
      <c r="I182" s="620"/>
      <c r="J182" s="620">
        <v>1950</v>
      </c>
      <c r="K182" s="620">
        <v>2500</v>
      </c>
      <c r="L182" s="620">
        <v>2600</v>
      </c>
      <c r="M182" s="625"/>
    </row>
    <row r="183" spans="1:13" ht="15.75">
      <c r="A183" s="600"/>
      <c r="B183" s="616" t="s">
        <v>477</v>
      </c>
      <c r="C183" s="627" t="s">
        <v>469</v>
      </c>
      <c r="D183" s="627"/>
      <c r="E183" s="640"/>
      <c r="F183" s="619"/>
      <c r="G183" s="620"/>
      <c r="H183" s="620"/>
      <c r="I183" s="620"/>
      <c r="J183" s="620">
        <v>3050</v>
      </c>
      <c r="K183" s="620"/>
      <c r="L183" s="620">
        <v>4070</v>
      </c>
      <c r="M183" s="625"/>
    </row>
    <row r="184" spans="1:13" ht="15.75">
      <c r="A184" s="600"/>
      <c r="B184" s="616" t="s">
        <v>478</v>
      </c>
      <c r="C184" s="627" t="s">
        <v>469</v>
      </c>
      <c r="D184" s="627"/>
      <c r="E184" s="640"/>
      <c r="F184" s="619"/>
      <c r="G184" s="620"/>
      <c r="H184" s="620"/>
      <c r="I184" s="620"/>
      <c r="J184" s="620">
        <v>4720</v>
      </c>
      <c r="K184" s="620"/>
      <c r="L184" s="620">
        <v>5870</v>
      </c>
      <c r="M184" s="625"/>
    </row>
    <row r="185" spans="1:13" ht="15.75">
      <c r="A185" s="600"/>
      <c r="B185" s="616" t="s">
        <v>479</v>
      </c>
      <c r="C185" s="627" t="s">
        <v>469</v>
      </c>
      <c r="D185" s="627"/>
      <c r="E185" s="640"/>
      <c r="F185" s="619"/>
      <c r="G185" s="620"/>
      <c r="H185" s="620"/>
      <c r="I185" s="620"/>
      <c r="J185" s="620">
        <v>1500</v>
      </c>
      <c r="K185" s="620">
        <v>2100</v>
      </c>
      <c r="L185" s="620">
        <v>1990</v>
      </c>
      <c r="M185" s="625"/>
    </row>
    <row r="186" spans="1:13" ht="15.75">
      <c r="A186" s="600"/>
      <c r="B186" s="616" t="s">
        <v>480</v>
      </c>
      <c r="C186" s="627" t="s">
        <v>469</v>
      </c>
      <c r="D186" s="627"/>
      <c r="E186" s="640"/>
      <c r="F186" s="619"/>
      <c r="G186" s="620"/>
      <c r="H186" s="620"/>
      <c r="I186" s="620"/>
      <c r="J186" s="620">
        <v>1885</v>
      </c>
      <c r="K186" s="620">
        <v>2850</v>
      </c>
      <c r="L186" s="620">
        <v>2342</v>
      </c>
      <c r="M186" s="625"/>
    </row>
    <row r="187" spans="1:13" ht="15.75">
      <c r="A187" s="600"/>
      <c r="B187" s="616" t="s">
        <v>481</v>
      </c>
      <c r="C187" s="627" t="s">
        <v>404</v>
      </c>
      <c r="D187" s="627"/>
      <c r="E187" s="640"/>
      <c r="F187" s="619"/>
      <c r="G187" s="620"/>
      <c r="H187" s="620"/>
      <c r="I187" s="620"/>
      <c r="J187" s="620">
        <v>505</v>
      </c>
      <c r="K187" s="620"/>
      <c r="L187" s="620">
        <v>615</v>
      </c>
      <c r="M187" s="625"/>
    </row>
    <row r="188" spans="1:13" ht="15.75">
      <c r="A188" s="600"/>
      <c r="B188" s="616" t="s">
        <v>482</v>
      </c>
      <c r="C188" s="627" t="s">
        <v>21</v>
      </c>
      <c r="D188" s="627"/>
      <c r="E188" s="640"/>
      <c r="F188" s="619"/>
      <c r="G188" s="620"/>
      <c r="H188" s="620"/>
      <c r="I188" s="620"/>
      <c r="J188" s="620">
        <v>110</v>
      </c>
      <c r="K188" s="620"/>
      <c r="L188" s="620">
        <v>185</v>
      </c>
      <c r="M188" s="625"/>
    </row>
    <row r="189" spans="1:13" ht="15.75">
      <c r="A189" s="600"/>
      <c r="B189" s="616" t="s">
        <v>483</v>
      </c>
      <c r="C189" s="627" t="s">
        <v>404</v>
      </c>
      <c r="D189" s="627"/>
      <c r="E189" s="640"/>
      <c r="F189" s="619"/>
      <c r="G189" s="620"/>
      <c r="H189" s="620"/>
      <c r="I189" s="620"/>
      <c r="J189" s="620">
        <v>16500</v>
      </c>
      <c r="K189" s="620">
        <v>6300</v>
      </c>
      <c r="L189" s="620"/>
      <c r="M189" s="625"/>
    </row>
    <row r="190" spans="1:13" ht="15.75">
      <c r="A190" s="600"/>
      <c r="B190" s="616" t="s">
        <v>484</v>
      </c>
      <c r="C190" s="627" t="s">
        <v>21</v>
      </c>
      <c r="D190" s="627"/>
      <c r="E190" s="640"/>
      <c r="F190" s="619"/>
      <c r="G190" s="620"/>
      <c r="H190" s="620"/>
      <c r="I190" s="620"/>
      <c r="J190" s="620">
        <v>15</v>
      </c>
      <c r="K190" s="620">
        <v>32</v>
      </c>
      <c r="L190" s="620">
        <v>15</v>
      </c>
      <c r="M190" s="625"/>
    </row>
    <row r="191" spans="1:13" ht="15.75">
      <c r="A191" s="600"/>
      <c r="B191" s="616" t="s">
        <v>485</v>
      </c>
      <c r="C191" s="627" t="s">
        <v>21</v>
      </c>
      <c r="D191" s="627"/>
      <c r="E191" s="640"/>
      <c r="F191" s="619"/>
      <c r="G191" s="620"/>
      <c r="H191" s="620"/>
      <c r="I191" s="620"/>
      <c r="J191" s="620">
        <v>20</v>
      </c>
      <c r="K191" s="620">
        <v>55</v>
      </c>
      <c r="L191" s="620">
        <v>20</v>
      </c>
      <c r="M191" s="625"/>
    </row>
    <row r="192" spans="1:13" ht="15.75">
      <c r="A192" s="600"/>
      <c r="B192" s="616" t="s">
        <v>486</v>
      </c>
      <c r="C192" s="627" t="s">
        <v>21</v>
      </c>
      <c r="D192" s="627"/>
      <c r="E192" s="640"/>
      <c r="F192" s="619"/>
      <c r="G192" s="620"/>
      <c r="H192" s="620"/>
      <c r="I192" s="620"/>
      <c r="J192" s="620">
        <v>35</v>
      </c>
      <c r="K192" s="620">
        <v>65</v>
      </c>
      <c r="L192" s="620">
        <v>45</v>
      </c>
      <c r="M192" s="625"/>
    </row>
    <row r="193" spans="1:13" ht="15.75">
      <c r="A193" s="600"/>
      <c r="B193" s="616" t="s">
        <v>487</v>
      </c>
      <c r="C193" s="627" t="s">
        <v>21</v>
      </c>
      <c r="D193" s="627"/>
      <c r="E193" s="640"/>
      <c r="F193" s="619"/>
      <c r="G193" s="620"/>
      <c r="H193" s="620"/>
      <c r="I193" s="620"/>
      <c r="J193" s="620">
        <v>45</v>
      </c>
      <c r="K193" s="620"/>
      <c r="L193" s="620">
        <v>55</v>
      </c>
      <c r="M193" s="625"/>
    </row>
    <row r="194" spans="1:13" ht="15.75">
      <c r="A194" s="600"/>
      <c r="B194" s="616" t="s">
        <v>488</v>
      </c>
      <c r="C194" s="627" t="s">
        <v>373</v>
      </c>
      <c r="D194" s="627"/>
      <c r="E194" s="640"/>
      <c r="F194" s="619"/>
      <c r="G194" s="620"/>
      <c r="H194" s="620"/>
      <c r="I194" s="620"/>
      <c r="J194" s="620">
        <v>15</v>
      </c>
      <c r="K194" s="620">
        <v>16</v>
      </c>
      <c r="L194" s="620"/>
      <c r="M194" s="625"/>
    </row>
    <row r="195" spans="1:13" ht="15.75">
      <c r="A195" s="600"/>
      <c r="B195" s="616" t="s">
        <v>489</v>
      </c>
      <c r="C195" s="627" t="s">
        <v>373</v>
      </c>
      <c r="D195" s="627"/>
      <c r="E195" s="640"/>
      <c r="F195" s="619"/>
      <c r="G195" s="620"/>
      <c r="H195" s="620"/>
      <c r="I195" s="620"/>
      <c r="J195" s="620">
        <v>20</v>
      </c>
      <c r="K195" s="620">
        <v>24</v>
      </c>
      <c r="L195" s="620">
        <v>15</v>
      </c>
      <c r="M195" s="625"/>
    </row>
    <row r="196" spans="1:13" ht="15.75">
      <c r="A196" s="600"/>
      <c r="B196" s="616" t="s">
        <v>490</v>
      </c>
      <c r="C196" s="627" t="s">
        <v>373</v>
      </c>
      <c r="D196" s="627"/>
      <c r="E196" s="640"/>
      <c r="F196" s="619"/>
      <c r="G196" s="620"/>
      <c r="H196" s="620"/>
      <c r="I196" s="620"/>
      <c r="J196" s="620">
        <v>18</v>
      </c>
      <c r="K196" s="620">
        <v>20</v>
      </c>
      <c r="L196" s="620">
        <v>15</v>
      </c>
      <c r="M196" s="625"/>
    </row>
    <row r="197" spans="1:13" ht="15.75">
      <c r="A197" s="600"/>
      <c r="B197" s="616" t="s">
        <v>491</v>
      </c>
      <c r="C197" s="627" t="s">
        <v>373</v>
      </c>
      <c r="D197" s="627"/>
      <c r="E197" s="640"/>
      <c r="F197" s="619"/>
      <c r="G197" s="620"/>
      <c r="H197" s="620"/>
      <c r="I197" s="620"/>
      <c r="J197" s="620">
        <v>30</v>
      </c>
      <c r="K197" s="620">
        <v>45</v>
      </c>
      <c r="L197" s="620">
        <v>35</v>
      </c>
      <c r="M197" s="625"/>
    </row>
    <row r="198" spans="1:13" ht="15.75">
      <c r="A198" s="600"/>
      <c r="B198" s="616" t="s">
        <v>492</v>
      </c>
      <c r="C198" s="627" t="s">
        <v>373</v>
      </c>
      <c r="D198" s="627"/>
      <c r="E198" s="640"/>
      <c r="F198" s="619"/>
      <c r="G198" s="620"/>
      <c r="H198" s="620"/>
      <c r="I198" s="620"/>
      <c r="J198" s="620">
        <v>18</v>
      </c>
      <c r="K198" s="620">
        <v>36</v>
      </c>
      <c r="L198" s="620">
        <v>25</v>
      </c>
      <c r="M198" s="625"/>
    </row>
    <row r="199" spans="1:13" ht="15.75">
      <c r="A199" s="600"/>
      <c r="B199" s="616" t="s">
        <v>493</v>
      </c>
      <c r="C199" s="627" t="s">
        <v>21</v>
      </c>
      <c r="D199" s="627"/>
      <c r="E199" s="640"/>
      <c r="F199" s="619"/>
      <c r="G199" s="620"/>
      <c r="H199" s="620"/>
      <c r="I199" s="620"/>
      <c r="J199" s="620">
        <v>18</v>
      </c>
      <c r="K199" s="620">
        <v>36</v>
      </c>
      <c r="L199" s="620">
        <v>20</v>
      </c>
      <c r="M199" s="625"/>
    </row>
    <row r="200" spans="1:13" ht="15.75">
      <c r="A200" s="600"/>
      <c r="B200" s="616" t="s">
        <v>494</v>
      </c>
      <c r="C200" s="627" t="s">
        <v>404</v>
      </c>
      <c r="D200" s="627"/>
      <c r="E200" s="640"/>
      <c r="F200" s="619"/>
      <c r="G200" s="620"/>
      <c r="H200" s="620"/>
      <c r="I200" s="620"/>
      <c r="J200" s="620">
        <v>45</v>
      </c>
      <c r="K200" s="620">
        <v>85</v>
      </c>
      <c r="L200" s="620">
        <v>60</v>
      </c>
      <c r="M200" s="625"/>
    </row>
    <row r="201" spans="1:13" ht="15.75">
      <c r="A201" s="600"/>
      <c r="B201" s="616" t="s">
        <v>495</v>
      </c>
      <c r="C201" s="627" t="s">
        <v>373</v>
      </c>
      <c r="D201" s="627"/>
      <c r="E201" s="640"/>
      <c r="F201" s="619"/>
      <c r="G201" s="620">
        <v>2</v>
      </c>
      <c r="H201" s="620">
        <v>6.5</v>
      </c>
      <c r="I201" s="620"/>
      <c r="J201" s="620">
        <v>3.5</v>
      </c>
      <c r="K201" s="620">
        <v>15</v>
      </c>
      <c r="L201" s="620">
        <v>3</v>
      </c>
      <c r="M201" s="625"/>
    </row>
    <row r="202" spans="1:13" ht="15.75">
      <c r="A202" s="600"/>
      <c r="B202" s="616" t="s">
        <v>496</v>
      </c>
      <c r="C202" s="627" t="s">
        <v>373</v>
      </c>
      <c r="D202" s="627"/>
      <c r="E202" s="640"/>
      <c r="F202" s="619"/>
      <c r="G202" s="620"/>
      <c r="H202" s="620">
        <v>2</v>
      </c>
      <c r="I202" s="620"/>
      <c r="J202" s="620">
        <v>15</v>
      </c>
      <c r="K202" s="620"/>
      <c r="L202" s="620"/>
      <c r="M202" s="625"/>
    </row>
    <row r="203" spans="1:13" ht="15.75">
      <c r="A203" s="600"/>
      <c r="B203" s="616" t="s">
        <v>497</v>
      </c>
      <c r="C203" s="627"/>
      <c r="D203" s="627"/>
      <c r="E203" s="640"/>
      <c r="F203" s="619"/>
      <c r="G203" s="620"/>
      <c r="H203" s="620"/>
      <c r="I203" s="620"/>
      <c r="J203" s="620">
        <v>25</v>
      </c>
      <c r="K203" s="620">
        <v>15</v>
      </c>
      <c r="L203" s="620">
        <v>9</v>
      </c>
      <c r="M203" s="625"/>
    </row>
    <row r="204" spans="1:13" ht="15.75">
      <c r="A204" s="600"/>
      <c r="B204" s="616" t="s">
        <v>498</v>
      </c>
      <c r="C204" s="627" t="s">
        <v>373</v>
      </c>
      <c r="D204" s="627"/>
      <c r="E204" s="640"/>
      <c r="F204" s="619"/>
      <c r="G204" s="620"/>
      <c r="H204" s="620">
        <v>2.25</v>
      </c>
      <c r="I204" s="620"/>
      <c r="J204" s="620"/>
      <c r="K204" s="620"/>
      <c r="L204" s="620"/>
      <c r="M204" s="625"/>
    </row>
    <row r="205" spans="1:13" ht="15.75">
      <c r="A205" s="600"/>
      <c r="B205" s="616" t="s">
        <v>499</v>
      </c>
      <c r="C205" s="627" t="s">
        <v>373</v>
      </c>
      <c r="D205" s="627"/>
      <c r="E205" s="640"/>
      <c r="F205" s="619"/>
      <c r="G205" s="620"/>
      <c r="H205" s="620"/>
      <c r="I205" s="620"/>
      <c r="J205" s="620">
        <v>45</v>
      </c>
      <c r="K205" s="620">
        <v>115</v>
      </c>
      <c r="L205" s="620">
        <v>57</v>
      </c>
      <c r="M205" s="625"/>
    </row>
    <row r="206" spans="1:13" ht="15.75">
      <c r="A206" s="600"/>
      <c r="B206" s="616" t="s">
        <v>500</v>
      </c>
      <c r="C206" s="627" t="s">
        <v>373</v>
      </c>
      <c r="D206" s="627"/>
      <c r="E206" s="640"/>
      <c r="F206" s="619"/>
      <c r="G206" s="620"/>
      <c r="H206" s="620"/>
      <c r="I206" s="620"/>
      <c r="J206" s="620">
        <v>15</v>
      </c>
      <c r="K206" s="620">
        <v>25</v>
      </c>
      <c r="L206" s="620">
        <v>15</v>
      </c>
      <c r="M206" s="625"/>
    </row>
    <row r="207" spans="1:13" ht="15.75">
      <c r="A207" s="600"/>
      <c r="B207" s="616" t="s">
        <v>501</v>
      </c>
      <c r="C207" s="627" t="s">
        <v>21</v>
      </c>
      <c r="D207" s="627"/>
      <c r="E207" s="640"/>
      <c r="F207" s="619"/>
      <c r="G207" s="620"/>
      <c r="H207" s="620">
        <v>12</v>
      </c>
      <c r="I207" s="620"/>
      <c r="J207" s="620">
        <v>15</v>
      </c>
      <c r="K207" s="620"/>
      <c r="L207" s="620"/>
      <c r="M207" s="625"/>
    </row>
    <row r="208" spans="1:13" ht="15.75">
      <c r="A208" s="600"/>
      <c r="B208" s="616" t="s">
        <v>502</v>
      </c>
      <c r="C208" s="627" t="s">
        <v>373</v>
      </c>
      <c r="D208" s="627"/>
      <c r="E208" s="640"/>
      <c r="F208" s="619"/>
      <c r="G208" s="620"/>
      <c r="H208" s="620"/>
      <c r="I208" s="620"/>
      <c r="J208" s="620">
        <v>20</v>
      </c>
      <c r="K208" s="620"/>
      <c r="L208" s="620">
        <v>80</v>
      </c>
      <c r="M208" s="625"/>
    </row>
    <row r="209" spans="1:13" ht="15.75">
      <c r="A209" s="600"/>
      <c r="B209" s="616" t="s">
        <v>503</v>
      </c>
      <c r="C209" s="627" t="s">
        <v>373</v>
      </c>
      <c r="D209" s="627"/>
      <c r="E209" s="640"/>
      <c r="F209" s="619"/>
      <c r="G209" s="620"/>
      <c r="H209" s="620"/>
      <c r="I209" s="620"/>
      <c r="J209" s="620">
        <v>25</v>
      </c>
      <c r="K209" s="620">
        <v>45</v>
      </c>
      <c r="L209" s="620">
        <v>25</v>
      </c>
      <c r="M209" s="625"/>
    </row>
    <row r="210" spans="1:13" ht="15.75">
      <c r="A210" s="600"/>
      <c r="B210" s="616" t="s">
        <v>504</v>
      </c>
      <c r="C210" s="627" t="s">
        <v>373</v>
      </c>
      <c r="D210" s="627"/>
      <c r="E210" s="640"/>
      <c r="F210" s="619"/>
      <c r="G210" s="620"/>
      <c r="H210" s="620">
        <v>19.2</v>
      </c>
      <c r="I210" s="620"/>
      <c r="J210" s="620">
        <v>18</v>
      </c>
      <c r="K210" s="620">
        <v>24</v>
      </c>
      <c r="L210" s="620">
        <v>16</v>
      </c>
      <c r="M210" s="625"/>
    </row>
    <row r="211" spans="1:13" ht="15.75">
      <c r="A211" s="600"/>
      <c r="B211" s="616" t="s">
        <v>505</v>
      </c>
      <c r="C211" s="627" t="s">
        <v>373</v>
      </c>
      <c r="D211" s="627"/>
      <c r="E211" s="641"/>
      <c r="F211" s="619"/>
      <c r="G211" s="620"/>
      <c r="H211" s="620">
        <v>36.75</v>
      </c>
      <c r="I211" s="620"/>
      <c r="J211" s="620">
        <v>25</v>
      </c>
      <c r="K211" s="620">
        <v>38</v>
      </c>
      <c r="L211" s="620">
        <v>34</v>
      </c>
      <c r="M211" s="625"/>
    </row>
    <row r="212" spans="1:13" ht="15.75">
      <c r="A212" s="600"/>
      <c r="B212" s="616" t="s">
        <v>506</v>
      </c>
      <c r="C212" s="627" t="s">
        <v>21</v>
      </c>
      <c r="D212" s="627"/>
      <c r="E212" s="640"/>
      <c r="F212" s="619"/>
      <c r="G212" s="620"/>
      <c r="H212" s="620"/>
      <c r="I212" s="620"/>
      <c r="J212" s="620">
        <v>45</v>
      </c>
      <c r="K212" s="620">
        <v>65</v>
      </c>
      <c r="L212" s="620">
        <v>57</v>
      </c>
      <c r="M212" s="625"/>
    </row>
    <row r="213" spans="1:13" ht="15.75">
      <c r="A213" s="600"/>
      <c r="B213" s="616" t="s">
        <v>507</v>
      </c>
      <c r="C213" s="627" t="s">
        <v>373</v>
      </c>
      <c r="D213" s="627"/>
      <c r="E213" s="640"/>
      <c r="F213" s="619"/>
      <c r="G213" s="620"/>
      <c r="H213" s="620"/>
      <c r="I213" s="620"/>
      <c r="J213" s="620">
        <v>15</v>
      </c>
      <c r="K213" s="620">
        <v>20</v>
      </c>
      <c r="L213" s="620">
        <v>15</v>
      </c>
      <c r="M213" s="625"/>
    </row>
    <row r="214" spans="1:13" ht="15.75">
      <c r="A214" s="600"/>
      <c r="B214" s="616" t="s">
        <v>508</v>
      </c>
      <c r="C214" s="627" t="s">
        <v>373</v>
      </c>
      <c r="D214" s="627"/>
      <c r="E214" s="640"/>
      <c r="F214" s="619"/>
      <c r="G214" s="620"/>
      <c r="H214" s="620"/>
      <c r="I214" s="620"/>
      <c r="J214" s="620">
        <v>30</v>
      </c>
      <c r="K214" s="620">
        <v>16</v>
      </c>
      <c r="L214" s="620">
        <v>15</v>
      </c>
      <c r="M214" s="625"/>
    </row>
    <row r="215" spans="1:13" ht="15.75">
      <c r="A215" s="600"/>
      <c r="B215" s="616" t="s">
        <v>509</v>
      </c>
      <c r="C215" s="627" t="s">
        <v>373</v>
      </c>
      <c r="D215" s="627"/>
      <c r="E215" s="640"/>
      <c r="F215" s="619"/>
      <c r="G215" s="620"/>
      <c r="H215" s="620"/>
      <c r="I215" s="620"/>
      <c r="J215" s="620">
        <v>90</v>
      </c>
      <c r="K215" s="620"/>
      <c r="L215" s="620">
        <v>85</v>
      </c>
      <c r="M215" s="625"/>
    </row>
    <row r="216" spans="1:13" ht="15.75">
      <c r="A216" s="600"/>
      <c r="B216" s="616" t="s">
        <v>510</v>
      </c>
      <c r="C216" s="627" t="s">
        <v>21</v>
      </c>
      <c r="D216" s="627"/>
      <c r="E216" s="640"/>
      <c r="F216" s="619"/>
      <c r="G216" s="620"/>
      <c r="H216" s="620"/>
      <c r="I216" s="620"/>
      <c r="J216" s="620">
        <v>15</v>
      </c>
      <c r="K216" s="620">
        <v>16</v>
      </c>
      <c r="L216" s="620">
        <v>15</v>
      </c>
      <c r="M216" s="625"/>
    </row>
    <row r="217" spans="1:13" ht="15.75">
      <c r="A217" s="600"/>
      <c r="B217" s="616" t="s">
        <v>511</v>
      </c>
      <c r="C217" s="627" t="s">
        <v>350</v>
      </c>
      <c r="D217" s="627"/>
      <c r="E217" s="640"/>
      <c r="F217" s="619"/>
      <c r="G217" s="620"/>
      <c r="H217" s="620"/>
      <c r="I217" s="620"/>
      <c r="J217" s="620">
        <v>290</v>
      </c>
      <c r="K217" s="620">
        <v>690</v>
      </c>
      <c r="L217" s="620">
        <v>395</v>
      </c>
      <c r="M217" s="625"/>
    </row>
    <row r="218" spans="1:13" ht="15.75">
      <c r="A218" s="600"/>
      <c r="B218" s="616" t="s">
        <v>512</v>
      </c>
      <c r="C218" s="627" t="s">
        <v>350</v>
      </c>
      <c r="D218" s="627"/>
      <c r="E218" s="640"/>
      <c r="F218" s="619"/>
      <c r="G218" s="620"/>
      <c r="H218" s="620"/>
      <c r="I218" s="620"/>
      <c r="J218" s="620">
        <v>220</v>
      </c>
      <c r="K218" s="620">
        <v>280</v>
      </c>
      <c r="L218" s="620">
        <v>280</v>
      </c>
      <c r="M218" s="625"/>
    </row>
    <row r="219" spans="1:13" ht="15.75">
      <c r="A219" s="600"/>
      <c r="B219" s="616" t="s">
        <v>513</v>
      </c>
      <c r="C219" s="617" t="s">
        <v>350</v>
      </c>
      <c r="D219" s="617"/>
      <c r="E219" s="640"/>
      <c r="F219" s="619"/>
      <c r="G219" s="620"/>
      <c r="H219" s="620"/>
      <c r="I219" s="620"/>
      <c r="J219" s="620">
        <v>70</v>
      </c>
      <c r="K219" s="620">
        <v>80</v>
      </c>
      <c r="L219" s="620">
        <v>80</v>
      </c>
      <c r="M219" s="625"/>
    </row>
    <row r="220" spans="1:13" ht="15.75">
      <c r="A220" s="600"/>
      <c r="B220" s="616" t="s">
        <v>514</v>
      </c>
      <c r="C220" s="617" t="s">
        <v>515</v>
      </c>
      <c r="D220" s="617"/>
      <c r="E220" s="640"/>
      <c r="F220" s="619"/>
      <c r="G220" s="620"/>
      <c r="H220" s="620"/>
      <c r="I220" s="620"/>
      <c r="J220" s="620">
        <v>120</v>
      </c>
      <c r="K220" s="620">
        <v>120</v>
      </c>
      <c r="L220" s="620">
        <v>115</v>
      </c>
      <c r="M220" s="625"/>
    </row>
    <row r="221" spans="1:13" ht="15.75">
      <c r="A221" s="600"/>
      <c r="B221" s="616" t="s">
        <v>516</v>
      </c>
      <c r="C221" s="617" t="s">
        <v>350</v>
      </c>
      <c r="D221" s="617"/>
      <c r="E221" s="640"/>
      <c r="F221" s="619"/>
      <c r="G221" s="620"/>
      <c r="H221" s="620"/>
      <c r="I221" s="620"/>
      <c r="J221" s="620">
        <v>105</v>
      </c>
      <c r="K221" s="620">
        <v>120</v>
      </c>
      <c r="L221" s="620">
        <v>115</v>
      </c>
      <c r="M221" s="625"/>
    </row>
    <row r="222" spans="1:13" ht="15.75">
      <c r="A222" s="600"/>
      <c r="B222" s="616" t="s">
        <v>517</v>
      </c>
      <c r="C222" s="617" t="s">
        <v>350</v>
      </c>
      <c r="D222" s="617"/>
      <c r="E222" s="640"/>
      <c r="F222" s="619"/>
      <c r="G222" s="620"/>
      <c r="H222" s="620"/>
      <c r="I222" s="620"/>
      <c r="J222" s="620">
        <v>250</v>
      </c>
      <c r="K222" s="620">
        <v>330</v>
      </c>
      <c r="L222" s="620">
        <v>280</v>
      </c>
      <c r="M222" s="625"/>
    </row>
    <row r="223" spans="1:13" ht="15.75">
      <c r="A223" s="600"/>
      <c r="B223" s="616" t="s">
        <v>518</v>
      </c>
      <c r="C223" s="617" t="s">
        <v>350</v>
      </c>
      <c r="D223" s="617"/>
      <c r="E223" s="640"/>
      <c r="F223" s="619"/>
      <c r="G223" s="620"/>
      <c r="H223" s="620"/>
      <c r="I223" s="620"/>
      <c r="J223" s="620">
        <v>450</v>
      </c>
      <c r="K223" s="620">
        <v>605</v>
      </c>
      <c r="L223" s="620">
        <v>600</v>
      </c>
      <c r="M223" s="625"/>
    </row>
    <row r="224" spans="1:13" ht="15.75">
      <c r="A224" s="600"/>
      <c r="B224" s="616" t="s">
        <v>519</v>
      </c>
      <c r="C224" s="617" t="s">
        <v>350</v>
      </c>
      <c r="D224" s="617"/>
      <c r="E224" s="640"/>
      <c r="F224" s="619"/>
      <c r="G224" s="620"/>
      <c r="H224" s="620"/>
      <c r="I224" s="620"/>
      <c r="J224" s="620">
        <v>625</v>
      </c>
      <c r="K224" s="620">
        <v>790</v>
      </c>
      <c r="L224" s="620">
        <v>800</v>
      </c>
      <c r="M224" s="625"/>
    </row>
    <row r="225" spans="1:13" ht="15.75">
      <c r="A225" s="600"/>
      <c r="B225" s="616" t="s">
        <v>520</v>
      </c>
      <c r="C225" s="627" t="s">
        <v>21</v>
      </c>
      <c r="D225" s="627"/>
      <c r="E225" s="640"/>
      <c r="F225" s="619"/>
      <c r="G225" s="620"/>
      <c r="H225" s="620"/>
      <c r="I225" s="620"/>
      <c r="J225" s="620">
        <v>45</v>
      </c>
      <c r="K225" s="620">
        <v>110</v>
      </c>
      <c r="L225" s="620">
        <v>60</v>
      </c>
      <c r="M225" s="625"/>
    </row>
    <row r="226" spans="1:13" ht="15.75">
      <c r="A226" s="600"/>
      <c r="B226" s="616" t="s">
        <v>521</v>
      </c>
      <c r="C226" s="627" t="s">
        <v>350</v>
      </c>
      <c r="D226" s="627"/>
      <c r="E226" s="640"/>
      <c r="F226" s="619"/>
      <c r="G226" s="620"/>
      <c r="H226" s="620"/>
      <c r="I226" s="620"/>
      <c r="J226" s="620">
        <v>250</v>
      </c>
      <c r="K226" s="620"/>
      <c r="L226" s="620">
        <v>280</v>
      </c>
      <c r="M226" s="625"/>
    </row>
    <row r="227" spans="1:13" ht="15.75">
      <c r="A227" s="600"/>
      <c r="B227" s="616" t="s">
        <v>522</v>
      </c>
      <c r="C227" s="627" t="s">
        <v>350</v>
      </c>
      <c r="D227" s="627"/>
      <c r="E227" s="640"/>
      <c r="F227" s="619"/>
      <c r="G227" s="620"/>
      <c r="H227" s="620"/>
      <c r="I227" s="620"/>
      <c r="J227" s="620">
        <v>625</v>
      </c>
      <c r="K227" s="620"/>
      <c r="L227" s="620">
        <v>800</v>
      </c>
      <c r="M227" s="625"/>
    </row>
    <row r="228" spans="1:13" ht="15.75">
      <c r="A228" s="600"/>
      <c r="B228" s="616" t="s">
        <v>523</v>
      </c>
      <c r="C228" s="627" t="s">
        <v>524</v>
      </c>
      <c r="D228" s="627"/>
      <c r="E228" s="640"/>
      <c r="F228" s="619"/>
      <c r="G228" s="620"/>
      <c r="H228" s="620"/>
      <c r="I228" s="620"/>
      <c r="J228" s="620">
        <v>45</v>
      </c>
      <c r="K228" s="620">
        <v>60</v>
      </c>
      <c r="L228" s="620">
        <v>50</v>
      </c>
      <c r="M228" s="625"/>
    </row>
    <row r="229" spans="1:13" ht="15.75">
      <c r="A229" s="600"/>
      <c r="B229" s="616" t="s">
        <v>525</v>
      </c>
      <c r="C229" s="627" t="s">
        <v>524</v>
      </c>
      <c r="D229" s="627"/>
      <c r="E229" s="640"/>
      <c r="F229" s="619"/>
      <c r="G229" s="620"/>
      <c r="H229" s="620"/>
      <c r="I229" s="620"/>
      <c r="J229" s="620">
        <v>130</v>
      </c>
      <c r="K229" s="620">
        <v>145</v>
      </c>
      <c r="L229" s="620">
        <v>195</v>
      </c>
      <c r="M229" s="625"/>
    </row>
    <row r="230" spans="1:13" ht="15.75">
      <c r="A230" s="600"/>
      <c r="B230" s="616" t="s">
        <v>526</v>
      </c>
      <c r="C230" s="627" t="s">
        <v>373</v>
      </c>
      <c r="D230" s="627"/>
      <c r="E230" s="640"/>
      <c r="F230" s="619"/>
      <c r="G230" s="620"/>
      <c r="H230" s="620"/>
      <c r="I230" s="620"/>
      <c r="J230" s="620">
        <v>35</v>
      </c>
      <c r="K230" s="620">
        <v>49</v>
      </c>
      <c r="L230" s="620">
        <v>35</v>
      </c>
      <c r="M230" s="625"/>
    </row>
    <row r="231" spans="1:13" ht="15.75">
      <c r="A231" s="600"/>
      <c r="B231" s="616" t="s">
        <v>527</v>
      </c>
      <c r="C231" s="627" t="s">
        <v>373</v>
      </c>
      <c r="D231" s="627"/>
      <c r="E231" s="640"/>
      <c r="F231" s="619"/>
      <c r="G231" s="620"/>
      <c r="H231" s="620"/>
      <c r="I231" s="620"/>
      <c r="J231" s="620">
        <v>30</v>
      </c>
      <c r="K231" s="620">
        <v>40</v>
      </c>
      <c r="L231" s="620">
        <v>25</v>
      </c>
      <c r="M231" s="625"/>
    </row>
    <row r="232" spans="1:13" ht="15.75">
      <c r="A232" s="600"/>
      <c r="B232" s="616" t="s">
        <v>528</v>
      </c>
      <c r="C232" s="627" t="s">
        <v>373</v>
      </c>
      <c r="D232" s="627"/>
      <c r="E232" s="640"/>
      <c r="F232" s="619"/>
      <c r="G232" s="620"/>
      <c r="H232" s="620"/>
      <c r="I232" s="620"/>
      <c r="J232" s="620">
        <v>48</v>
      </c>
      <c r="K232" s="620">
        <v>68</v>
      </c>
      <c r="L232" s="620">
        <v>60</v>
      </c>
      <c r="M232" s="625"/>
    </row>
    <row r="233" spans="1:13" ht="15.75">
      <c r="A233" s="600"/>
      <c r="B233" s="616" t="s">
        <v>529</v>
      </c>
      <c r="C233" s="627" t="s">
        <v>373</v>
      </c>
      <c r="D233" s="627"/>
      <c r="E233" s="640"/>
      <c r="F233" s="619"/>
      <c r="G233" s="620"/>
      <c r="H233" s="620"/>
      <c r="I233" s="620"/>
      <c r="J233" s="620">
        <v>75</v>
      </c>
      <c r="K233" s="620">
        <v>105</v>
      </c>
      <c r="L233" s="620">
        <v>100</v>
      </c>
      <c r="M233" s="625"/>
    </row>
    <row r="234" spans="1:13" ht="15.75">
      <c r="A234" s="600"/>
      <c r="B234" s="616" t="s">
        <v>530</v>
      </c>
      <c r="C234" s="627" t="s">
        <v>21</v>
      </c>
      <c r="D234" s="627"/>
      <c r="E234" s="640"/>
      <c r="F234" s="619"/>
      <c r="G234" s="620"/>
      <c r="H234" s="620"/>
      <c r="I234" s="620"/>
      <c r="J234" s="620">
        <v>75</v>
      </c>
      <c r="K234" s="620"/>
      <c r="L234" s="620">
        <v>100</v>
      </c>
      <c r="M234" s="625"/>
    </row>
    <row r="235" spans="1:13" ht="15.75">
      <c r="A235" s="600"/>
      <c r="B235" s="616" t="s">
        <v>531</v>
      </c>
      <c r="C235" s="627" t="s">
        <v>21</v>
      </c>
      <c r="D235" s="627"/>
      <c r="E235" s="640"/>
      <c r="F235" s="619"/>
      <c r="G235" s="620"/>
      <c r="H235" s="620"/>
      <c r="I235" s="620"/>
      <c r="J235" s="620">
        <v>15</v>
      </c>
      <c r="K235" s="620">
        <v>19.5</v>
      </c>
      <c r="L235" s="620">
        <v>15</v>
      </c>
      <c r="M235" s="625"/>
    </row>
    <row r="236" spans="1:13" ht="15.75">
      <c r="A236" s="600"/>
      <c r="B236" s="616" t="s">
        <v>532</v>
      </c>
      <c r="C236" s="627" t="s">
        <v>373</v>
      </c>
      <c r="D236" s="627"/>
      <c r="E236" s="640"/>
      <c r="F236" s="619"/>
      <c r="G236" s="620"/>
      <c r="H236" s="620"/>
      <c r="I236" s="620"/>
      <c r="J236" s="620">
        <v>18</v>
      </c>
      <c r="K236" s="620">
        <v>20.5</v>
      </c>
      <c r="L236" s="620">
        <v>15</v>
      </c>
      <c r="M236" s="625"/>
    </row>
    <row r="237" spans="1:13" ht="15.75">
      <c r="A237" s="600"/>
      <c r="B237" s="616" t="s">
        <v>533</v>
      </c>
      <c r="C237" s="627" t="s">
        <v>373</v>
      </c>
      <c r="D237" s="627"/>
      <c r="E237" s="640"/>
      <c r="F237" s="619"/>
      <c r="G237" s="620"/>
      <c r="H237" s="620"/>
      <c r="I237" s="620"/>
      <c r="J237" s="620">
        <v>30</v>
      </c>
      <c r="K237" s="620"/>
      <c r="L237" s="620">
        <v>25</v>
      </c>
      <c r="M237" s="625"/>
    </row>
    <row r="238" spans="1:13" ht="15.75">
      <c r="A238" s="600"/>
      <c r="B238" s="616" t="s">
        <v>534</v>
      </c>
      <c r="C238" s="627" t="s">
        <v>373</v>
      </c>
      <c r="D238" s="627"/>
      <c r="E238" s="640"/>
      <c r="F238" s="619"/>
      <c r="G238" s="620"/>
      <c r="H238" s="620"/>
      <c r="I238" s="620"/>
      <c r="J238" s="620">
        <v>48</v>
      </c>
      <c r="K238" s="620"/>
      <c r="L238" s="620">
        <v>60</v>
      </c>
      <c r="M238" s="625"/>
    </row>
    <row r="239" spans="1:13" ht="15.75">
      <c r="A239" s="600"/>
      <c r="B239" s="616" t="s">
        <v>535</v>
      </c>
      <c r="C239" s="627" t="s">
        <v>373</v>
      </c>
      <c r="D239" s="627"/>
      <c r="E239" s="640"/>
      <c r="F239" s="619"/>
      <c r="G239" s="620"/>
      <c r="H239" s="620"/>
      <c r="I239" s="620"/>
      <c r="J239" s="620">
        <v>20</v>
      </c>
      <c r="K239" s="620">
        <v>25</v>
      </c>
      <c r="L239" s="620">
        <v>15</v>
      </c>
      <c r="M239" s="625"/>
    </row>
    <row r="240" spans="1:13" ht="15.75">
      <c r="A240" s="600"/>
      <c r="B240" s="616" t="s">
        <v>536</v>
      </c>
      <c r="C240" s="627" t="s">
        <v>21</v>
      </c>
      <c r="D240" s="627"/>
      <c r="E240" s="641"/>
      <c r="F240" s="619"/>
      <c r="G240" s="620"/>
      <c r="H240" s="620"/>
      <c r="I240" s="620"/>
      <c r="J240" s="620">
        <v>65</v>
      </c>
      <c r="K240" s="620">
        <v>90</v>
      </c>
      <c r="L240" s="620">
        <v>85</v>
      </c>
      <c r="M240" s="625"/>
    </row>
    <row r="241" spans="1:13" ht="15.75">
      <c r="A241" s="600"/>
      <c r="B241" s="616" t="s">
        <v>537</v>
      </c>
      <c r="C241" s="627" t="s">
        <v>373</v>
      </c>
      <c r="D241" s="627"/>
      <c r="E241" s="641"/>
      <c r="F241" s="619"/>
      <c r="G241" s="620"/>
      <c r="H241" s="620"/>
      <c r="I241" s="620"/>
      <c r="J241" s="620">
        <v>50</v>
      </c>
      <c r="K241" s="620">
        <v>65</v>
      </c>
      <c r="L241" s="620">
        <v>60</v>
      </c>
      <c r="M241" s="625"/>
    </row>
    <row r="242" spans="1:13" ht="15.75">
      <c r="A242" s="600"/>
      <c r="B242" s="616" t="s">
        <v>538</v>
      </c>
      <c r="C242" s="627" t="s">
        <v>373</v>
      </c>
      <c r="D242" s="627"/>
      <c r="E242" s="641"/>
      <c r="F242" s="619"/>
      <c r="G242" s="620"/>
      <c r="H242" s="620"/>
      <c r="I242" s="620"/>
      <c r="J242" s="620">
        <v>75</v>
      </c>
      <c r="K242" s="620">
        <v>125</v>
      </c>
      <c r="L242" s="620">
        <v>85</v>
      </c>
      <c r="M242" s="625"/>
    </row>
    <row r="243" spans="1:13" ht="15.75">
      <c r="A243" s="600"/>
      <c r="B243" s="616" t="s">
        <v>539</v>
      </c>
      <c r="C243" s="627" t="s">
        <v>373</v>
      </c>
      <c r="D243" s="627"/>
      <c r="E243" s="641"/>
      <c r="F243" s="619"/>
      <c r="G243" s="620"/>
      <c r="H243" s="620"/>
      <c r="I243" s="620"/>
      <c r="J243" s="620">
        <v>75</v>
      </c>
      <c r="K243" s="620">
        <v>45</v>
      </c>
      <c r="L243" s="620"/>
      <c r="M243" s="625"/>
    </row>
    <row r="244" spans="1:13" ht="15.75">
      <c r="A244" s="600"/>
      <c r="B244" s="616" t="s">
        <v>540</v>
      </c>
      <c r="C244" s="627" t="s">
        <v>373</v>
      </c>
      <c r="D244" s="627"/>
      <c r="E244" s="641"/>
      <c r="F244" s="619"/>
      <c r="G244" s="620"/>
      <c r="H244" s="620"/>
      <c r="I244" s="620"/>
      <c r="J244" s="620">
        <v>30</v>
      </c>
      <c r="K244" s="620">
        <v>80</v>
      </c>
      <c r="L244" s="620">
        <v>33</v>
      </c>
      <c r="M244" s="625"/>
    </row>
    <row r="245" spans="1:13" ht="15.75">
      <c r="A245" s="600"/>
      <c r="B245" s="616" t="s">
        <v>541</v>
      </c>
      <c r="C245" s="627" t="s">
        <v>373</v>
      </c>
      <c r="D245" s="627"/>
      <c r="E245" s="641"/>
      <c r="F245" s="619"/>
      <c r="G245" s="620"/>
      <c r="H245" s="620"/>
      <c r="I245" s="620"/>
      <c r="J245" s="620">
        <v>65</v>
      </c>
      <c r="K245" s="620">
        <v>125</v>
      </c>
      <c r="L245" s="620">
        <v>80</v>
      </c>
      <c r="M245" s="625"/>
    </row>
    <row r="246" spans="1:13" ht="15.75">
      <c r="A246" s="600"/>
      <c r="B246" s="616" t="s">
        <v>542</v>
      </c>
      <c r="C246" s="627" t="s">
        <v>373</v>
      </c>
      <c r="D246" s="627"/>
      <c r="E246" s="640"/>
      <c r="F246" s="619"/>
      <c r="G246" s="620"/>
      <c r="H246" s="620"/>
      <c r="I246" s="620"/>
      <c r="J246" s="620">
        <v>30</v>
      </c>
      <c r="K246" s="620"/>
      <c r="L246" s="620">
        <v>120</v>
      </c>
      <c r="M246" s="625"/>
    </row>
    <row r="247" spans="1:13" ht="15.75">
      <c r="A247" s="600"/>
      <c r="B247" s="616" t="s">
        <v>543</v>
      </c>
      <c r="C247" s="627" t="s">
        <v>21</v>
      </c>
      <c r="D247" s="627"/>
      <c r="E247" s="640"/>
      <c r="F247" s="619"/>
      <c r="G247" s="620"/>
      <c r="H247" s="620"/>
      <c r="I247" s="620"/>
      <c r="J247" s="620">
        <v>30</v>
      </c>
      <c r="K247" s="620">
        <v>115</v>
      </c>
      <c r="L247" s="620">
        <v>33</v>
      </c>
      <c r="M247" s="625"/>
    </row>
    <row r="248" spans="1:13" ht="15.75">
      <c r="A248" s="600"/>
      <c r="B248" s="616" t="s">
        <v>544</v>
      </c>
      <c r="C248" s="627" t="s">
        <v>21</v>
      </c>
      <c r="D248" s="627"/>
      <c r="E248" s="640"/>
      <c r="F248" s="619"/>
      <c r="G248" s="620"/>
      <c r="H248" s="620"/>
      <c r="I248" s="620"/>
      <c r="J248" s="620">
        <v>105</v>
      </c>
      <c r="K248" s="620"/>
      <c r="L248" s="620">
        <v>105</v>
      </c>
      <c r="M248" s="625"/>
    </row>
    <row r="249" spans="1:13" ht="15.75">
      <c r="A249" s="600"/>
      <c r="B249" s="616" t="s">
        <v>545</v>
      </c>
      <c r="C249" s="627"/>
      <c r="D249" s="627"/>
      <c r="E249" s="640"/>
      <c r="F249" s="619"/>
      <c r="G249" s="620"/>
      <c r="H249" s="620"/>
      <c r="I249" s="620"/>
      <c r="J249" s="620"/>
      <c r="K249" s="620"/>
      <c r="L249" s="620">
        <v>380</v>
      </c>
      <c r="M249" s="625"/>
    </row>
    <row r="250" spans="1:13" ht="15.75">
      <c r="A250" s="600"/>
      <c r="B250" s="626" t="s">
        <v>546</v>
      </c>
      <c r="C250" s="617" t="s">
        <v>373</v>
      </c>
      <c r="D250" s="617"/>
      <c r="E250" s="640"/>
      <c r="F250" s="619"/>
      <c r="G250" s="620"/>
      <c r="H250" s="620"/>
      <c r="I250" s="620"/>
      <c r="J250" s="620">
        <v>750</v>
      </c>
      <c r="K250" s="620"/>
      <c r="L250" s="620"/>
      <c r="M250" s="625"/>
    </row>
    <row r="251" spans="1:13" ht="15.75">
      <c r="A251" s="600"/>
      <c r="B251" s="626" t="s">
        <v>547</v>
      </c>
      <c r="C251" s="617" t="s">
        <v>373</v>
      </c>
      <c r="D251" s="617"/>
      <c r="E251" s="640"/>
      <c r="F251" s="619"/>
      <c r="G251" s="620"/>
      <c r="H251" s="620"/>
      <c r="I251" s="620"/>
      <c r="J251" s="620">
        <v>1860</v>
      </c>
      <c r="K251" s="620"/>
      <c r="L251" s="620"/>
      <c r="M251" s="625"/>
    </row>
    <row r="252" spans="1:13" ht="15.75">
      <c r="A252" s="600"/>
      <c r="B252" s="626" t="s">
        <v>548</v>
      </c>
      <c r="C252" s="617" t="s">
        <v>373</v>
      </c>
      <c r="D252" s="617"/>
      <c r="E252" s="640"/>
      <c r="F252" s="619"/>
      <c r="G252" s="620"/>
      <c r="H252" s="620"/>
      <c r="I252" s="620"/>
      <c r="J252" s="620">
        <v>2250</v>
      </c>
      <c r="K252" s="620"/>
      <c r="L252" s="620"/>
      <c r="M252" s="625"/>
    </row>
    <row r="253" spans="1:13" ht="15.75">
      <c r="A253" s="600"/>
      <c r="B253" s="626" t="s">
        <v>549</v>
      </c>
      <c r="C253" s="617" t="s">
        <v>373</v>
      </c>
      <c r="D253" s="617"/>
      <c r="E253" s="640"/>
      <c r="F253" s="619"/>
      <c r="G253" s="620"/>
      <c r="H253" s="620"/>
      <c r="I253" s="620"/>
      <c r="J253" s="620">
        <v>3600</v>
      </c>
      <c r="K253" s="620"/>
      <c r="L253" s="620"/>
      <c r="M253" s="625"/>
    </row>
    <row r="254" spans="1:13" ht="15.75">
      <c r="A254" s="600"/>
      <c r="B254" s="626" t="s">
        <v>550</v>
      </c>
      <c r="C254" s="617" t="s">
        <v>373</v>
      </c>
      <c r="D254" s="617"/>
      <c r="E254" s="640"/>
      <c r="F254" s="619"/>
      <c r="G254" s="620"/>
      <c r="H254" s="620"/>
      <c r="I254" s="620"/>
      <c r="J254" s="620">
        <v>4850</v>
      </c>
      <c r="K254" s="620"/>
      <c r="L254" s="620"/>
      <c r="M254" s="625"/>
    </row>
    <row r="255" spans="1:13" ht="15.75">
      <c r="A255" s="600"/>
      <c r="B255" s="616" t="s">
        <v>551</v>
      </c>
      <c r="C255" s="627" t="s">
        <v>21</v>
      </c>
      <c r="D255" s="627"/>
      <c r="E255" s="640"/>
      <c r="F255" s="619"/>
      <c r="G255" s="620"/>
      <c r="H255" s="620"/>
      <c r="I255" s="620"/>
      <c r="J255" s="620">
        <v>165</v>
      </c>
      <c r="K255" s="620"/>
      <c r="L255" s="620">
        <v>150</v>
      </c>
      <c r="M255" s="625"/>
    </row>
    <row r="256" spans="1:13" ht="15.75">
      <c r="A256" s="600"/>
      <c r="B256" s="616" t="s">
        <v>552</v>
      </c>
      <c r="C256" s="627" t="s">
        <v>404</v>
      </c>
      <c r="D256" s="627"/>
      <c r="E256" s="640"/>
      <c r="F256" s="619"/>
      <c r="G256" s="620"/>
      <c r="H256" s="620"/>
      <c r="I256" s="620"/>
      <c r="J256" s="620">
        <v>165</v>
      </c>
      <c r="K256" s="620"/>
      <c r="L256" s="620">
        <v>150</v>
      </c>
      <c r="M256" s="625"/>
    </row>
    <row r="257" spans="1:13" ht="15.75">
      <c r="A257" s="600"/>
      <c r="B257" s="616" t="s">
        <v>553</v>
      </c>
      <c r="C257" s="627" t="s">
        <v>404</v>
      </c>
      <c r="D257" s="627"/>
      <c r="E257" s="640"/>
      <c r="F257" s="619"/>
      <c r="G257" s="620"/>
      <c r="H257" s="620"/>
      <c r="I257" s="620"/>
      <c r="J257" s="620">
        <v>240</v>
      </c>
      <c r="K257" s="620"/>
      <c r="L257" s="620">
        <v>190</v>
      </c>
      <c r="M257" s="625"/>
    </row>
    <row r="258" spans="1:13" ht="15.75">
      <c r="A258" s="600"/>
      <c r="B258" s="616" t="s">
        <v>554</v>
      </c>
      <c r="C258" s="627" t="s">
        <v>555</v>
      </c>
      <c r="D258" s="627"/>
      <c r="E258" s="640"/>
      <c r="F258" s="619"/>
      <c r="G258" s="620"/>
      <c r="H258" s="620"/>
      <c r="I258" s="620"/>
      <c r="J258" s="620">
        <v>125</v>
      </c>
      <c r="K258" s="620"/>
      <c r="L258" s="620"/>
      <c r="M258" s="625"/>
    </row>
    <row r="259" spans="1:13" ht="15.75">
      <c r="A259" s="600"/>
      <c r="B259" s="616" t="s">
        <v>554</v>
      </c>
      <c r="C259" s="627" t="s">
        <v>350</v>
      </c>
      <c r="D259" s="627"/>
      <c r="E259" s="640"/>
      <c r="F259" s="619"/>
      <c r="G259" s="620"/>
      <c r="H259" s="620"/>
      <c r="I259" s="620"/>
      <c r="J259" s="620">
        <v>2500</v>
      </c>
      <c r="K259" s="620"/>
      <c r="L259" s="620"/>
      <c r="M259" s="625"/>
    </row>
    <row r="260" spans="1:13" ht="15.75">
      <c r="A260" s="600"/>
      <c r="B260" s="616" t="s">
        <v>556</v>
      </c>
      <c r="C260" s="627" t="s">
        <v>373</v>
      </c>
      <c r="D260" s="627"/>
      <c r="E260" s="640"/>
      <c r="F260" s="619"/>
      <c r="G260" s="620"/>
      <c r="H260" s="620"/>
      <c r="I260" s="620"/>
      <c r="J260" s="620">
        <v>280</v>
      </c>
      <c r="K260" s="620"/>
      <c r="L260" s="620">
        <v>205</v>
      </c>
      <c r="M260" s="625"/>
    </row>
    <row r="261" spans="1:13" ht="15.75">
      <c r="A261" s="600"/>
      <c r="B261" s="616" t="s">
        <v>557</v>
      </c>
      <c r="C261" s="627" t="s">
        <v>404</v>
      </c>
      <c r="D261" s="627"/>
      <c r="E261" s="640"/>
      <c r="F261" s="619"/>
      <c r="G261" s="620"/>
      <c r="H261" s="620"/>
      <c r="I261" s="620"/>
      <c r="J261" s="620">
        <v>250</v>
      </c>
      <c r="K261" s="620"/>
      <c r="L261" s="620"/>
      <c r="M261" s="625"/>
    </row>
    <row r="262" spans="1:13" ht="15.75">
      <c r="A262" s="600"/>
      <c r="B262" s="616" t="s">
        <v>558</v>
      </c>
      <c r="C262" s="627" t="s">
        <v>378</v>
      </c>
      <c r="D262" s="627"/>
      <c r="E262" s="640"/>
      <c r="F262" s="619"/>
      <c r="G262" s="620"/>
      <c r="H262" s="620"/>
      <c r="I262" s="620"/>
      <c r="J262" s="620">
        <v>20</v>
      </c>
      <c r="K262" s="620">
        <v>25</v>
      </c>
      <c r="L262" s="620">
        <v>15</v>
      </c>
      <c r="M262" s="625"/>
    </row>
    <row r="263" spans="1:13" ht="15.75">
      <c r="A263" s="600"/>
      <c r="B263" s="616" t="s">
        <v>559</v>
      </c>
      <c r="C263" s="627" t="s">
        <v>378</v>
      </c>
      <c r="D263" s="627"/>
      <c r="E263" s="640"/>
      <c r="F263" s="619"/>
      <c r="G263" s="620"/>
      <c r="H263" s="620"/>
      <c r="I263" s="620"/>
      <c r="J263" s="620">
        <v>45</v>
      </c>
      <c r="K263" s="620">
        <v>30</v>
      </c>
      <c r="L263" s="620">
        <v>20</v>
      </c>
      <c r="M263" s="625"/>
    </row>
    <row r="264" spans="1:13" ht="15.75">
      <c r="A264" s="600"/>
      <c r="B264" s="616" t="s">
        <v>560</v>
      </c>
      <c r="C264" s="627" t="s">
        <v>238</v>
      </c>
      <c r="D264" s="627"/>
      <c r="E264" s="640"/>
      <c r="F264" s="619"/>
      <c r="G264" s="620"/>
      <c r="H264" s="620"/>
      <c r="I264" s="620"/>
      <c r="J264" s="620">
        <v>40</v>
      </c>
      <c r="K264" s="620">
        <v>115</v>
      </c>
      <c r="L264" s="620">
        <v>98</v>
      </c>
      <c r="M264" s="625"/>
    </row>
    <row r="265" spans="1:13" ht="15.75">
      <c r="A265" s="600"/>
      <c r="B265" s="616" t="s">
        <v>561</v>
      </c>
      <c r="C265" s="627" t="s">
        <v>336</v>
      </c>
      <c r="D265" s="627"/>
      <c r="E265" s="640"/>
      <c r="F265" s="619"/>
      <c r="G265" s="620"/>
      <c r="H265" s="620"/>
      <c r="I265" s="620"/>
      <c r="J265" s="620">
        <v>80</v>
      </c>
      <c r="K265" s="620">
        <v>125</v>
      </c>
      <c r="L265" s="620">
        <v>95</v>
      </c>
      <c r="M265" s="625"/>
    </row>
    <row r="266" spans="1:13" ht="15.75">
      <c r="A266" s="600"/>
      <c r="B266" s="616" t="s">
        <v>562</v>
      </c>
      <c r="C266" s="627" t="s">
        <v>350</v>
      </c>
      <c r="D266" s="627"/>
      <c r="E266" s="640"/>
      <c r="F266" s="619"/>
      <c r="G266" s="620"/>
      <c r="H266" s="620"/>
      <c r="I266" s="620"/>
      <c r="J266" s="620">
        <v>60</v>
      </c>
      <c r="K266" s="620">
        <v>75</v>
      </c>
      <c r="L266" s="620"/>
      <c r="M266" s="625"/>
    </row>
    <row r="267" spans="1:13" ht="15.75">
      <c r="A267" s="600"/>
      <c r="B267" s="616" t="s">
        <v>563</v>
      </c>
      <c r="C267" s="627" t="s">
        <v>21</v>
      </c>
      <c r="D267" s="627"/>
      <c r="E267" s="640"/>
      <c r="F267" s="619"/>
      <c r="G267" s="620"/>
      <c r="H267" s="620"/>
      <c r="I267" s="620"/>
      <c r="J267" s="620">
        <v>65</v>
      </c>
      <c r="K267" s="620"/>
      <c r="L267" s="620"/>
      <c r="M267" s="625"/>
    </row>
    <row r="268" spans="1:13" ht="15.75">
      <c r="A268" s="600"/>
      <c r="B268" s="616" t="s">
        <v>564</v>
      </c>
      <c r="C268" s="627" t="s">
        <v>21</v>
      </c>
      <c r="D268" s="627"/>
      <c r="E268" s="640"/>
      <c r="F268" s="619"/>
      <c r="G268" s="620"/>
      <c r="H268" s="620"/>
      <c r="I268" s="620"/>
      <c r="J268" s="620">
        <v>65</v>
      </c>
      <c r="K268" s="620"/>
      <c r="L268" s="620"/>
      <c r="M268" s="625"/>
    </row>
    <row r="269" spans="1:13" ht="15.75">
      <c r="A269" s="600"/>
      <c r="B269" s="616" t="s">
        <v>565</v>
      </c>
      <c r="C269" s="627" t="s">
        <v>21</v>
      </c>
      <c r="D269" s="627"/>
      <c r="E269" s="640"/>
      <c r="F269" s="619"/>
      <c r="G269" s="620"/>
      <c r="H269" s="620"/>
      <c r="I269" s="620"/>
      <c r="J269" s="620">
        <v>25</v>
      </c>
      <c r="K269" s="620"/>
      <c r="L269" s="620"/>
      <c r="M269" s="625"/>
    </row>
    <row r="270" spans="1:13" ht="15.75">
      <c r="A270" s="600"/>
      <c r="B270" s="616" t="s">
        <v>566</v>
      </c>
      <c r="C270" s="627" t="s">
        <v>21</v>
      </c>
      <c r="D270" s="627"/>
      <c r="E270" s="640"/>
      <c r="F270" s="619"/>
      <c r="G270" s="620"/>
      <c r="H270" s="620"/>
      <c r="I270" s="620"/>
      <c r="J270" s="620">
        <v>45</v>
      </c>
      <c r="K270" s="620"/>
      <c r="L270" s="620"/>
      <c r="M270" s="625"/>
    </row>
    <row r="271" spans="1:13" ht="15.75">
      <c r="A271" s="600"/>
      <c r="B271" s="616" t="s">
        <v>567</v>
      </c>
      <c r="C271" s="627" t="s">
        <v>21</v>
      </c>
      <c r="D271" s="627"/>
      <c r="E271" s="640"/>
      <c r="F271" s="619"/>
      <c r="G271" s="620"/>
      <c r="H271" s="620"/>
      <c r="I271" s="620"/>
      <c r="J271" s="620">
        <v>45</v>
      </c>
      <c r="K271" s="620"/>
      <c r="L271" s="620"/>
      <c r="M271" s="625"/>
    </row>
    <row r="272" spans="1:13" ht="15.75">
      <c r="A272" s="600"/>
      <c r="B272" s="616" t="s">
        <v>568</v>
      </c>
      <c r="C272" s="627" t="s">
        <v>21</v>
      </c>
      <c r="D272" s="627"/>
      <c r="E272" s="640"/>
      <c r="F272" s="619"/>
      <c r="G272" s="620"/>
      <c r="H272" s="620"/>
      <c r="I272" s="620"/>
      <c r="J272" s="620">
        <v>950</v>
      </c>
      <c r="K272" s="620">
        <v>850</v>
      </c>
      <c r="L272" s="620"/>
      <c r="M272" s="625"/>
    </row>
    <row r="273" spans="1:13" ht="15.75">
      <c r="A273" s="600"/>
      <c r="B273" s="616" t="s">
        <v>569</v>
      </c>
      <c r="C273" s="627" t="s">
        <v>21</v>
      </c>
      <c r="D273" s="627"/>
      <c r="E273" s="640"/>
      <c r="F273" s="619"/>
      <c r="G273" s="620"/>
      <c r="H273" s="620"/>
      <c r="I273" s="620"/>
      <c r="J273" s="620">
        <v>950</v>
      </c>
      <c r="K273" s="620"/>
      <c r="L273" s="620"/>
      <c r="M273" s="625"/>
    </row>
    <row r="274" spans="1:13" ht="15.75">
      <c r="A274" s="600"/>
      <c r="B274" s="616" t="s">
        <v>570</v>
      </c>
      <c r="C274" s="627" t="s">
        <v>404</v>
      </c>
      <c r="D274" s="627"/>
      <c r="E274" s="640"/>
      <c r="F274" s="619"/>
      <c r="G274" s="620"/>
      <c r="H274" s="620"/>
      <c r="I274" s="620"/>
      <c r="J274" s="620">
        <v>6500</v>
      </c>
      <c r="K274" s="620"/>
      <c r="L274" s="620"/>
      <c r="M274" s="625"/>
    </row>
    <row r="275" spans="1:13" ht="15.75">
      <c r="A275" s="600"/>
      <c r="B275" s="616" t="s">
        <v>571</v>
      </c>
      <c r="C275" s="627" t="s">
        <v>21</v>
      </c>
      <c r="D275" s="627"/>
      <c r="E275" s="640"/>
      <c r="F275" s="619"/>
      <c r="G275" s="620"/>
      <c r="H275" s="620"/>
      <c r="I275" s="620"/>
      <c r="J275" s="620">
        <v>95</v>
      </c>
      <c r="K275" s="620"/>
      <c r="L275" s="620"/>
      <c r="M275" s="625"/>
    </row>
    <row r="276" spans="1:13" ht="15.75">
      <c r="A276" s="600"/>
      <c r="B276" s="616" t="s">
        <v>572</v>
      </c>
      <c r="C276" s="627" t="s">
        <v>21</v>
      </c>
      <c r="D276" s="627"/>
      <c r="E276" s="640"/>
      <c r="F276" s="619"/>
      <c r="G276" s="620"/>
      <c r="H276" s="620"/>
      <c r="I276" s="620"/>
      <c r="J276" s="620">
        <v>45</v>
      </c>
      <c r="K276" s="620"/>
      <c r="L276" s="620"/>
      <c r="M276" s="625"/>
    </row>
    <row r="277" spans="1:13" ht="15.75">
      <c r="A277" s="600"/>
      <c r="B277" s="616" t="s">
        <v>573</v>
      </c>
      <c r="C277" s="627" t="s">
        <v>21</v>
      </c>
      <c r="D277" s="627"/>
      <c r="E277" s="640"/>
      <c r="F277" s="619"/>
      <c r="G277" s="620"/>
      <c r="H277" s="620"/>
      <c r="I277" s="620"/>
      <c r="J277" s="620">
        <v>18</v>
      </c>
      <c r="K277" s="620"/>
      <c r="L277" s="620"/>
      <c r="M277" s="625"/>
    </row>
    <row r="278" spans="1:13" ht="15.75">
      <c r="A278" s="600"/>
      <c r="B278" s="616" t="s">
        <v>574</v>
      </c>
      <c r="C278" s="617" t="s">
        <v>575</v>
      </c>
      <c r="D278" s="617"/>
      <c r="E278" s="640"/>
      <c r="F278" s="619"/>
      <c r="G278" s="620"/>
      <c r="H278" s="620"/>
      <c r="I278" s="620"/>
      <c r="J278" s="620">
        <v>70</v>
      </c>
      <c r="K278" s="620"/>
      <c r="L278" s="620">
        <v>78</v>
      </c>
      <c r="M278" s="625"/>
    </row>
    <row r="279" spans="1:13" ht="15.75">
      <c r="A279" s="600"/>
      <c r="B279" s="616" t="s">
        <v>576</v>
      </c>
      <c r="C279" s="617" t="s">
        <v>21</v>
      </c>
      <c r="D279" s="617"/>
      <c r="E279" s="640"/>
      <c r="F279" s="619"/>
      <c r="G279" s="620"/>
      <c r="H279" s="620"/>
      <c r="I279" s="620"/>
      <c r="J279" s="620">
        <v>20</v>
      </c>
      <c r="K279" s="620"/>
      <c r="L279" s="620"/>
      <c r="M279" s="625"/>
    </row>
    <row r="280" spans="1:13" ht="15.75">
      <c r="A280" s="600"/>
      <c r="B280" s="616" t="s">
        <v>577</v>
      </c>
      <c r="C280" s="617" t="s">
        <v>21</v>
      </c>
      <c r="D280" s="617"/>
      <c r="E280" s="640"/>
      <c r="F280" s="619"/>
      <c r="G280" s="620"/>
      <c r="H280" s="620"/>
      <c r="I280" s="620"/>
      <c r="J280" s="620">
        <v>950</v>
      </c>
      <c r="K280" s="620"/>
      <c r="L280" s="620">
        <v>845</v>
      </c>
      <c r="M280" s="625"/>
    </row>
    <row r="281" spans="1:13" ht="15.75">
      <c r="A281" s="600"/>
      <c r="B281" s="616" t="s">
        <v>578</v>
      </c>
      <c r="C281" s="617" t="s">
        <v>21</v>
      </c>
      <c r="D281" s="617"/>
      <c r="E281" s="640"/>
      <c r="F281" s="619"/>
      <c r="G281" s="620"/>
      <c r="H281" s="620"/>
      <c r="I281" s="620"/>
      <c r="J281" s="620">
        <v>18</v>
      </c>
      <c r="K281" s="620"/>
      <c r="L281" s="620">
        <v>15</v>
      </c>
      <c r="M281" s="625"/>
    </row>
    <row r="282" spans="1:13" ht="15.75">
      <c r="A282" s="600"/>
      <c r="B282" s="626" t="s">
        <v>352</v>
      </c>
      <c r="C282" s="627" t="s">
        <v>350</v>
      </c>
      <c r="D282" s="627"/>
      <c r="E282" s="628"/>
      <c r="F282" s="629">
        <v>150</v>
      </c>
      <c r="G282" s="620"/>
      <c r="H282" s="620"/>
      <c r="I282" s="620"/>
      <c r="J282" s="638">
        <v>160</v>
      </c>
      <c r="K282" s="620">
        <v>155</v>
      </c>
      <c r="L282" s="620">
        <v>175</v>
      </c>
      <c r="M282" s="625"/>
    </row>
    <row r="283" spans="1:13" ht="15.75">
      <c r="A283" s="600"/>
      <c r="B283" s="626" t="s">
        <v>353</v>
      </c>
      <c r="C283" s="627" t="s">
        <v>350</v>
      </c>
      <c r="D283" s="627"/>
      <c r="E283" s="628"/>
      <c r="F283" s="629">
        <v>200</v>
      </c>
      <c r="G283" s="620"/>
      <c r="H283" s="620"/>
      <c r="I283" s="620"/>
      <c r="J283" s="638">
        <v>250</v>
      </c>
      <c r="K283" s="620">
        <v>250</v>
      </c>
      <c r="L283" s="620">
        <v>280</v>
      </c>
      <c r="M283" s="625"/>
    </row>
    <row r="284" spans="1:13" ht="15.75">
      <c r="A284" s="600"/>
      <c r="B284" s="626" t="s">
        <v>335</v>
      </c>
      <c r="C284" s="627" t="s">
        <v>336</v>
      </c>
      <c r="D284" s="627"/>
      <c r="E284" s="628"/>
      <c r="F284" s="629">
        <v>320</v>
      </c>
      <c r="G284" s="620"/>
      <c r="H284" s="620"/>
      <c r="I284" s="620"/>
      <c r="J284" s="638">
        <v>305</v>
      </c>
      <c r="K284" s="620">
        <v>290</v>
      </c>
      <c r="L284" s="620">
        <v>290</v>
      </c>
      <c r="M284" s="625"/>
    </row>
    <row r="285" spans="1:13" ht="15.75">
      <c r="A285" s="600"/>
      <c r="B285" s="616" t="s">
        <v>340</v>
      </c>
      <c r="C285" s="617" t="s">
        <v>332</v>
      </c>
      <c r="D285" s="617"/>
      <c r="E285" s="618">
        <v>1010</v>
      </c>
      <c r="F285" s="629">
        <v>4000</v>
      </c>
      <c r="G285" s="620"/>
      <c r="H285" s="620"/>
      <c r="I285" s="620"/>
      <c r="J285" s="638">
        <v>1150</v>
      </c>
      <c r="K285" s="620">
        <v>1200</v>
      </c>
      <c r="L285" s="620">
        <v>1200</v>
      </c>
      <c r="M285" s="625"/>
    </row>
    <row r="286" spans="1:13" ht="15.75">
      <c r="A286" s="600"/>
      <c r="B286" s="616" t="s">
        <v>341</v>
      </c>
      <c r="C286" s="617" t="s">
        <v>332</v>
      </c>
      <c r="D286" s="617"/>
      <c r="E286" s="618">
        <v>1055</v>
      </c>
      <c r="F286" s="629"/>
      <c r="G286" s="620"/>
      <c r="H286" s="620"/>
      <c r="I286" s="620"/>
      <c r="J286" s="638"/>
      <c r="K286" s="620"/>
      <c r="L286" s="620"/>
      <c r="M286" s="625"/>
    </row>
    <row r="287" spans="1:13" ht="15.75">
      <c r="A287" s="600"/>
      <c r="B287" s="616" t="s">
        <v>346</v>
      </c>
      <c r="C287" s="617" t="s">
        <v>332</v>
      </c>
      <c r="D287" s="617"/>
      <c r="E287" s="618">
        <v>325</v>
      </c>
      <c r="F287" s="629">
        <v>1500</v>
      </c>
      <c r="G287" s="620"/>
      <c r="H287" s="620"/>
      <c r="I287" s="620"/>
      <c r="J287" s="638">
        <v>450</v>
      </c>
      <c r="K287" s="620">
        <v>500</v>
      </c>
      <c r="L287" s="620">
        <v>500</v>
      </c>
      <c r="M287" s="625"/>
    </row>
    <row r="288" spans="1:13" ht="15.75">
      <c r="A288" s="600"/>
      <c r="B288" s="616" t="s">
        <v>347</v>
      </c>
      <c r="C288" s="617" t="s">
        <v>332</v>
      </c>
      <c r="D288" s="617"/>
      <c r="E288" s="618"/>
      <c r="F288" s="629">
        <v>3500</v>
      </c>
      <c r="G288" s="620"/>
      <c r="H288" s="620"/>
      <c r="I288" s="620"/>
      <c r="J288" s="638">
        <v>500</v>
      </c>
      <c r="K288" s="620">
        <v>420</v>
      </c>
      <c r="L288" s="620"/>
      <c r="M288" s="625"/>
    </row>
    <row r="289" spans="1:14" ht="15.75">
      <c r="A289" s="600"/>
      <c r="B289" s="626" t="s">
        <v>370</v>
      </c>
      <c r="C289" s="627" t="s">
        <v>21</v>
      </c>
      <c r="D289" s="627"/>
      <c r="E289" s="628"/>
      <c r="F289" s="619"/>
      <c r="G289" s="620"/>
      <c r="H289" s="620"/>
      <c r="I289" s="620"/>
      <c r="J289" s="620">
        <v>180</v>
      </c>
      <c r="K289" s="620">
        <v>150</v>
      </c>
      <c r="L289" s="620">
        <v>150</v>
      </c>
      <c r="M289" s="625"/>
    </row>
    <row r="290" spans="1:14" ht="15.75">
      <c r="A290" s="600"/>
      <c r="B290" s="626" t="s">
        <v>359</v>
      </c>
      <c r="C290" s="627"/>
      <c r="D290" s="627"/>
      <c r="E290" s="628"/>
      <c r="F290" s="619"/>
      <c r="G290" s="620"/>
      <c r="H290" s="620"/>
      <c r="I290" s="620"/>
      <c r="J290" s="620">
        <v>80</v>
      </c>
      <c r="K290" s="620">
        <v>120</v>
      </c>
      <c r="L290" s="620">
        <v>110</v>
      </c>
      <c r="M290" s="625"/>
    </row>
    <row r="291" spans="1:14" ht="15.75">
      <c r="A291" s="600"/>
      <c r="B291" s="626" t="s">
        <v>360</v>
      </c>
      <c r="C291" s="627" t="s">
        <v>238</v>
      </c>
      <c r="D291" s="627"/>
      <c r="E291" s="628"/>
      <c r="F291" s="629">
        <v>80</v>
      </c>
      <c r="G291" s="620"/>
      <c r="H291" s="620"/>
      <c r="I291" s="620"/>
      <c r="J291" s="620">
        <v>80</v>
      </c>
      <c r="K291" s="620">
        <v>90</v>
      </c>
      <c r="L291" s="620">
        <v>90</v>
      </c>
      <c r="M291" s="625"/>
    </row>
    <row r="292" spans="1:14" ht="15.75">
      <c r="A292" s="600"/>
      <c r="B292" s="626" t="s">
        <v>361</v>
      </c>
      <c r="C292" s="627" t="s">
        <v>238</v>
      </c>
      <c r="D292" s="627"/>
      <c r="E292" s="628"/>
      <c r="F292" s="619"/>
      <c r="G292" s="620"/>
      <c r="H292" s="620"/>
      <c r="I292" s="620"/>
      <c r="J292" s="620">
        <v>90</v>
      </c>
      <c r="K292" s="620">
        <v>100</v>
      </c>
      <c r="L292" s="620">
        <v>90</v>
      </c>
      <c r="M292" s="625"/>
    </row>
    <row r="293" spans="1:14" ht="15.75">
      <c r="A293" s="600"/>
      <c r="B293" s="626" t="s">
        <v>364</v>
      </c>
      <c r="C293" s="627" t="s">
        <v>21</v>
      </c>
      <c r="D293" s="627"/>
      <c r="E293" s="628"/>
      <c r="F293" s="629">
        <v>10</v>
      </c>
      <c r="G293" s="620"/>
      <c r="H293" s="620"/>
      <c r="I293" s="620"/>
      <c r="J293" s="638">
        <v>12</v>
      </c>
      <c r="K293" s="620">
        <v>12</v>
      </c>
      <c r="L293" s="620">
        <v>12</v>
      </c>
      <c r="M293" s="625"/>
    </row>
    <row r="294" spans="1:14" ht="15.75">
      <c r="A294" s="600"/>
      <c r="B294" s="626" t="s">
        <v>365</v>
      </c>
      <c r="C294" s="627" t="s">
        <v>21</v>
      </c>
      <c r="D294" s="627"/>
      <c r="E294" s="628"/>
      <c r="F294" s="629">
        <v>15</v>
      </c>
      <c r="G294" s="620"/>
      <c r="H294" s="620"/>
      <c r="I294" s="620"/>
      <c r="J294" s="638">
        <v>20</v>
      </c>
      <c r="K294" s="620">
        <v>20</v>
      </c>
      <c r="L294" s="620">
        <v>18</v>
      </c>
      <c r="M294" s="625"/>
    </row>
    <row r="295" spans="1:14" ht="15.75">
      <c r="A295" s="600"/>
      <c r="B295" s="626" t="s">
        <v>579</v>
      </c>
      <c r="C295" s="627" t="s">
        <v>580</v>
      </c>
      <c r="D295" s="627"/>
      <c r="E295" s="628"/>
      <c r="F295" s="629"/>
      <c r="G295" s="620"/>
      <c r="H295" s="620"/>
      <c r="I295" s="620"/>
      <c r="J295" s="638"/>
      <c r="K295" s="620"/>
      <c r="L295" s="620"/>
      <c r="M295" s="645">
        <v>168</v>
      </c>
    </row>
    <row r="296" spans="1:14" ht="15.75">
      <c r="A296" s="600"/>
      <c r="B296" s="626"/>
      <c r="C296" s="627"/>
      <c r="D296" s="627"/>
      <c r="E296" s="628"/>
      <c r="F296" s="629"/>
      <c r="G296" s="620"/>
      <c r="H296" s="620"/>
      <c r="I296" s="620"/>
      <c r="J296" s="638"/>
      <c r="K296" s="620"/>
      <c r="L296" s="620"/>
      <c r="M296" s="625"/>
    </row>
    <row r="297" spans="1:14" s="593" customFormat="1" ht="15.75">
      <c r="A297" s="606" t="s">
        <v>581</v>
      </c>
      <c r="B297" s="607"/>
      <c r="C297" s="624" t="s">
        <v>112</v>
      </c>
      <c r="D297" s="624"/>
      <c r="E297" s="609"/>
      <c r="F297" s="610"/>
      <c r="G297" s="611"/>
      <c r="H297" s="611"/>
      <c r="I297" s="611"/>
      <c r="J297" s="633"/>
      <c r="K297" s="633"/>
      <c r="L297" s="634"/>
      <c r="M297" s="635"/>
    </row>
    <row r="298" spans="1:14" ht="15.75">
      <c r="A298" s="597"/>
      <c r="B298" s="626"/>
      <c r="C298" s="617"/>
      <c r="D298" s="617"/>
      <c r="E298" s="603"/>
      <c r="F298" s="604"/>
      <c r="G298" s="605"/>
      <c r="H298" s="605"/>
      <c r="I298" s="605"/>
      <c r="J298" s="630"/>
      <c r="K298" s="630"/>
      <c r="L298" s="631"/>
      <c r="M298" s="632"/>
    </row>
    <row r="299" spans="1:14" ht="15.75">
      <c r="A299" s="597"/>
      <c r="B299" s="626" t="s">
        <v>582</v>
      </c>
      <c r="C299" s="627" t="s">
        <v>299</v>
      </c>
      <c r="D299" s="627"/>
      <c r="E299" s="628"/>
      <c r="F299" s="619"/>
      <c r="G299" s="620"/>
      <c r="H299" s="620"/>
      <c r="I299" s="620"/>
      <c r="J299" s="620"/>
      <c r="K299" s="620">
        <v>235</v>
      </c>
      <c r="L299" s="620">
        <v>250</v>
      </c>
      <c r="M299" s="625"/>
    </row>
    <row r="300" spans="1:14" ht="15.75">
      <c r="A300" s="600"/>
      <c r="B300" s="626" t="s">
        <v>583</v>
      </c>
      <c r="C300" s="627" t="s">
        <v>238</v>
      </c>
      <c r="D300" s="627"/>
      <c r="E300" s="628"/>
      <c r="F300" s="619"/>
      <c r="G300" s="620"/>
      <c r="H300" s="620"/>
      <c r="I300" s="620"/>
      <c r="J300" s="620">
        <v>60</v>
      </c>
      <c r="K300" s="620">
        <v>70</v>
      </c>
      <c r="L300" s="620">
        <v>70</v>
      </c>
      <c r="M300" s="625"/>
    </row>
    <row r="301" spans="1:14" ht="15.75">
      <c r="A301" s="600"/>
      <c r="B301" s="626" t="s">
        <v>584</v>
      </c>
      <c r="C301" s="627" t="s">
        <v>585</v>
      </c>
      <c r="D301" s="627"/>
      <c r="E301" s="628"/>
      <c r="F301" s="619"/>
      <c r="G301" s="620"/>
      <c r="H301" s="620"/>
      <c r="I301" s="620"/>
      <c r="J301" s="620">
        <v>28</v>
      </c>
      <c r="K301" s="620">
        <v>25</v>
      </c>
      <c r="L301" s="620">
        <v>25</v>
      </c>
      <c r="M301" s="625"/>
      <c r="N301" s="646">
        <v>28</v>
      </c>
    </row>
    <row r="302" spans="1:14" ht="15.75">
      <c r="A302" s="600"/>
      <c r="B302" s="626" t="s">
        <v>586</v>
      </c>
      <c r="C302" s="627" t="s">
        <v>238</v>
      </c>
      <c r="D302" s="627"/>
      <c r="E302" s="628"/>
      <c r="F302" s="629">
        <v>75</v>
      </c>
      <c r="G302" s="620"/>
      <c r="H302" s="620"/>
      <c r="I302" s="620"/>
      <c r="J302" s="638">
        <v>60</v>
      </c>
      <c r="K302" s="620"/>
      <c r="L302" s="620"/>
      <c r="M302" s="625"/>
    </row>
    <row r="303" spans="1:14" ht="15.75">
      <c r="A303" s="600"/>
      <c r="B303" s="626" t="s">
        <v>587</v>
      </c>
      <c r="C303" s="627" t="s">
        <v>238</v>
      </c>
      <c r="D303" s="627"/>
      <c r="E303" s="628"/>
      <c r="F303" s="629">
        <v>120</v>
      </c>
      <c r="G303" s="620"/>
      <c r="H303" s="620"/>
      <c r="I303" s="620"/>
      <c r="J303" s="638">
        <v>120</v>
      </c>
      <c r="K303" s="620"/>
      <c r="L303" s="620"/>
      <c r="M303" s="625"/>
    </row>
    <row r="304" spans="1:14" ht="15.75">
      <c r="A304" s="600"/>
      <c r="B304" s="626" t="s">
        <v>588</v>
      </c>
      <c r="C304" s="627" t="s">
        <v>238</v>
      </c>
      <c r="D304" s="627"/>
      <c r="E304" s="628"/>
      <c r="F304" s="619"/>
      <c r="G304" s="620"/>
      <c r="H304" s="620"/>
      <c r="I304" s="620"/>
      <c r="J304" s="620">
        <v>120</v>
      </c>
      <c r="K304" s="620">
        <v>110</v>
      </c>
      <c r="L304" s="620">
        <v>110</v>
      </c>
      <c r="M304" s="625"/>
    </row>
    <row r="305" spans="1:14" ht="15.75">
      <c r="A305" s="600"/>
      <c r="B305" s="626" t="s">
        <v>589</v>
      </c>
      <c r="C305" s="627" t="s">
        <v>238</v>
      </c>
      <c r="D305" s="627"/>
      <c r="E305" s="628"/>
      <c r="F305" s="619"/>
      <c r="G305" s="620"/>
      <c r="H305" s="620"/>
      <c r="I305" s="620"/>
      <c r="J305" s="620">
        <v>120</v>
      </c>
      <c r="K305" s="620">
        <v>110</v>
      </c>
      <c r="L305" s="620">
        <v>110</v>
      </c>
      <c r="M305" s="625"/>
    </row>
    <row r="306" spans="1:14" ht="15.75">
      <c r="A306" s="600"/>
      <c r="B306" s="626" t="s">
        <v>590</v>
      </c>
      <c r="C306" s="627" t="s">
        <v>238</v>
      </c>
      <c r="D306" s="627"/>
      <c r="E306" s="628"/>
      <c r="F306" s="619"/>
      <c r="G306" s="620"/>
      <c r="H306" s="620"/>
      <c r="I306" s="620"/>
      <c r="J306" s="620">
        <v>75</v>
      </c>
      <c r="K306" s="620">
        <v>75</v>
      </c>
      <c r="L306" s="620">
        <v>70</v>
      </c>
      <c r="M306" s="625"/>
    </row>
    <row r="307" spans="1:14" ht="15.75">
      <c r="A307" s="600"/>
      <c r="B307" s="626" t="s">
        <v>590</v>
      </c>
      <c r="C307" s="627" t="s">
        <v>591</v>
      </c>
      <c r="D307" s="627"/>
      <c r="E307" s="628"/>
      <c r="F307" s="619"/>
      <c r="G307" s="620"/>
      <c r="H307" s="620"/>
      <c r="I307" s="620"/>
      <c r="J307" s="620">
        <v>1750</v>
      </c>
      <c r="K307" s="620">
        <v>1450</v>
      </c>
      <c r="L307" s="620">
        <v>1625</v>
      </c>
      <c r="M307" s="625"/>
    </row>
    <row r="308" spans="1:14" ht="15.75">
      <c r="A308" s="600"/>
      <c r="B308" s="626" t="s">
        <v>592</v>
      </c>
      <c r="C308" s="627" t="s">
        <v>238</v>
      </c>
      <c r="D308" s="627"/>
      <c r="E308" s="628"/>
      <c r="F308" s="619"/>
      <c r="G308" s="620"/>
      <c r="H308" s="620"/>
      <c r="I308" s="620"/>
      <c r="J308" s="620">
        <v>75</v>
      </c>
      <c r="K308" s="620">
        <v>78</v>
      </c>
      <c r="L308" s="620">
        <v>70</v>
      </c>
      <c r="M308" s="625"/>
    </row>
    <row r="309" spans="1:14" ht="15.75">
      <c r="A309" s="600"/>
      <c r="B309" s="626" t="s">
        <v>593</v>
      </c>
      <c r="C309" s="627" t="s">
        <v>238</v>
      </c>
      <c r="D309" s="627"/>
      <c r="E309" s="628"/>
      <c r="F309" s="619"/>
      <c r="G309" s="620"/>
      <c r="H309" s="620"/>
      <c r="I309" s="620"/>
      <c r="J309" s="620">
        <v>65</v>
      </c>
      <c r="K309" s="620">
        <v>75</v>
      </c>
      <c r="L309" s="620">
        <v>70</v>
      </c>
      <c r="M309" s="625"/>
    </row>
    <row r="310" spans="1:14" ht="15.75">
      <c r="A310" s="600"/>
      <c r="B310" s="626" t="s">
        <v>594</v>
      </c>
      <c r="C310" s="627" t="s">
        <v>238</v>
      </c>
      <c r="D310" s="627"/>
      <c r="E310" s="628"/>
      <c r="F310" s="619"/>
      <c r="G310" s="620"/>
      <c r="H310" s="620"/>
      <c r="I310" s="620"/>
      <c r="J310" s="620">
        <v>60</v>
      </c>
      <c r="K310" s="620">
        <v>70</v>
      </c>
      <c r="L310" s="620">
        <v>60</v>
      </c>
      <c r="M310" s="625"/>
    </row>
    <row r="311" spans="1:14" ht="15.75">
      <c r="A311" s="600"/>
      <c r="B311" s="626" t="s">
        <v>595</v>
      </c>
      <c r="C311" s="627" t="s">
        <v>591</v>
      </c>
      <c r="D311" s="627"/>
      <c r="E311" s="628"/>
      <c r="F311" s="619"/>
      <c r="G311" s="620"/>
      <c r="H311" s="620"/>
      <c r="I311" s="620"/>
      <c r="J311" s="620">
        <v>1625</v>
      </c>
      <c r="K311" s="620">
        <v>1200</v>
      </c>
      <c r="L311" s="620">
        <v>1250</v>
      </c>
      <c r="M311" s="625"/>
    </row>
    <row r="312" spans="1:14" ht="15.75">
      <c r="A312" s="600"/>
      <c r="B312" s="626" t="s">
        <v>596</v>
      </c>
      <c r="C312" s="627" t="s">
        <v>238</v>
      </c>
      <c r="D312" s="627"/>
      <c r="E312" s="628"/>
      <c r="F312" s="629">
        <v>90</v>
      </c>
      <c r="G312" s="620"/>
      <c r="H312" s="620"/>
      <c r="I312" s="620"/>
      <c r="J312" s="638">
        <v>80</v>
      </c>
      <c r="K312" s="620"/>
      <c r="L312" s="620">
        <v>90</v>
      </c>
      <c r="M312" s="625"/>
    </row>
    <row r="313" spans="1:14" ht="15.75">
      <c r="A313" s="600"/>
      <c r="B313" s="626" t="s">
        <v>597</v>
      </c>
      <c r="C313" s="627" t="s">
        <v>238</v>
      </c>
      <c r="D313" s="627"/>
      <c r="E313" s="628"/>
      <c r="F313" s="619"/>
      <c r="G313" s="620"/>
      <c r="H313" s="620"/>
      <c r="I313" s="620"/>
      <c r="J313" s="620">
        <v>85</v>
      </c>
      <c r="K313" s="620">
        <v>95</v>
      </c>
      <c r="L313" s="620">
        <v>90</v>
      </c>
      <c r="M313" s="625"/>
    </row>
    <row r="314" spans="1:14" ht="15.75">
      <c r="A314" s="600"/>
      <c r="B314" s="626" t="s">
        <v>598</v>
      </c>
      <c r="C314" s="627" t="s">
        <v>238</v>
      </c>
      <c r="D314" s="627"/>
      <c r="E314" s="628"/>
      <c r="F314" s="619"/>
      <c r="G314" s="620"/>
      <c r="H314" s="620"/>
      <c r="I314" s="620"/>
      <c r="J314" s="620">
        <v>85</v>
      </c>
      <c r="K314" s="620">
        <v>95</v>
      </c>
      <c r="L314" s="620">
        <v>90</v>
      </c>
      <c r="M314" s="625"/>
    </row>
    <row r="315" spans="1:14" ht="15.75">
      <c r="A315" s="600"/>
      <c r="B315" s="626" t="s">
        <v>599</v>
      </c>
      <c r="C315" s="627" t="s">
        <v>238</v>
      </c>
      <c r="D315" s="627"/>
      <c r="E315" s="628"/>
      <c r="F315" s="619"/>
      <c r="G315" s="620"/>
      <c r="H315" s="620"/>
      <c r="I315" s="620"/>
      <c r="J315" s="620">
        <v>85</v>
      </c>
      <c r="K315" s="620">
        <v>95</v>
      </c>
      <c r="L315" s="620">
        <v>90</v>
      </c>
      <c r="M315" s="625"/>
    </row>
    <row r="316" spans="1:14" ht="15.75">
      <c r="A316" s="600"/>
      <c r="B316" s="626" t="s">
        <v>600</v>
      </c>
      <c r="C316" s="627" t="s">
        <v>238</v>
      </c>
      <c r="D316" s="627"/>
      <c r="E316" s="628"/>
      <c r="F316" s="619"/>
      <c r="G316" s="620"/>
      <c r="H316" s="620"/>
      <c r="I316" s="620"/>
      <c r="J316" s="620">
        <v>85</v>
      </c>
      <c r="K316" s="620">
        <v>95</v>
      </c>
      <c r="L316" s="620">
        <v>90</v>
      </c>
      <c r="M316" s="625"/>
    </row>
    <row r="317" spans="1:14" ht="15.75">
      <c r="A317" s="600"/>
      <c r="B317" s="626" t="s">
        <v>601</v>
      </c>
      <c r="C317" s="627" t="s">
        <v>238</v>
      </c>
      <c r="D317" s="627"/>
      <c r="E317" s="628"/>
      <c r="F317" s="619"/>
      <c r="G317" s="620"/>
      <c r="H317" s="620"/>
      <c r="I317" s="620"/>
      <c r="J317" s="620">
        <v>85</v>
      </c>
      <c r="K317" s="620">
        <v>95</v>
      </c>
      <c r="L317" s="620">
        <v>90</v>
      </c>
      <c r="M317" s="625"/>
    </row>
    <row r="318" spans="1:14" ht="15.75">
      <c r="A318" s="600"/>
      <c r="B318" s="626" t="s">
        <v>602</v>
      </c>
      <c r="C318" s="627" t="s">
        <v>238</v>
      </c>
      <c r="D318" s="627"/>
      <c r="E318" s="628"/>
      <c r="F318" s="619"/>
      <c r="G318" s="620"/>
      <c r="H318" s="620"/>
      <c r="I318" s="620"/>
      <c r="J318" s="620">
        <v>95</v>
      </c>
      <c r="K318" s="620">
        <v>95</v>
      </c>
      <c r="L318" s="620">
        <v>120</v>
      </c>
      <c r="M318" s="625"/>
    </row>
    <row r="319" spans="1:14" ht="15.75">
      <c r="A319" s="600"/>
      <c r="B319" s="626" t="s">
        <v>603</v>
      </c>
      <c r="C319" s="627" t="s">
        <v>585</v>
      </c>
      <c r="D319" s="627"/>
      <c r="E319" s="628"/>
      <c r="F319" s="619"/>
      <c r="G319" s="620"/>
      <c r="H319" s="620"/>
      <c r="I319" s="620"/>
      <c r="J319" s="620">
        <v>40</v>
      </c>
      <c r="K319" s="620">
        <v>42</v>
      </c>
      <c r="L319" s="620">
        <v>42</v>
      </c>
      <c r="M319" s="625"/>
      <c r="N319" s="646">
        <v>46</v>
      </c>
    </row>
    <row r="320" spans="1:14" ht="15.75">
      <c r="A320" s="600"/>
      <c r="B320" s="626" t="s">
        <v>604</v>
      </c>
      <c r="C320" s="627" t="s">
        <v>605</v>
      </c>
      <c r="D320" s="627"/>
      <c r="E320" s="628"/>
      <c r="F320" s="619"/>
      <c r="G320" s="620"/>
      <c r="H320" s="620"/>
      <c r="I320" s="620"/>
      <c r="J320" s="620">
        <v>480</v>
      </c>
      <c r="K320" s="620">
        <v>450</v>
      </c>
      <c r="L320" s="620"/>
      <c r="M320" s="625"/>
    </row>
    <row r="321" spans="1:13" ht="15.75">
      <c r="A321" s="600"/>
      <c r="B321" s="626" t="s">
        <v>606</v>
      </c>
      <c r="C321" s="627" t="s">
        <v>238</v>
      </c>
      <c r="D321" s="627"/>
      <c r="E321" s="628"/>
      <c r="F321" s="619"/>
      <c r="G321" s="620"/>
      <c r="H321" s="620"/>
      <c r="I321" s="620"/>
      <c r="J321" s="620">
        <v>95</v>
      </c>
      <c r="K321" s="620">
        <v>130</v>
      </c>
      <c r="L321" s="620">
        <v>120</v>
      </c>
      <c r="M321" s="625"/>
    </row>
    <row r="322" spans="1:13" ht="15.75">
      <c r="A322" s="600"/>
      <c r="B322" s="626" t="s">
        <v>607</v>
      </c>
      <c r="C322" s="627" t="s">
        <v>373</v>
      </c>
      <c r="D322" s="627"/>
      <c r="E322" s="628"/>
      <c r="F322" s="619"/>
      <c r="G322" s="620"/>
      <c r="H322" s="620"/>
      <c r="I322" s="620"/>
      <c r="J322" s="620"/>
      <c r="K322" s="620">
        <v>245</v>
      </c>
      <c r="L322" s="620">
        <v>300</v>
      </c>
      <c r="M322" s="625"/>
    </row>
    <row r="323" spans="1:13" ht="15.75">
      <c r="A323" s="600"/>
      <c r="B323" s="626" t="s">
        <v>608</v>
      </c>
      <c r="C323" s="627" t="s">
        <v>585</v>
      </c>
      <c r="D323" s="627"/>
      <c r="E323" s="628"/>
      <c r="F323" s="619"/>
      <c r="G323" s="620"/>
      <c r="H323" s="620"/>
      <c r="I323" s="620"/>
      <c r="J323" s="620">
        <v>60</v>
      </c>
      <c r="K323" s="620">
        <v>48</v>
      </c>
      <c r="L323" s="620">
        <v>48</v>
      </c>
      <c r="M323" s="625"/>
    </row>
    <row r="324" spans="1:13" ht="15.75">
      <c r="A324" s="600"/>
      <c r="B324" s="626" t="s">
        <v>609</v>
      </c>
      <c r="C324" s="627" t="s">
        <v>605</v>
      </c>
      <c r="D324" s="627"/>
      <c r="E324" s="628"/>
      <c r="F324" s="619"/>
      <c r="G324" s="620"/>
      <c r="H324" s="620"/>
      <c r="I324" s="620"/>
      <c r="J324" s="620">
        <v>980</v>
      </c>
      <c r="K324" s="620">
        <v>890</v>
      </c>
      <c r="L324" s="620">
        <v>965</v>
      </c>
      <c r="M324" s="625"/>
    </row>
    <row r="325" spans="1:13" ht="15.75">
      <c r="A325" s="600"/>
      <c r="B325" s="626" t="s">
        <v>610</v>
      </c>
      <c r="C325" s="627" t="s">
        <v>605</v>
      </c>
      <c r="D325" s="627"/>
      <c r="E325" s="628"/>
      <c r="F325" s="629">
        <v>1250</v>
      </c>
      <c r="G325" s="620"/>
      <c r="H325" s="620"/>
      <c r="I325" s="620"/>
      <c r="J325" s="620">
        <v>1150</v>
      </c>
      <c r="K325" s="620"/>
      <c r="L325" s="620"/>
      <c r="M325" s="625"/>
    </row>
    <row r="326" spans="1:13" ht="15.75">
      <c r="A326" s="600"/>
      <c r="B326" s="626" t="s">
        <v>611</v>
      </c>
      <c r="C326" s="627" t="s">
        <v>612</v>
      </c>
      <c r="D326" s="627"/>
      <c r="E326" s="628"/>
      <c r="F326" s="629">
        <v>750</v>
      </c>
      <c r="G326" s="620"/>
      <c r="H326" s="620"/>
      <c r="I326" s="620"/>
      <c r="J326" s="620">
        <v>950</v>
      </c>
      <c r="K326" s="620">
        <v>850</v>
      </c>
      <c r="L326" s="620"/>
      <c r="M326" s="625"/>
    </row>
    <row r="327" spans="1:13" ht="15.75">
      <c r="A327" s="600"/>
      <c r="B327" s="626" t="s">
        <v>613</v>
      </c>
      <c r="C327" s="627" t="s">
        <v>605</v>
      </c>
      <c r="D327" s="627"/>
      <c r="E327" s="628"/>
      <c r="F327" s="619"/>
      <c r="G327" s="620"/>
      <c r="H327" s="620"/>
      <c r="I327" s="620"/>
      <c r="J327" s="620">
        <v>1150</v>
      </c>
      <c r="K327" s="620">
        <v>1250</v>
      </c>
      <c r="L327" s="620">
        <v>1350</v>
      </c>
      <c r="M327" s="625"/>
    </row>
    <row r="328" spans="1:13" ht="15.75">
      <c r="A328" s="600"/>
      <c r="B328" s="626" t="s">
        <v>614</v>
      </c>
      <c r="C328" s="627" t="s">
        <v>612</v>
      </c>
      <c r="D328" s="627"/>
      <c r="E328" s="628"/>
      <c r="F328" s="629">
        <v>420</v>
      </c>
      <c r="G328" s="620"/>
      <c r="H328" s="620"/>
      <c r="I328" s="620"/>
      <c r="J328" s="620">
        <v>450</v>
      </c>
      <c r="K328" s="620">
        <v>420</v>
      </c>
      <c r="L328" s="620">
        <v>450</v>
      </c>
      <c r="M328" s="625"/>
    </row>
    <row r="329" spans="1:13" ht="15.75">
      <c r="A329" s="600"/>
      <c r="B329" s="626" t="s">
        <v>615</v>
      </c>
      <c r="C329" s="627" t="s">
        <v>612</v>
      </c>
      <c r="D329" s="627"/>
      <c r="E329" s="628"/>
      <c r="F329" s="629">
        <v>1100</v>
      </c>
      <c r="G329" s="620"/>
      <c r="H329" s="620"/>
      <c r="I329" s="620"/>
      <c r="J329" s="620">
        <v>765</v>
      </c>
      <c r="K329" s="620"/>
      <c r="L329" s="620"/>
      <c r="M329" s="625"/>
    </row>
    <row r="330" spans="1:13" ht="15.75">
      <c r="A330" s="600"/>
      <c r="B330" s="626" t="s">
        <v>616</v>
      </c>
      <c r="C330" s="627" t="s">
        <v>612</v>
      </c>
      <c r="D330" s="627"/>
      <c r="E330" s="628"/>
      <c r="F330" s="629">
        <v>650</v>
      </c>
      <c r="G330" s="620"/>
      <c r="H330" s="620"/>
      <c r="I330" s="620"/>
      <c r="J330" s="620">
        <v>780</v>
      </c>
      <c r="K330" s="620">
        <v>650</v>
      </c>
      <c r="L330" s="620">
        <v>650</v>
      </c>
      <c r="M330" s="625"/>
    </row>
    <row r="331" spans="1:13" ht="15.75">
      <c r="A331" s="600"/>
      <c r="B331" s="626" t="s">
        <v>617</v>
      </c>
      <c r="C331" s="627" t="s">
        <v>605</v>
      </c>
      <c r="D331" s="627"/>
      <c r="E331" s="628"/>
      <c r="F331" s="619"/>
      <c r="G331" s="620"/>
      <c r="H331" s="620"/>
      <c r="I331" s="620"/>
      <c r="J331" s="620">
        <v>320</v>
      </c>
      <c r="K331" s="620">
        <v>360</v>
      </c>
      <c r="L331" s="620">
        <v>350</v>
      </c>
      <c r="M331" s="625"/>
    </row>
    <row r="332" spans="1:13" ht="15.75">
      <c r="A332" s="600"/>
      <c r="B332" s="626" t="s">
        <v>618</v>
      </c>
      <c r="C332" s="627" t="s">
        <v>612</v>
      </c>
      <c r="D332" s="627"/>
      <c r="E332" s="628"/>
      <c r="F332" s="629">
        <v>350</v>
      </c>
      <c r="G332" s="620"/>
      <c r="H332" s="620"/>
      <c r="I332" s="620"/>
      <c r="J332" s="620">
        <v>380</v>
      </c>
      <c r="K332" s="620">
        <v>390</v>
      </c>
      <c r="L332" s="620">
        <v>390</v>
      </c>
      <c r="M332" s="625"/>
    </row>
    <row r="333" spans="1:13" ht="15.75">
      <c r="A333" s="600"/>
      <c r="B333" s="626" t="s">
        <v>619</v>
      </c>
      <c r="C333" s="627" t="s">
        <v>373</v>
      </c>
      <c r="D333" s="627"/>
      <c r="E333" s="628"/>
      <c r="F333" s="619"/>
      <c r="G333" s="620"/>
      <c r="H333" s="620"/>
      <c r="I333" s="620"/>
      <c r="J333" s="620">
        <v>1050</v>
      </c>
      <c r="K333" s="620">
        <v>1090</v>
      </c>
      <c r="L333" s="620">
        <v>1100</v>
      </c>
      <c r="M333" s="625"/>
    </row>
    <row r="334" spans="1:13" ht="15.75">
      <c r="A334" s="600"/>
      <c r="B334" s="626" t="s">
        <v>620</v>
      </c>
      <c r="C334" s="627" t="s">
        <v>21</v>
      </c>
      <c r="D334" s="627"/>
      <c r="E334" s="628"/>
      <c r="F334" s="619"/>
      <c r="G334" s="620"/>
      <c r="H334" s="620"/>
      <c r="I334" s="620"/>
      <c r="J334" s="620">
        <v>75</v>
      </c>
      <c r="K334" s="620">
        <v>90</v>
      </c>
      <c r="L334" s="620">
        <v>90</v>
      </c>
      <c r="M334" s="625"/>
    </row>
    <row r="335" spans="1:13" ht="15.75">
      <c r="A335" s="600"/>
      <c r="B335" s="626" t="s">
        <v>621</v>
      </c>
      <c r="C335" s="627" t="s">
        <v>238</v>
      </c>
      <c r="D335" s="627"/>
      <c r="E335" s="628"/>
      <c r="F335" s="629">
        <v>120</v>
      </c>
      <c r="G335" s="620"/>
      <c r="H335" s="620"/>
      <c r="I335" s="620"/>
      <c r="J335" s="638">
        <v>95</v>
      </c>
      <c r="K335" s="620">
        <v>120</v>
      </c>
      <c r="L335" s="620">
        <v>120</v>
      </c>
      <c r="M335" s="625"/>
    </row>
    <row r="336" spans="1:13" s="593" customFormat="1" ht="15.75">
      <c r="A336" s="606" t="s">
        <v>132</v>
      </c>
      <c r="B336" s="607"/>
      <c r="C336" s="608"/>
      <c r="D336" s="608"/>
      <c r="E336" s="647"/>
      <c r="F336" s="608"/>
      <c r="G336" s="648"/>
      <c r="H336" s="648"/>
      <c r="I336" s="648"/>
      <c r="J336" s="648"/>
      <c r="K336" s="648"/>
      <c r="L336" s="648"/>
      <c r="M336" s="655"/>
    </row>
    <row r="337" spans="1:13" ht="15.75">
      <c r="A337" s="649"/>
      <c r="B337" s="601" t="s">
        <v>622</v>
      </c>
      <c r="C337" s="602" t="s">
        <v>350</v>
      </c>
      <c r="D337" s="602"/>
      <c r="E337" s="650"/>
      <c r="F337" s="629">
        <v>650</v>
      </c>
      <c r="G337" s="620"/>
      <c r="H337" s="620"/>
      <c r="I337" s="620"/>
      <c r="J337" s="620">
        <v>505</v>
      </c>
      <c r="K337" s="620"/>
      <c r="L337" s="620"/>
      <c r="M337" s="625"/>
    </row>
    <row r="338" spans="1:13" ht="15.75">
      <c r="A338" s="649"/>
      <c r="B338" s="601" t="s">
        <v>623</v>
      </c>
      <c r="C338" s="602" t="s">
        <v>350</v>
      </c>
      <c r="D338" s="602"/>
      <c r="E338" s="650"/>
      <c r="F338" s="629">
        <v>800</v>
      </c>
      <c r="G338" s="620"/>
      <c r="H338" s="620"/>
      <c r="I338" s="620"/>
      <c r="J338" s="620">
        <v>650</v>
      </c>
      <c r="K338" s="620">
        <v>720</v>
      </c>
      <c r="L338" s="620">
        <v>930</v>
      </c>
      <c r="M338" s="625"/>
    </row>
    <row r="339" spans="1:13" ht="15.75">
      <c r="A339" s="649"/>
      <c r="B339" s="601" t="s">
        <v>624</v>
      </c>
      <c r="C339" s="602" t="s">
        <v>350</v>
      </c>
      <c r="D339" s="602"/>
      <c r="E339" s="650"/>
      <c r="F339" s="629">
        <v>950</v>
      </c>
      <c r="G339" s="620"/>
      <c r="H339" s="620"/>
      <c r="I339" s="620"/>
      <c r="J339" s="620">
        <v>680</v>
      </c>
      <c r="K339" s="620"/>
      <c r="L339" s="620"/>
      <c r="M339" s="625"/>
    </row>
    <row r="340" spans="1:13" ht="15.75">
      <c r="A340" s="649"/>
      <c r="B340" s="601" t="s">
        <v>625</v>
      </c>
      <c r="C340" s="602" t="s">
        <v>350</v>
      </c>
      <c r="D340" s="602"/>
      <c r="E340" s="650"/>
      <c r="F340" s="629">
        <v>1300</v>
      </c>
      <c r="G340" s="620"/>
      <c r="H340" s="620"/>
      <c r="I340" s="620"/>
      <c r="J340" s="620">
        <v>750</v>
      </c>
      <c r="K340" s="620">
        <v>760</v>
      </c>
      <c r="L340" s="620"/>
      <c r="M340" s="625"/>
    </row>
    <row r="341" spans="1:13" ht="15.75">
      <c r="A341" s="649"/>
      <c r="B341" s="601" t="s">
        <v>626</v>
      </c>
      <c r="C341" s="602" t="s">
        <v>350</v>
      </c>
      <c r="D341" s="602"/>
      <c r="E341" s="650"/>
      <c r="F341" s="629">
        <v>1500</v>
      </c>
      <c r="G341" s="620"/>
      <c r="H341" s="620"/>
      <c r="I341" s="620"/>
      <c r="J341" s="620">
        <v>1430</v>
      </c>
      <c r="K341" s="620"/>
      <c r="L341" s="620">
        <v>1210</v>
      </c>
      <c r="M341" s="625"/>
    </row>
    <row r="342" spans="1:13" ht="15.75">
      <c r="A342" s="649"/>
      <c r="B342" s="626" t="s">
        <v>627</v>
      </c>
      <c r="C342" s="644" t="s">
        <v>350</v>
      </c>
      <c r="D342" s="644"/>
      <c r="E342" s="628"/>
      <c r="F342" s="629">
        <v>1700</v>
      </c>
      <c r="G342" s="620"/>
      <c r="H342" s="620"/>
      <c r="I342" s="620"/>
      <c r="J342" s="620">
        <v>2100</v>
      </c>
      <c r="K342" s="620"/>
      <c r="L342" s="620"/>
      <c r="M342" s="625"/>
    </row>
    <row r="343" spans="1:13" ht="15.75">
      <c r="A343" s="649"/>
      <c r="B343" s="601" t="s">
        <v>628</v>
      </c>
      <c r="C343" s="602" t="s">
        <v>350</v>
      </c>
      <c r="D343" s="602"/>
      <c r="E343" s="650"/>
      <c r="F343" s="629"/>
      <c r="G343" s="620"/>
      <c r="H343" s="620"/>
      <c r="I343" s="620"/>
      <c r="J343" s="620">
        <v>550</v>
      </c>
      <c r="K343" s="620"/>
      <c r="L343" s="620"/>
      <c r="M343" s="625"/>
    </row>
    <row r="344" spans="1:13" ht="15.75">
      <c r="A344" s="649"/>
      <c r="B344" s="601" t="s">
        <v>629</v>
      </c>
      <c r="C344" s="602" t="s">
        <v>350</v>
      </c>
      <c r="D344" s="602"/>
      <c r="E344" s="650"/>
      <c r="F344" s="629"/>
      <c r="G344" s="620"/>
      <c r="H344" s="620"/>
      <c r="I344" s="620"/>
      <c r="J344" s="620">
        <v>680</v>
      </c>
      <c r="K344" s="620">
        <v>490</v>
      </c>
      <c r="L344" s="620">
        <v>550</v>
      </c>
      <c r="M344" s="625"/>
    </row>
    <row r="345" spans="1:13" ht="15.75">
      <c r="A345" s="649"/>
      <c r="B345" s="601" t="s">
        <v>630</v>
      </c>
      <c r="C345" s="602" t="s">
        <v>350</v>
      </c>
      <c r="D345" s="602"/>
      <c r="E345" s="650"/>
      <c r="F345" s="629"/>
      <c r="G345" s="620"/>
      <c r="H345" s="620"/>
      <c r="I345" s="620"/>
      <c r="J345" s="620">
        <v>755</v>
      </c>
      <c r="K345" s="620"/>
      <c r="L345" s="620"/>
      <c r="M345" s="625"/>
    </row>
    <row r="346" spans="1:13" ht="15.75">
      <c r="A346" s="649"/>
      <c r="B346" s="601" t="s">
        <v>631</v>
      </c>
      <c r="C346" s="602" t="s">
        <v>350</v>
      </c>
      <c r="D346" s="602"/>
      <c r="E346" s="650"/>
      <c r="F346" s="629"/>
      <c r="G346" s="620"/>
      <c r="H346" s="620"/>
      <c r="I346" s="620"/>
      <c r="J346" s="620">
        <v>990</v>
      </c>
      <c r="K346" s="620"/>
      <c r="L346" s="620"/>
      <c r="M346" s="625"/>
    </row>
    <row r="347" spans="1:13" ht="15.75">
      <c r="A347" s="649"/>
      <c r="B347" s="601" t="s">
        <v>632</v>
      </c>
      <c r="C347" s="602" t="s">
        <v>350</v>
      </c>
      <c r="D347" s="602"/>
      <c r="E347" s="650"/>
      <c r="F347" s="629"/>
      <c r="G347" s="620"/>
      <c r="H347" s="620"/>
      <c r="I347" s="620"/>
      <c r="J347" s="620"/>
      <c r="K347" s="620">
        <v>490</v>
      </c>
      <c r="L347" s="620"/>
      <c r="M347" s="625"/>
    </row>
    <row r="348" spans="1:13" ht="15.75">
      <c r="A348" s="649"/>
      <c r="B348" s="601" t="s">
        <v>633</v>
      </c>
      <c r="C348" s="602" t="s">
        <v>350</v>
      </c>
      <c r="D348" s="602"/>
      <c r="E348" s="650"/>
      <c r="F348" s="629"/>
      <c r="G348" s="620"/>
      <c r="H348" s="620"/>
      <c r="I348" s="620"/>
      <c r="J348" s="620"/>
      <c r="K348" s="620">
        <v>950</v>
      </c>
      <c r="L348" s="620"/>
      <c r="M348" s="625"/>
    </row>
    <row r="349" spans="1:13" ht="15.75">
      <c r="A349" s="649"/>
      <c r="B349" s="626" t="s">
        <v>634</v>
      </c>
      <c r="C349" s="627" t="s">
        <v>350</v>
      </c>
      <c r="D349" s="627"/>
      <c r="E349" s="650"/>
      <c r="F349" s="629"/>
      <c r="G349" s="620"/>
      <c r="H349" s="620"/>
      <c r="I349" s="620"/>
      <c r="J349" s="620"/>
      <c r="K349" s="620">
        <v>485</v>
      </c>
      <c r="L349" s="620">
        <v>470</v>
      </c>
      <c r="M349" s="625"/>
    </row>
    <row r="350" spans="1:13" ht="15.75">
      <c r="A350" s="649"/>
      <c r="B350" s="601" t="s">
        <v>635</v>
      </c>
      <c r="C350" s="602" t="s">
        <v>350</v>
      </c>
      <c r="D350" s="602"/>
      <c r="E350" s="650"/>
      <c r="F350" s="629"/>
      <c r="G350" s="620"/>
      <c r="H350" s="620"/>
      <c r="I350" s="620"/>
      <c r="J350" s="620">
        <v>875</v>
      </c>
      <c r="K350" s="620"/>
      <c r="L350" s="620"/>
      <c r="M350" s="625"/>
    </row>
    <row r="351" spans="1:13" ht="15.75">
      <c r="A351" s="649"/>
      <c r="B351" s="601" t="s">
        <v>636</v>
      </c>
      <c r="C351" s="602" t="s">
        <v>350</v>
      </c>
      <c r="D351" s="602"/>
      <c r="E351" s="650"/>
      <c r="F351" s="629"/>
      <c r="G351" s="620"/>
      <c r="H351" s="620"/>
      <c r="I351" s="620"/>
      <c r="J351" s="620">
        <v>1045</v>
      </c>
      <c r="K351" s="620"/>
      <c r="L351" s="620"/>
      <c r="M351" s="625"/>
    </row>
    <row r="352" spans="1:13" ht="15.75">
      <c r="A352" s="649"/>
      <c r="B352" s="601" t="s">
        <v>637</v>
      </c>
      <c r="C352" s="602" t="s">
        <v>350</v>
      </c>
      <c r="D352" s="602"/>
      <c r="E352" s="650"/>
      <c r="F352" s="629"/>
      <c r="G352" s="620"/>
      <c r="H352" s="620"/>
      <c r="I352" s="620"/>
      <c r="J352" s="620">
        <v>1650</v>
      </c>
      <c r="K352" s="620"/>
      <c r="L352" s="620"/>
      <c r="M352" s="625"/>
    </row>
    <row r="353" spans="1:13" ht="15.75">
      <c r="A353" s="649"/>
      <c r="B353" s="626" t="s">
        <v>638</v>
      </c>
      <c r="C353" s="627" t="s">
        <v>350</v>
      </c>
      <c r="D353" s="627"/>
      <c r="E353" s="650"/>
      <c r="F353" s="629"/>
      <c r="G353" s="620"/>
      <c r="H353" s="620"/>
      <c r="I353" s="620"/>
      <c r="J353" s="620">
        <v>1750</v>
      </c>
      <c r="K353" s="620"/>
      <c r="L353" s="620"/>
      <c r="M353" s="625"/>
    </row>
    <row r="354" spans="1:13" ht="15.75">
      <c r="A354" s="600"/>
      <c r="B354" s="626" t="s">
        <v>639</v>
      </c>
      <c r="C354" s="627" t="s">
        <v>605</v>
      </c>
      <c r="D354" s="627"/>
      <c r="E354" s="628"/>
      <c r="F354" s="629">
        <v>14000</v>
      </c>
      <c r="G354" s="620"/>
      <c r="H354" s="620"/>
      <c r="I354" s="620"/>
      <c r="J354" s="620">
        <v>10500</v>
      </c>
      <c r="K354" s="620"/>
      <c r="L354" s="620"/>
      <c r="M354" s="625"/>
    </row>
    <row r="355" spans="1:13" ht="15.75">
      <c r="A355" s="600"/>
      <c r="B355" s="626" t="s">
        <v>640</v>
      </c>
      <c r="C355" s="627" t="s">
        <v>605</v>
      </c>
      <c r="D355" s="627"/>
      <c r="E355" s="628"/>
      <c r="F355" s="629">
        <v>17000</v>
      </c>
      <c r="G355" s="620"/>
      <c r="H355" s="620"/>
      <c r="I355" s="620"/>
      <c r="J355" s="620">
        <v>14500</v>
      </c>
      <c r="K355" s="620"/>
      <c r="L355" s="620"/>
      <c r="M355" s="625"/>
    </row>
    <row r="356" spans="1:13" ht="15.75">
      <c r="A356" s="600"/>
      <c r="B356" s="626" t="s">
        <v>641</v>
      </c>
      <c r="C356" s="627" t="s">
        <v>605</v>
      </c>
      <c r="D356" s="627"/>
      <c r="E356" s="628"/>
      <c r="F356" s="629">
        <v>7500</v>
      </c>
      <c r="G356" s="620"/>
      <c r="H356" s="620"/>
      <c r="I356" s="620"/>
      <c r="J356" s="620">
        <v>6500</v>
      </c>
      <c r="K356" s="620"/>
      <c r="L356" s="620"/>
      <c r="M356" s="625"/>
    </row>
    <row r="357" spans="1:13">
      <c r="B357" s="651" t="s">
        <v>642</v>
      </c>
      <c r="C357" s="652"/>
      <c r="D357" s="652"/>
      <c r="E357" s="653"/>
      <c r="F357" s="652"/>
      <c r="G357" s="654"/>
      <c r="H357" s="654"/>
      <c r="I357" s="654"/>
      <c r="J357" s="654"/>
      <c r="K357" s="654"/>
      <c r="L357" s="654"/>
      <c r="M357" s="656"/>
    </row>
    <row r="358" spans="1:13">
      <c r="A358" s="649"/>
      <c r="B358" s="642" t="s">
        <v>643</v>
      </c>
      <c r="C358" s="602" t="s">
        <v>238</v>
      </c>
      <c r="D358" s="602"/>
      <c r="E358" s="650"/>
      <c r="F358" s="619"/>
      <c r="G358" s="620"/>
      <c r="H358" s="620"/>
      <c r="I358" s="620"/>
      <c r="J358" s="620"/>
      <c r="K358" s="620">
        <v>175</v>
      </c>
      <c r="L358" s="620">
        <v>150</v>
      </c>
      <c r="M358" s="625"/>
    </row>
    <row r="359" spans="1:13">
      <c r="A359" s="649"/>
      <c r="B359" s="602" t="s">
        <v>644</v>
      </c>
      <c r="C359" s="602" t="s">
        <v>21</v>
      </c>
      <c r="D359" s="602"/>
      <c r="E359" s="650"/>
      <c r="F359" s="619"/>
      <c r="G359" s="620"/>
      <c r="H359" s="620"/>
      <c r="I359" s="620"/>
      <c r="J359" s="620"/>
      <c r="K359" s="620">
        <v>175</v>
      </c>
      <c r="L359" s="620"/>
      <c r="M359" s="625"/>
    </row>
    <row r="360" spans="1:13">
      <c r="A360" s="649"/>
      <c r="B360" s="602" t="s">
        <v>645</v>
      </c>
      <c r="C360" s="602" t="s">
        <v>21</v>
      </c>
      <c r="D360" s="602"/>
      <c r="E360" s="650"/>
      <c r="F360" s="619"/>
      <c r="G360" s="620"/>
      <c r="H360" s="620"/>
      <c r="I360" s="620"/>
      <c r="J360" s="620"/>
      <c r="K360" s="620">
        <v>175</v>
      </c>
      <c r="L360" s="620"/>
      <c r="M360" s="625"/>
    </row>
    <row r="361" spans="1:13" ht="15.75">
      <c r="A361" s="649"/>
      <c r="B361" s="601" t="s">
        <v>646</v>
      </c>
      <c r="C361" s="602"/>
      <c r="D361" s="602"/>
      <c r="E361" s="650"/>
      <c r="F361" s="619"/>
      <c r="G361" s="620"/>
      <c r="H361" s="620"/>
      <c r="I361" s="620"/>
      <c r="J361" s="620"/>
      <c r="K361" s="620">
        <v>175</v>
      </c>
      <c r="L361" s="620">
        <v>160</v>
      </c>
      <c r="M361" s="625"/>
    </row>
    <row r="362" spans="1:13" ht="15.75">
      <c r="A362" s="649"/>
      <c r="B362" s="601" t="s">
        <v>647</v>
      </c>
      <c r="C362" s="602" t="s">
        <v>21</v>
      </c>
      <c r="D362" s="602"/>
      <c r="E362" s="650"/>
      <c r="F362" s="619"/>
      <c r="G362" s="620"/>
      <c r="H362" s="620"/>
      <c r="I362" s="620"/>
      <c r="J362" s="620"/>
      <c r="K362" s="620">
        <v>15</v>
      </c>
      <c r="L362" s="620"/>
      <c r="M362" s="625"/>
    </row>
    <row r="363" spans="1:13" ht="15.75">
      <c r="A363" s="649"/>
      <c r="B363" s="601" t="s">
        <v>648</v>
      </c>
      <c r="C363" s="602"/>
      <c r="D363" s="602"/>
      <c r="E363" s="650"/>
      <c r="F363" s="619"/>
      <c r="G363" s="620"/>
      <c r="H363" s="620"/>
      <c r="I363" s="620"/>
      <c r="J363" s="620"/>
      <c r="K363" s="620"/>
      <c r="L363" s="620">
        <v>20</v>
      </c>
      <c r="M363" s="625"/>
    </row>
    <row r="364" spans="1:13" ht="15.75">
      <c r="A364" s="649"/>
      <c r="B364" s="601" t="s">
        <v>649</v>
      </c>
      <c r="C364" s="602" t="s">
        <v>21</v>
      </c>
      <c r="D364" s="602"/>
      <c r="E364" s="650"/>
      <c r="F364" s="619"/>
      <c r="G364" s="620"/>
      <c r="H364" s="620"/>
      <c r="I364" s="620"/>
      <c r="J364" s="620"/>
      <c r="K364" s="620"/>
      <c r="L364" s="620">
        <v>15</v>
      </c>
      <c r="M364" s="625"/>
    </row>
    <row r="365" spans="1:13" ht="15.75">
      <c r="A365" s="649"/>
      <c r="B365" s="601" t="s">
        <v>650</v>
      </c>
      <c r="C365" s="602" t="s">
        <v>21</v>
      </c>
      <c r="D365" s="602"/>
      <c r="E365" s="650"/>
      <c r="F365" s="619"/>
      <c r="G365" s="620"/>
      <c r="H365" s="620"/>
      <c r="I365" s="620"/>
      <c r="J365" s="620"/>
      <c r="K365" s="620"/>
      <c r="L365" s="620">
        <v>20</v>
      </c>
      <c r="M365" s="625"/>
    </row>
    <row r="366" spans="1:13" ht="15.75">
      <c r="A366" s="649"/>
      <c r="B366" s="601" t="s">
        <v>651</v>
      </c>
      <c r="C366" s="602" t="s">
        <v>21</v>
      </c>
      <c r="D366" s="602"/>
      <c r="E366" s="650"/>
      <c r="F366" s="619"/>
      <c r="G366" s="620"/>
      <c r="H366" s="620"/>
      <c r="I366" s="620"/>
      <c r="J366" s="620"/>
      <c r="K366" s="620">
        <v>25</v>
      </c>
      <c r="L366" s="620"/>
      <c r="M366" s="625"/>
    </row>
    <row r="367" spans="1:13" ht="15.75">
      <c r="A367" s="649"/>
      <c r="B367" s="601" t="s">
        <v>652</v>
      </c>
      <c r="C367" s="602"/>
      <c r="D367" s="602"/>
      <c r="E367" s="650"/>
      <c r="F367" s="619"/>
      <c r="G367" s="620"/>
      <c r="H367" s="620"/>
      <c r="I367" s="620"/>
      <c r="J367" s="620"/>
      <c r="K367" s="620">
        <v>35</v>
      </c>
      <c r="L367" s="620"/>
      <c r="M367" s="625"/>
    </row>
    <row r="368" spans="1:13">
      <c r="A368" s="649"/>
      <c r="B368" s="602" t="s">
        <v>653</v>
      </c>
      <c r="C368" s="602" t="s">
        <v>238</v>
      </c>
      <c r="D368" s="602"/>
      <c r="E368" s="650"/>
      <c r="F368" s="619"/>
      <c r="G368" s="620"/>
      <c r="H368" s="620"/>
      <c r="I368" s="620"/>
      <c r="J368" s="620"/>
      <c r="K368" s="620"/>
      <c r="L368" s="620">
        <v>150</v>
      </c>
      <c r="M368" s="625"/>
    </row>
    <row r="369" spans="1:13">
      <c r="A369" s="649"/>
      <c r="B369" s="602"/>
      <c r="C369" s="602"/>
      <c r="D369" s="602"/>
      <c r="E369" s="650"/>
      <c r="F369" s="619"/>
      <c r="G369" s="620"/>
      <c r="H369" s="620"/>
      <c r="I369" s="620"/>
      <c r="J369" s="620"/>
      <c r="K369" s="620"/>
      <c r="L369" s="620"/>
      <c r="M369" s="625"/>
    </row>
    <row r="370" spans="1:13" s="593" customFormat="1" ht="15.75">
      <c r="A370" s="606" t="s">
        <v>303</v>
      </c>
      <c r="B370" s="607"/>
      <c r="C370" s="608"/>
      <c r="D370" s="608"/>
      <c r="E370" s="647"/>
      <c r="F370" s="608"/>
      <c r="G370" s="648"/>
      <c r="H370" s="648"/>
      <c r="I370" s="648"/>
      <c r="J370" s="648"/>
      <c r="K370" s="648"/>
      <c r="L370" s="648"/>
      <c r="M370" s="655"/>
    </row>
    <row r="371" spans="1:13" ht="15.75">
      <c r="A371" s="649"/>
      <c r="B371" s="601" t="s">
        <v>654</v>
      </c>
      <c r="C371" s="602" t="s">
        <v>373</v>
      </c>
      <c r="D371" s="602"/>
      <c r="E371" s="650"/>
      <c r="F371" s="619"/>
      <c r="G371" s="620"/>
      <c r="H371" s="620"/>
      <c r="I371" s="620"/>
      <c r="J371" s="620">
        <v>1</v>
      </c>
      <c r="K371" s="620">
        <v>0.5</v>
      </c>
      <c r="L371" s="620">
        <v>0.75</v>
      </c>
      <c r="M371" s="625"/>
    </row>
    <row r="372" spans="1:13" ht="15.75">
      <c r="A372" s="600"/>
      <c r="B372" s="626" t="s">
        <v>654</v>
      </c>
      <c r="C372" s="617" t="s">
        <v>591</v>
      </c>
      <c r="D372" s="617"/>
      <c r="E372" s="628"/>
      <c r="F372" s="619"/>
      <c r="G372" s="620"/>
      <c r="H372" s="620"/>
      <c r="I372" s="620"/>
      <c r="J372" s="620">
        <v>500</v>
      </c>
      <c r="K372" s="620">
        <v>290</v>
      </c>
      <c r="L372" s="620">
        <v>450</v>
      </c>
      <c r="M372" s="625"/>
    </row>
    <row r="373" spans="1:13" ht="15.75">
      <c r="A373" s="600"/>
      <c r="B373" s="626" t="s">
        <v>655</v>
      </c>
      <c r="C373" s="617" t="s">
        <v>350</v>
      </c>
      <c r="D373" s="617"/>
      <c r="E373" s="628"/>
      <c r="F373" s="629">
        <v>450</v>
      </c>
      <c r="G373" s="620"/>
      <c r="H373" s="620"/>
      <c r="I373" s="620"/>
      <c r="J373" s="620">
        <v>450</v>
      </c>
      <c r="K373" s="620">
        <v>430</v>
      </c>
      <c r="L373" s="620">
        <v>445</v>
      </c>
      <c r="M373" s="625"/>
    </row>
    <row r="374" spans="1:13" ht="15.75">
      <c r="A374" s="600"/>
      <c r="B374" s="626" t="s">
        <v>656</v>
      </c>
      <c r="C374" s="617" t="s">
        <v>350</v>
      </c>
      <c r="D374" s="617"/>
      <c r="E374" s="628"/>
      <c r="F374" s="629">
        <v>550</v>
      </c>
      <c r="G374" s="620"/>
      <c r="H374" s="620"/>
      <c r="I374" s="620"/>
      <c r="J374" s="620">
        <v>550</v>
      </c>
      <c r="K374" s="620">
        <v>510</v>
      </c>
      <c r="L374" s="620">
        <v>845</v>
      </c>
      <c r="M374" s="625"/>
    </row>
    <row r="375" spans="1:13" ht="15.75">
      <c r="A375" s="600"/>
      <c r="B375" s="626" t="s">
        <v>657</v>
      </c>
      <c r="C375" s="617" t="s">
        <v>350</v>
      </c>
      <c r="D375" s="617"/>
      <c r="E375" s="628"/>
      <c r="F375" s="629">
        <v>750</v>
      </c>
      <c r="G375" s="620"/>
      <c r="H375" s="620"/>
      <c r="I375" s="620"/>
      <c r="J375" s="620">
        <v>650</v>
      </c>
      <c r="K375" s="620">
        <v>680</v>
      </c>
      <c r="L375" s="620"/>
      <c r="M375" s="625"/>
    </row>
    <row r="376" spans="1:13" ht="15.75">
      <c r="A376" s="600"/>
      <c r="B376" s="626" t="s">
        <v>658</v>
      </c>
      <c r="C376" s="617" t="s">
        <v>605</v>
      </c>
      <c r="D376" s="617"/>
      <c r="E376" s="628"/>
      <c r="F376" s="619"/>
      <c r="G376" s="620"/>
      <c r="H376" s="620"/>
      <c r="I376" s="620"/>
      <c r="J376" s="620"/>
      <c r="K376" s="620">
        <v>4200</v>
      </c>
      <c r="L376" s="620"/>
      <c r="M376" s="625"/>
    </row>
    <row r="377" spans="1:13" ht="15.75">
      <c r="A377" s="600"/>
      <c r="B377" s="626" t="s">
        <v>659</v>
      </c>
      <c r="C377" s="619" t="s">
        <v>605</v>
      </c>
      <c r="D377" s="619"/>
      <c r="E377" s="628"/>
      <c r="F377" s="619"/>
      <c r="G377" s="620"/>
      <c r="H377" s="620"/>
      <c r="I377" s="620"/>
      <c r="J377" s="620">
        <v>340</v>
      </c>
      <c r="K377" s="620">
        <v>310</v>
      </c>
      <c r="L377" s="620"/>
      <c r="M377" s="625"/>
    </row>
    <row r="378" spans="1:13" ht="15.75">
      <c r="A378" s="600"/>
      <c r="B378" s="626" t="s">
        <v>660</v>
      </c>
      <c r="C378" s="619" t="s">
        <v>605</v>
      </c>
      <c r="D378" s="619"/>
      <c r="E378" s="628"/>
      <c r="F378" s="619"/>
      <c r="G378" s="620"/>
      <c r="H378" s="620"/>
      <c r="I378" s="620"/>
      <c r="J378" s="620">
        <v>340</v>
      </c>
      <c r="K378" s="620"/>
      <c r="L378" s="620"/>
      <c r="M378" s="625"/>
    </row>
    <row r="379" spans="1:13" ht="15.75">
      <c r="A379" s="600"/>
      <c r="B379" s="626" t="s">
        <v>661</v>
      </c>
      <c r="C379" s="619" t="s">
        <v>605</v>
      </c>
      <c r="D379" s="619"/>
      <c r="E379" s="628"/>
      <c r="F379" s="619"/>
      <c r="G379" s="620"/>
      <c r="H379" s="620"/>
      <c r="I379" s="620"/>
      <c r="J379" s="620">
        <v>405</v>
      </c>
      <c r="K379" s="620"/>
      <c r="L379" s="620"/>
      <c r="M379" s="625"/>
    </row>
    <row r="380" spans="1:13" ht="15.75">
      <c r="A380" s="600"/>
      <c r="B380" s="626" t="s">
        <v>662</v>
      </c>
      <c r="C380" s="619" t="s">
        <v>605</v>
      </c>
      <c r="D380" s="619"/>
      <c r="E380" s="628"/>
      <c r="F380" s="619"/>
      <c r="G380" s="620"/>
      <c r="H380" s="620"/>
      <c r="I380" s="620"/>
      <c r="J380" s="620"/>
      <c r="K380" s="620">
        <v>280</v>
      </c>
      <c r="L380" s="620"/>
      <c r="M380" s="625"/>
    </row>
    <row r="381" spans="1:13" ht="15.75">
      <c r="A381" s="600"/>
      <c r="B381" s="626" t="s">
        <v>663</v>
      </c>
      <c r="C381" s="617" t="s">
        <v>21</v>
      </c>
      <c r="D381" s="617"/>
      <c r="E381" s="628"/>
      <c r="F381" s="619"/>
      <c r="G381" s="620"/>
      <c r="H381" s="620"/>
      <c r="I381" s="620"/>
      <c r="J381" s="620">
        <v>405</v>
      </c>
      <c r="K381" s="620">
        <v>320</v>
      </c>
      <c r="L381" s="620">
        <v>365</v>
      </c>
      <c r="M381" s="625"/>
    </row>
    <row r="382" spans="1:13" ht="15.75">
      <c r="A382" s="600"/>
      <c r="B382" s="626" t="s">
        <v>664</v>
      </c>
      <c r="C382" s="617" t="s">
        <v>21</v>
      </c>
      <c r="D382" s="617"/>
      <c r="E382" s="628"/>
      <c r="F382" s="619"/>
      <c r="G382" s="620"/>
      <c r="H382" s="620"/>
      <c r="I382" s="620"/>
      <c r="J382" s="620">
        <v>340</v>
      </c>
      <c r="K382" s="620">
        <v>384</v>
      </c>
      <c r="L382" s="620">
        <v>438</v>
      </c>
      <c r="M382" s="625"/>
    </row>
    <row r="383" spans="1:13" ht="15.75">
      <c r="A383" s="600"/>
      <c r="B383" s="626" t="s">
        <v>665</v>
      </c>
      <c r="C383" s="617" t="s">
        <v>21</v>
      </c>
      <c r="D383" s="617"/>
      <c r="E383" s="628"/>
      <c r="F383" s="619"/>
      <c r="G383" s="620"/>
      <c r="H383" s="620"/>
      <c r="I383" s="620"/>
      <c r="J383" s="620">
        <v>320</v>
      </c>
      <c r="K383" s="620">
        <v>256</v>
      </c>
      <c r="L383" s="620">
        <v>292</v>
      </c>
      <c r="M383" s="625"/>
    </row>
    <row r="384" spans="1:13" ht="15.75">
      <c r="A384" s="600"/>
      <c r="B384" s="626" t="s">
        <v>666</v>
      </c>
      <c r="C384" s="617" t="s">
        <v>605</v>
      </c>
      <c r="D384" s="617"/>
      <c r="E384" s="628"/>
      <c r="F384" s="619"/>
      <c r="G384" s="620"/>
      <c r="H384" s="620"/>
      <c r="I384" s="620"/>
      <c r="J384" s="620">
        <v>180</v>
      </c>
      <c r="K384" s="620"/>
      <c r="L384" s="620"/>
      <c r="M384" s="625"/>
    </row>
    <row r="385" spans="1:13" ht="15.75">
      <c r="A385" s="600"/>
      <c r="B385" s="626" t="s">
        <v>667</v>
      </c>
      <c r="C385" s="619" t="s">
        <v>668</v>
      </c>
      <c r="D385" s="619"/>
      <c r="E385" s="628"/>
      <c r="F385" s="619"/>
      <c r="G385" s="620"/>
      <c r="H385" s="620"/>
      <c r="I385" s="620"/>
      <c r="J385" s="620">
        <v>50</v>
      </c>
      <c r="K385" s="620"/>
      <c r="L385" s="620"/>
      <c r="M385" s="625"/>
    </row>
    <row r="386" spans="1:13" ht="15.75">
      <c r="A386" s="600"/>
      <c r="B386" s="626" t="s">
        <v>669</v>
      </c>
      <c r="C386" s="619" t="s">
        <v>605</v>
      </c>
      <c r="D386" s="619"/>
      <c r="E386" s="628"/>
      <c r="F386" s="619"/>
      <c r="G386" s="620"/>
      <c r="H386" s="620"/>
      <c r="I386" s="620"/>
      <c r="J386" s="620">
        <v>182</v>
      </c>
      <c r="K386" s="620"/>
      <c r="L386" s="620"/>
      <c r="M386" s="625"/>
    </row>
    <row r="387" spans="1:13" ht="15.75">
      <c r="A387" s="600"/>
      <c r="B387" s="626" t="s">
        <v>670</v>
      </c>
      <c r="C387" s="617" t="s">
        <v>350</v>
      </c>
      <c r="D387" s="617"/>
      <c r="E387" s="628"/>
      <c r="F387" s="619"/>
      <c r="G387" s="620"/>
      <c r="H387" s="620"/>
      <c r="I387" s="620"/>
      <c r="J387" s="620">
        <v>220</v>
      </c>
      <c r="K387" s="620">
        <v>150</v>
      </c>
      <c r="L387" s="620">
        <v>170</v>
      </c>
      <c r="M387" s="625"/>
    </row>
    <row r="388" spans="1:13" ht="15.75">
      <c r="A388" s="600"/>
      <c r="B388" s="626" t="s">
        <v>671</v>
      </c>
      <c r="C388" s="617" t="s">
        <v>350</v>
      </c>
      <c r="D388" s="617"/>
      <c r="E388" s="628"/>
      <c r="F388" s="619"/>
      <c r="G388" s="620"/>
      <c r="H388" s="620"/>
      <c r="I388" s="620"/>
      <c r="J388" s="620">
        <v>350</v>
      </c>
      <c r="K388" s="620">
        <v>370</v>
      </c>
      <c r="L388" s="620">
        <v>385</v>
      </c>
      <c r="M388" s="625"/>
    </row>
    <row r="389" spans="1:13" ht="15.75">
      <c r="A389" s="600"/>
      <c r="B389" s="626" t="s">
        <v>672</v>
      </c>
      <c r="C389" s="617" t="s">
        <v>673</v>
      </c>
      <c r="D389" s="617"/>
      <c r="E389" s="628"/>
      <c r="F389" s="619"/>
      <c r="G389" s="620"/>
      <c r="H389" s="620"/>
      <c r="I389" s="620"/>
      <c r="J389" s="620">
        <v>950</v>
      </c>
      <c r="K389" s="620"/>
      <c r="L389" s="620">
        <v>380</v>
      </c>
      <c r="M389" s="625"/>
    </row>
    <row r="390" spans="1:13" ht="15.75">
      <c r="A390" s="600"/>
      <c r="B390" s="626" t="s">
        <v>674</v>
      </c>
      <c r="C390" s="617" t="s">
        <v>605</v>
      </c>
      <c r="D390" s="617"/>
      <c r="E390" s="628"/>
      <c r="F390" s="619"/>
      <c r="G390" s="620"/>
      <c r="H390" s="620"/>
      <c r="I390" s="620"/>
      <c r="J390" s="620">
        <v>725</v>
      </c>
      <c r="K390" s="620"/>
      <c r="L390" s="620"/>
      <c r="M390" s="625"/>
    </row>
    <row r="391" spans="1:13" ht="15.75">
      <c r="A391" s="600"/>
      <c r="B391" s="626" t="s">
        <v>675</v>
      </c>
      <c r="C391" s="617" t="s">
        <v>605</v>
      </c>
      <c r="D391" s="617"/>
      <c r="E391" s="628"/>
      <c r="F391" s="619"/>
      <c r="G391" s="620"/>
      <c r="H391" s="620"/>
      <c r="I391" s="620"/>
      <c r="J391" s="620">
        <v>475</v>
      </c>
      <c r="K391" s="620"/>
      <c r="L391" s="620"/>
      <c r="M391" s="625"/>
    </row>
    <row r="392" spans="1:13" ht="15.75">
      <c r="A392" s="600"/>
      <c r="B392" s="626" t="s">
        <v>676</v>
      </c>
      <c r="C392" s="617" t="s">
        <v>605</v>
      </c>
      <c r="D392" s="617"/>
      <c r="E392" s="628"/>
      <c r="F392" s="619"/>
      <c r="G392" s="620"/>
      <c r="H392" s="620"/>
      <c r="I392" s="620"/>
      <c r="J392" s="620">
        <v>365</v>
      </c>
      <c r="K392" s="620"/>
      <c r="L392" s="620"/>
      <c r="M392" s="625"/>
    </row>
    <row r="393" spans="1:13" ht="15.75">
      <c r="A393" s="600"/>
      <c r="B393" s="626" t="s">
        <v>677</v>
      </c>
      <c r="C393" s="617" t="s">
        <v>605</v>
      </c>
      <c r="D393" s="617"/>
      <c r="E393" s="628"/>
      <c r="F393" s="619"/>
      <c r="G393" s="620"/>
      <c r="H393" s="620"/>
      <c r="I393" s="620"/>
      <c r="J393" s="620">
        <v>245</v>
      </c>
      <c r="K393" s="620"/>
      <c r="L393" s="620"/>
      <c r="M393" s="625"/>
    </row>
    <row r="394" spans="1:13" ht="15.75">
      <c r="A394" s="600"/>
      <c r="B394" s="626" t="s">
        <v>678</v>
      </c>
      <c r="C394" s="617" t="s">
        <v>373</v>
      </c>
      <c r="D394" s="617"/>
      <c r="E394" s="628"/>
      <c r="F394" s="619"/>
      <c r="G394" s="620"/>
      <c r="H394" s="620"/>
      <c r="I394" s="620"/>
      <c r="J394" s="620"/>
      <c r="K394" s="620">
        <v>650</v>
      </c>
      <c r="L394" s="620"/>
      <c r="M394" s="625"/>
    </row>
    <row r="395" spans="1:13" ht="15.75">
      <c r="A395" s="600"/>
      <c r="B395" s="626" t="s">
        <v>679</v>
      </c>
      <c r="C395" s="617" t="s">
        <v>673</v>
      </c>
      <c r="D395" s="617"/>
      <c r="E395" s="628"/>
      <c r="F395" s="619"/>
      <c r="G395" s="620"/>
      <c r="H395" s="620"/>
      <c r="I395" s="620"/>
      <c r="J395" s="620">
        <v>410</v>
      </c>
      <c r="K395" s="620"/>
      <c r="L395" s="620"/>
      <c r="M395" s="625"/>
    </row>
    <row r="396" spans="1:13" ht="15.75">
      <c r="A396" s="600"/>
      <c r="B396" s="626" t="s">
        <v>680</v>
      </c>
      <c r="C396" s="617" t="s">
        <v>673</v>
      </c>
      <c r="D396" s="617"/>
      <c r="E396" s="628"/>
      <c r="F396" s="619"/>
      <c r="G396" s="620"/>
      <c r="H396" s="620"/>
      <c r="I396" s="620"/>
      <c r="J396" s="620">
        <v>410</v>
      </c>
      <c r="K396" s="620"/>
      <c r="L396" s="620"/>
      <c r="M396" s="625"/>
    </row>
    <row r="397" spans="1:13" ht="15.75">
      <c r="A397" s="600"/>
      <c r="B397" s="626" t="s">
        <v>681</v>
      </c>
      <c r="C397" s="617" t="s">
        <v>21</v>
      </c>
      <c r="D397" s="617"/>
      <c r="E397" s="628"/>
      <c r="F397" s="619"/>
      <c r="G397" s="620"/>
      <c r="H397" s="620"/>
      <c r="I397" s="620"/>
      <c r="J397" s="620"/>
      <c r="K397" s="620">
        <v>670</v>
      </c>
      <c r="L397" s="620">
        <v>845</v>
      </c>
      <c r="M397" s="625"/>
    </row>
    <row r="398" spans="1:13" ht="15.75">
      <c r="A398" s="600"/>
      <c r="B398" s="626" t="s">
        <v>682</v>
      </c>
      <c r="C398" s="617" t="s">
        <v>21</v>
      </c>
      <c r="D398" s="617"/>
      <c r="E398" s="628"/>
      <c r="F398" s="619"/>
      <c r="G398" s="620"/>
      <c r="H398" s="620"/>
      <c r="I398" s="620"/>
      <c r="J398" s="620"/>
      <c r="K398" s="620">
        <v>250</v>
      </c>
      <c r="L398" s="620">
        <v>260</v>
      </c>
      <c r="M398" s="625"/>
    </row>
    <row r="399" spans="1:13" ht="15.75">
      <c r="A399" s="600"/>
      <c r="B399" s="626" t="s">
        <v>683</v>
      </c>
      <c r="C399" s="617" t="s">
        <v>21</v>
      </c>
      <c r="D399" s="617"/>
      <c r="E399" s="628"/>
      <c r="F399" s="619"/>
      <c r="G399" s="620"/>
      <c r="H399" s="620"/>
      <c r="I399" s="620"/>
      <c r="J399" s="620"/>
      <c r="K399" s="620">
        <v>140</v>
      </c>
      <c r="L399" s="620">
        <v>90</v>
      </c>
      <c r="M399" s="625"/>
    </row>
    <row r="400" spans="1:13" ht="15.75">
      <c r="A400" s="600"/>
      <c r="B400" s="626" t="s">
        <v>684</v>
      </c>
      <c r="C400" s="617" t="s">
        <v>21</v>
      </c>
      <c r="D400" s="617"/>
      <c r="E400" s="628"/>
      <c r="F400" s="619"/>
      <c r="G400" s="620"/>
      <c r="H400" s="620"/>
      <c r="I400" s="620"/>
      <c r="J400" s="620"/>
      <c r="K400" s="620">
        <v>400</v>
      </c>
      <c r="L400" s="620">
        <v>438</v>
      </c>
      <c r="M400" s="625"/>
    </row>
    <row r="401" spans="1:13" ht="15.75">
      <c r="A401" s="600"/>
      <c r="B401" s="626" t="s">
        <v>685</v>
      </c>
      <c r="C401" s="617" t="s">
        <v>21</v>
      </c>
      <c r="D401" s="617"/>
      <c r="E401" s="628"/>
      <c r="F401" s="619"/>
      <c r="G401" s="620"/>
      <c r="H401" s="620"/>
      <c r="I401" s="620"/>
      <c r="J401" s="620"/>
      <c r="K401" s="620">
        <v>75</v>
      </c>
      <c r="L401" s="620">
        <v>120</v>
      </c>
      <c r="M401" s="625"/>
    </row>
    <row r="402" spans="1:13" ht="15.75">
      <c r="A402" s="600"/>
      <c r="B402" s="626" t="s">
        <v>686</v>
      </c>
      <c r="C402" s="617" t="s">
        <v>21</v>
      </c>
      <c r="D402" s="617"/>
      <c r="E402" s="628"/>
      <c r="F402" s="619"/>
      <c r="G402" s="620"/>
      <c r="H402" s="620"/>
      <c r="I402" s="620"/>
      <c r="J402" s="620">
        <v>180</v>
      </c>
      <c r="K402" s="620"/>
      <c r="L402" s="620">
        <v>275</v>
      </c>
      <c r="M402" s="625"/>
    </row>
    <row r="403" spans="1:13" ht="15.75">
      <c r="A403" s="600"/>
      <c r="B403" s="626" t="s">
        <v>687</v>
      </c>
      <c r="C403" s="617" t="s">
        <v>688</v>
      </c>
      <c r="D403" s="617"/>
      <c r="E403" s="628"/>
      <c r="F403" s="619"/>
      <c r="G403" s="620"/>
      <c r="H403" s="620"/>
      <c r="I403" s="620"/>
      <c r="J403" s="620">
        <v>550</v>
      </c>
      <c r="K403" s="620">
        <v>600</v>
      </c>
      <c r="L403" s="620">
        <v>520</v>
      </c>
      <c r="M403" s="625"/>
    </row>
    <row r="404" spans="1:13" ht="15.75">
      <c r="A404" s="600"/>
      <c r="B404" s="626" t="s">
        <v>687</v>
      </c>
      <c r="C404" s="617" t="s">
        <v>689</v>
      </c>
      <c r="D404" s="617"/>
      <c r="E404" s="628"/>
      <c r="F404" s="619"/>
      <c r="G404" s="620"/>
      <c r="H404" s="620"/>
      <c r="I404" s="620"/>
      <c r="J404" s="620"/>
      <c r="K404" s="620">
        <v>325</v>
      </c>
      <c r="L404" s="620">
        <v>350</v>
      </c>
      <c r="M404" s="625"/>
    </row>
    <row r="405" spans="1:13" ht="15.75">
      <c r="A405" s="600"/>
      <c r="B405" s="626" t="s">
        <v>690</v>
      </c>
      <c r="C405" s="617" t="s">
        <v>691</v>
      </c>
      <c r="D405" s="617"/>
      <c r="E405" s="628"/>
      <c r="F405" s="619"/>
      <c r="G405" s="620"/>
      <c r="H405" s="620"/>
      <c r="I405" s="620"/>
      <c r="J405" s="620">
        <v>550</v>
      </c>
      <c r="K405" s="620">
        <v>600</v>
      </c>
      <c r="L405" s="620"/>
      <c r="M405" s="625"/>
    </row>
    <row r="406" spans="1:13" ht="15.75">
      <c r="A406" s="600"/>
      <c r="B406" s="626" t="s">
        <v>687</v>
      </c>
      <c r="C406" s="617" t="s">
        <v>692</v>
      </c>
      <c r="D406" s="617"/>
      <c r="E406" s="628"/>
      <c r="F406" s="619"/>
      <c r="G406" s="620"/>
      <c r="H406" s="620"/>
      <c r="I406" s="620"/>
      <c r="J406" s="620">
        <v>1750</v>
      </c>
      <c r="K406" s="620"/>
      <c r="L406" s="620">
        <v>2030</v>
      </c>
      <c r="M406" s="625"/>
    </row>
    <row r="407" spans="1:13" ht="15.75">
      <c r="A407" s="600"/>
      <c r="B407" s="626" t="s">
        <v>687</v>
      </c>
      <c r="C407" s="617" t="s">
        <v>693</v>
      </c>
      <c r="D407" s="617"/>
      <c r="E407" s="628"/>
      <c r="F407" s="619"/>
      <c r="G407" s="620"/>
      <c r="H407" s="620"/>
      <c r="I407" s="620"/>
      <c r="J407" s="620">
        <v>70</v>
      </c>
      <c r="K407" s="620">
        <v>80</v>
      </c>
      <c r="L407" s="620">
        <v>60</v>
      </c>
      <c r="M407" s="625"/>
    </row>
    <row r="408" spans="1:13" ht="15.75">
      <c r="A408" s="600"/>
      <c r="B408" s="626" t="s">
        <v>694</v>
      </c>
      <c r="C408" s="617" t="s">
        <v>238</v>
      </c>
      <c r="D408" s="617"/>
      <c r="E408" s="628"/>
      <c r="F408" s="619"/>
      <c r="G408" s="620"/>
      <c r="H408" s="620"/>
      <c r="I408" s="620"/>
      <c r="J408" s="620">
        <v>180</v>
      </c>
      <c r="K408" s="620">
        <v>120</v>
      </c>
      <c r="L408" s="620">
        <v>150</v>
      </c>
      <c r="M408" s="625"/>
    </row>
    <row r="409" spans="1:13" ht="15.75">
      <c r="A409" s="600"/>
      <c r="B409" s="626" t="s">
        <v>695</v>
      </c>
      <c r="C409" s="617" t="s">
        <v>238</v>
      </c>
      <c r="D409" s="617"/>
      <c r="E409" s="628"/>
      <c r="F409" s="619"/>
      <c r="G409" s="620"/>
      <c r="H409" s="620"/>
      <c r="I409" s="620"/>
      <c r="J409" s="620">
        <v>180</v>
      </c>
      <c r="K409" s="620">
        <v>170</v>
      </c>
      <c r="L409" s="620">
        <v>120</v>
      </c>
      <c r="M409" s="625"/>
    </row>
    <row r="410" spans="1:13" ht="15.75">
      <c r="A410" s="600"/>
      <c r="B410" s="626" t="s">
        <v>696</v>
      </c>
      <c r="C410" s="617" t="s">
        <v>238</v>
      </c>
      <c r="D410" s="617"/>
      <c r="E410" s="628"/>
      <c r="F410" s="619"/>
      <c r="G410" s="620"/>
      <c r="H410" s="620"/>
      <c r="I410" s="620"/>
      <c r="J410" s="620"/>
      <c r="K410" s="620">
        <v>185</v>
      </c>
      <c r="L410" s="620"/>
      <c r="M410" s="625"/>
    </row>
    <row r="411" spans="1:13" ht="15.75">
      <c r="A411" s="600"/>
      <c r="B411" s="626"/>
      <c r="C411" s="617"/>
      <c r="D411" s="617"/>
      <c r="E411" s="628"/>
      <c r="F411" s="619"/>
      <c r="G411" s="620"/>
      <c r="H411" s="620"/>
      <c r="I411" s="620"/>
      <c r="J411" s="620"/>
      <c r="K411" s="620"/>
      <c r="L411" s="620"/>
      <c r="M411" s="625"/>
    </row>
    <row r="412" spans="1:13" s="593" customFormat="1" ht="15.75">
      <c r="A412" s="606" t="s">
        <v>157</v>
      </c>
      <c r="B412" s="607"/>
      <c r="C412" s="624"/>
      <c r="D412" s="624"/>
      <c r="E412" s="647"/>
      <c r="F412" s="608"/>
      <c r="G412" s="648"/>
      <c r="H412" s="648"/>
      <c r="I412" s="648"/>
      <c r="J412" s="648"/>
      <c r="K412" s="648"/>
      <c r="L412" s="648"/>
      <c r="M412" s="655"/>
    </row>
    <row r="413" spans="1:13" ht="15.75">
      <c r="A413" s="597"/>
      <c r="B413" s="626"/>
      <c r="C413" s="617"/>
      <c r="D413" s="617"/>
      <c r="E413" s="657"/>
      <c r="F413" s="619"/>
      <c r="G413" s="620"/>
      <c r="H413" s="620"/>
      <c r="I413" s="620"/>
      <c r="J413" s="620"/>
      <c r="K413" s="620"/>
      <c r="L413" s="620"/>
      <c r="M413" s="625"/>
    </row>
    <row r="414" spans="1:13" ht="15.75">
      <c r="A414" s="649"/>
      <c r="B414" s="601" t="s">
        <v>697</v>
      </c>
      <c r="C414" s="658" t="s">
        <v>367</v>
      </c>
      <c r="D414" s="658"/>
      <c r="E414" s="650"/>
      <c r="F414" s="619"/>
      <c r="G414" s="620"/>
      <c r="H414" s="620"/>
      <c r="I414" s="620"/>
      <c r="J414" s="620">
        <v>680</v>
      </c>
      <c r="K414" s="620">
        <v>710</v>
      </c>
      <c r="L414" s="620"/>
      <c r="M414" s="625"/>
    </row>
    <row r="415" spans="1:13" ht="15.75">
      <c r="A415" s="600"/>
      <c r="B415" s="626" t="s">
        <v>698</v>
      </c>
      <c r="C415" s="617" t="s">
        <v>367</v>
      </c>
      <c r="D415" s="617"/>
      <c r="E415" s="628"/>
      <c r="F415" s="619"/>
      <c r="G415" s="620"/>
      <c r="H415" s="620"/>
      <c r="I415" s="620"/>
      <c r="J415" s="620">
        <v>680</v>
      </c>
      <c r="K415" s="620">
        <v>720</v>
      </c>
      <c r="L415" s="620">
        <v>790</v>
      </c>
      <c r="M415" s="625"/>
    </row>
    <row r="416" spans="1:13" ht="15.75">
      <c r="A416" s="600"/>
      <c r="B416" s="626" t="s">
        <v>698</v>
      </c>
      <c r="C416" s="617" t="s">
        <v>460</v>
      </c>
      <c r="D416" s="617"/>
      <c r="E416" s="628"/>
      <c r="F416" s="619"/>
      <c r="G416" s="620"/>
      <c r="H416" s="620"/>
      <c r="I416" s="620"/>
      <c r="J416" s="620">
        <v>250</v>
      </c>
      <c r="K416" s="620">
        <v>220</v>
      </c>
      <c r="L416" s="620">
        <v>225</v>
      </c>
      <c r="M416" s="625"/>
    </row>
    <row r="417" spans="1:13" ht="15.75">
      <c r="A417" s="600"/>
      <c r="B417" s="626" t="s">
        <v>699</v>
      </c>
      <c r="C417" s="617" t="s">
        <v>21</v>
      </c>
      <c r="D417" s="617"/>
      <c r="E417" s="628"/>
      <c r="F417" s="619"/>
      <c r="G417" s="620"/>
      <c r="H417" s="620"/>
      <c r="I417" s="620"/>
      <c r="J417" s="620">
        <v>75</v>
      </c>
      <c r="K417" s="620">
        <v>65</v>
      </c>
      <c r="L417" s="620">
        <v>60</v>
      </c>
      <c r="M417" s="625"/>
    </row>
    <row r="418" spans="1:13" ht="15.75">
      <c r="A418" s="600"/>
      <c r="B418" s="626" t="s">
        <v>700</v>
      </c>
      <c r="C418" s="617" t="s">
        <v>367</v>
      </c>
      <c r="D418" s="617"/>
      <c r="E418" s="628"/>
      <c r="F418" s="619"/>
      <c r="G418" s="620"/>
      <c r="H418" s="620"/>
      <c r="I418" s="620"/>
      <c r="J418" s="620">
        <v>180</v>
      </c>
      <c r="K418" s="620">
        <v>195</v>
      </c>
      <c r="L418" s="620">
        <v>360</v>
      </c>
      <c r="M418" s="625"/>
    </row>
    <row r="419" spans="1:13" ht="15.75">
      <c r="A419" s="600"/>
      <c r="B419" s="626" t="s">
        <v>701</v>
      </c>
      <c r="C419" s="617" t="s">
        <v>692</v>
      </c>
      <c r="D419" s="617"/>
      <c r="E419" s="628"/>
      <c r="F419" s="619"/>
      <c r="G419" s="620"/>
      <c r="H419" s="620"/>
      <c r="I419" s="620"/>
      <c r="J419" s="620">
        <v>350</v>
      </c>
      <c r="K419" s="620">
        <v>400</v>
      </c>
      <c r="L419" s="620">
        <v>450</v>
      </c>
      <c r="M419" s="625"/>
    </row>
    <row r="420" spans="1:13" ht="15.75">
      <c r="A420" s="600"/>
      <c r="B420" s="626" t="s">
        <v>702</v>
      </c>
      <c r="C420" s="617" t="s">
        <v>692</v>
      </c>
      <c r="D420" s="617"/>
      <c r="E420" s="628"/>
      <c r="F420" s="619"/>
      <c r="G420" s="620"/>
      <c r="H420" s="620"/>
      <c r="I420" s="620"/>
      <c r="J420" s="620">
        <v>650</v>
      </c>
      <c r="K420" s="620">
        <v>630</v>
      </c>
      <c r="L420" s="620">
        <v>680</v>
      </c>
      <c r="M420" s="625"/>
    </row>
    <row r="421" spans="1:13" ht="15.75">
      <c r="A421" s="600"/>
      <c r="B421" s="626" t="s">
        <v>703</v>
      </c>
      <c r="C421" s="617" t="s">
        <v>692</v>
      </c>
      <c r="D421" s="617"/>
      <c r="E421" s="628"/>
      <c r="F421" s="619"/>
      <c r="G421" s="620"/>
      <c r="H421" s="620"/>
      <c r="I421" s="620"/>
      <c r="J421" s="620">
        <v>690</v>
      </c>
      <c r="K421" s="620">
        <v>750</v>
      </c>
      <c r="L421" s="620">
        <v>820</v>
      </c>
      <c r="M421" s="625"/>
    </row>
    <row r="422" spans="1:13" ht="15.75">
      <c r="A422" s="600"/>
      <c r="B422" s="626" t="s">
        <v>704</v>
      </c>
      <c r="C422" s="617" t="s">
        <v>692</v>
      </c>
      <c r="D422" s="617"/>
      <c r="E422" s="628"/>
      <c r="F422" s="619"/>
      <c r="G422" s="620"/>
      <c r="H422" s="620"/>
      <c r="I422" s="620"/>
      <c r="J422" s="620">
        <v>650</v>
      </c>
      <c r="K422" s="620">
        <v>575</v>
      </c>
      <c r="L422" s="620">
        <v>680</v>
      </c>
      <c r="M422" s="625"/>
    </row>
    <row r="423" spans="1:13" ht="15.75">
      <c r="A423" s="600"/>
      <c r="B423" s="626" t="s">
        <v>705</v>
      </c>
      <c r="C423" s="617" t="s">
        <v>367</v>
      </c>
      <c r="D423" s="617"/>
      <c r="E423" s="628"/>
      <c r="F423" s="619"/>
      <c r="G423" s="620"/>
      <c r="H423" s="620"/>
      <c r="I423" s="620"/>
      <c r="J423" s="620">
        <v>1050</v>
      </c>
      <c r="K423" s="620">
        <v>760</v>
      </c>
      <c r="L423" s="620">
        <v>780</v>
      </c>
      <c r="M423" s="625"/>
    </row>
    <row r="424" spans="1:13" ht="15.75">
      <c r="A424" s="600"/>
      <c r="B424" s="626" t="s">
        <v>705</v>
      </c>
      <c r="C424" s="617" t="s">
        <v>691</v>
      </c>
      <c r="D424" s="617"/>
      <c r="E424" s="628"/>
      <c r="F424" s="619"/>
      <c r="G424" s="620"/>
      <c r="H424" s="620"/>
      <c r="I424" s="620"/>
      <c r="J424" s="620">
        <v>850</v>
      </c>
      <c r="K424" s="620">
        <v>760</v>
      </c>
      <c r="L424" s="620">
        <v>265</v>
      </c>
      <c r="M424" s="625"/>
    </row>
    <row r="425" spans="1:13" ht="15.75">
      <c r="A425" s="600"/>
      <c r="B425" s="626" t="s">
        <v>706</v>
      </c>
      <c r="C425" s="617" t="s">
        <v>692</v>
      </c>
      <c r="D425" s="617"/>
      <c r="E425" s="628"/>
      <c r="F425" s="619"/>
      <c r="G425" s="620"/>
      <c r="H425" s="620"/>
      <c r="I425" s="620"/>
      <c r="J425" s="620">
        <v>780</v>
      </c>
      <c r="K425" s="620"/>
      <c r="L425" s="620">
        <v>780</v>
      </c>
      <c r="M425" s="625"/>
    </row>
    <row r="426" spans="1:13" ht="15.75">
      <c r="A426" s="600"/>
      <c r="B426" s="626" t="s">
        <v>707</v>
      </c>
      <c r="C426" s="617" t="s">
        <v>692</v>
      </c>
      <c r="D426" s="617"/>
      <c r="E426" s="628"/>
      <c r="F426" s="619"/>
      <c r="G426" s="620"/>
      <c r="H426" s="620"/>
      <c r="I426" s="620"/>
      <c r="J426" s="620">
        <v>650</v>
      </c>
      <c r="K426" s="620">
        <v>760</v>
      </c>
      <c r="L426" s="620"/>
      <c r="M426" s="625"/>
    </row>
    <row r="427" spans="1:13" ht="15.75">
      <c r="A427" s="600"/>
      <c r="B427" s="626" t="s">
        <v>708</v>
      </c>
      <c r="C427" s="617" t="s">
        <v>367</v>
      </c>
      <c r="D427" s="617"/>
      <c r="E427" s="628"/>
      <c r="F427" s="619"/>
      <c r="G427" s="620"/>
      <c r="H427" s="620"/>
      <c r="I427" s="620"/>
      <c r="J427" s="620">
        <v>650</v>
      </c>
      <c r="K427" s="620">
        <v>680</v>
      </c>
      <c r="L427" s="620">
        <v>685</v>
      </c>
      <c r="M427" s="625"/>
    </row>
    <row r="428" spans="1:13" ht="15.75">
      <c r="A428" s="600"/>
      <c r="B428" s="626" t="s">
        <v>708</v>
      </c>
      <c r="C428" s="617" t="s">
        <v>709</v>
      </c>
      <c r="D428" s="617"/>
      <c r="E428" s="628"/>
      <c r="F428" s="619"/>
      <c r="G428" s="620"/>
      <c r="H428" s="620"/>
      <c r="I428" s="620"/>
      <c r="J428" s="620">
        <v>2600</v>
      </c>
      <c r="K428" s="620"/>
      <c r="L428" s="620">
        <v>2740</v>
      </c>
      <c r="M428" s="625"/>
    </row>
    <row r="429" spans="1:13" ht="15.75">
      <c r="A429" s="600"/>
      <c r="B429" s="626" t="s">
        <v>710</v>
      </c>
      <c r="C429" s="617" t="s">
        <v>367</v>
      </c>
      <c r="D429" s="617"/>
      <c r="E429" s="628"/>
      <c r="F429" s="619"/>
      <c r="G429" s="620"/>
      <c r="H429" s="620"/>
      <c r="I429" s="620"/>
      <c r="J429" s="620">
        <v>580</v>
      </c>
      <c r="K429" s="620">
        <v>610</v>
      </c>
      <c r="L429" s="620">
        <v>685</v>
      </c>
      <c r="M429" s="625"/>
    </row>
    <row r="430" spans="1:13" ht="15.75">
      <c r="A430" s="600"/>
      <c r="B430" s="626" t="s">
        <v>710</v>
      </c>
      <c r="C430" s="617" t="s">
        <v>709</v>
      </c>
      <c r="D430" s="617"/>
      <c r="E430" s="628"/>
      <c r="F430" s="619"/>
      <c r="G430" s="620"/>
      <c r="H430" s="620"/>
      <c r="I430" s="620"/>
      <c r="J430" s="620">
        <v>2320</v>
      </c>
      <c r="K430" s="620"/>
      <c r="L430" s="620">
        <v>2740</v>
      </c>
      <c r="M430" s="625"/>
    </row>
    <row r="431" spans="1:13" ht="15.75">
      <c r="A431" s="600"/>
      <c r="B431" s="626" t="s">
        <v>711</v>
      </c>
      <c r="C431" s="617" t="s">
        <v>692</v>
      </c>
      <c r="D431" s="617"/>
      <c r="E431" s="628"/>
      <c r="F431" s="619"/>
      <c r="G431" s="620"/>
      <c r="H431" s="620"/>
      <c r="I431" s="620"/>
      <c r="J431" s="620">
        <v>865</v>
      </c>
      <c r="K431" s="620"/>
      <c r="L431" s="620"/>
      <c r="M431" s="625"/>
    </row>
    <row r="432" spans="1:13" ht="15.75">
      <c r="A432" s="600"/>
      <c r="B432" s="626" t="s">
        <v>712</v>
      </c>
      <c r="C432" s="617" t="s">
        <v>367</v>
      </c>
      <c r="D432" s="617"/>
      <c r="E432" s="628"/>
      <c r="F432" s="619"/>
      <c r="G432" s="620"/>
      <c r="H432" s="620"/>
      <c r="I432" s="620"/>
      <c r="J432" s="620">
        <v>180</v>
      </c>
      <c r="K432" s="620">
        <v>230</v>
      </c>
      <c r="L432" s="620">
        <v>320</v>
      </c>
      <c r="M432" s="625"/>
    </row>
    <row r="433" spans="1:13" ht="15.75">
      <c r="A433" s="600"/>
      <c r="B433" s="626" t="s">
        <v>713</v>
      </c>
      <c r="C433" s="617" t="s">
        <v>238</v>
      </c>
      <c r="D433" s="617"/>
      <c r="E433" s="628"/>
      <c r="F433" s="619"/>
      <c r="G433" s="620"/>
      <c r="H433" s="620"/>
      <c r="I433" s="620"/>
      <c r="J433" s="620">
        <v>660</v>
      </c>
      <c r="K433" s="620"/>
      <c r="L433" s="620">
        <v>650</v>
      </c>
      <c r="M433" s="625"/>
    </row>
    <row r="434" spans="1:13" ht="15.75">
      <c r="A434" s="600"/>
      <c r="B434" s="626" t="s">
        <v>714</v>
      </c>
      <c r="C434" s="617" t="s">
        <v>367</v>
      </c>
      <c r="D434" s="617"/>
      <c r="E434" s="628"/>
      <c r="F434" s="619"/>
      <c r="G434" s="620"/>
      <c r="H434" s="620"/>
      <c r="I434" s="620"/>
      <c r="J434" s="620">
        <v>695</v>
      </c>
      <c r="K434" s="620"/>
      <c r="L434" s="620">
        <v>780</v>
      </c>
      <c r="M434" s="625"/>
    </row>
    <row r="435" spans="1:13" ht="15.75">
      <c r="A435" s="600"/>
      <c r="B435" s="626" t="s">
        <v>715</v>
      </c>
      <c r="C435" s="617" t="s">
        <v>367</v>
      </c>
      <c r="D435" s="617"/>
      <c r="E435" s="628"/>
      <c r="F435" s="619"/>
      <c r="G435" s="620"/>
      <c r="H435" s="620"/>
      <c r="I435" s="620"/>
      <c r="J435" s="620">
        <v>670</v>
      </c>
      <c r="K435" s="620">
        <v>760</v>
      </c>
      <c r="L435" s="620">
        <v>780</v>
      </c>
      <c r="M435" s="625"/>
    </row>
    <row r="436" spans="1:13" ht="15.75">
      <c r="A436" s="600"/>
      <c r="B436" s="626" t="s">
        <v>715</v>
      </c>
      <c r="C436" s="617" t="s">
        <v>709</v>
      </c>
      <c r="D436" s="617"/>
      <c r="E436" s="628"/>
      <c r="F436" s="619"/>
      <c r="G436" s="620"/>
      <c r="H436" s="620"/>
      <c r="I436" s="620"/>
      <c r="J436" s="620">
        <v>2680</v>
      </c>
      <c r="K436" s="620">
        <v>720</v>
      </c>
      <c r="L436" s="620"/>
      <c r="M436" s="625"/>
    </row>
    <row r="437" spans="1:13" ht="15.75">
      <c r="A437" s="600"/>
      <c r="B437" s="626" t="s">
        <v>716</v>
      </c>
      <c r="C437" s="617" t="s">
        <v>367</v>
      </c>
      <c r="D437" s="617"/>
      <c r="E437" s="628"/>
      <c r="F437" s="619"/>
      <c r="G437" s="620"/>
      <c r="H437" s="620"/>
      <c r="I437" s="620"/>
      <c r="J437" s="620">
        <v>750</v>
      </c>
      <c r="K437" s="620">
        <v>720</v>
      </c>
      <c r="L437" s="620"/>
      <c r="M437" s="625"/>
    </row>
    <row r="438" spans="1:13" ht="15.75">
      <c r="A438" s="600"/>
      <c r="B438" s="626" t="s">
        <v>717</v>
      </c>
      <c r="C438" s="617" t="s">
        <v>692</v>
      </c>
      <c r="D438" s="617"/>
      <c r="E438" s="628"/>
      <c r="F438" s="619"/>
      <c r="G438" s="620"/>
      <c r="H438" s="620"/>
      <c r="I438" s="620"/>
      <c r="J438" s="620">
        <v>750</v>
      </c>
      <c r="K438" s="620"/>
      <c r="L438" s="620"/>
      <c r="M438" s="625"/>
    </row>
    <row r="439" spans="1:13" ht="15.75">
      <c r="A439" s="600"/>
      <c r="B439" s="626" t="s">
        <v>718</v>
      </c>
      <c r="C439" s="617" t="s">
        <v>692</v>
      </c>
      <c r="D439" s="617"/>
      <c r="E439" s="628"/>
      <c r="F439" s="619"/>
      <c r="G439" s="620"/>
      <c r="H439" s="620"/>
      <c r="I439" s="620"/>
      <c r="J439" s="620">
        <v>850</v>
      </c>
      <c r="K439" s="620"/>
      <c r="L439" s="620"/>
      <c r="M439" s="625"/>
    </row>
    <row r="440" spans="1:13" ht="15.75">
      <c r="A440" s="600"/>
      <c r="B440" s="626" t="s">
        <v>719</v>
      </c>
      <c r="C440" s="617" t="s">
        <v>692</v>
      </c>
      <c r="D440" s="617"/>
      <c r="E440" s="628"/>
      <c r="F440" s="619"/>
      <c r="G440" s="620"/>
      <c r="H440" s="620"/>
      <c r="I440" s="620"/>
      <c r="J440" s="620">
        <v>750</v>
      </c>
      <c r="K440" s="620"/>
      <c r="L440" s="620"/>
      <c r="M440" s="625"/>
    </row>
    <row r="441" spans="1:13" ht="15.75">
      <c r="A441" s="600"/>
      <c r="B441" s="626" t="s">
        <v>720</v>
      </c>
      <c r="C441" s="617" t="s">
        <v>692</v>
      </c>
      <c r="D441" s="617"/>
      <c r="E441" s="628"/>
      <c r="F441" s="619"/>
      <c r="G441" s="620"/>
      <c r="H441" s="620"/>
      <c r="I441" s="620"/>
      <c r="J441" s="620">
        <v>695</v>
      </c>
      <c r="K441" s="620">
        <v>760</v>
      </c>
      <c r="L441" s="620"/>
      <c r="M441" s="625"/>
    </row>
    <row r="442" spans="1:13" ht="15.75">
      <c r="A442" s="600"/>
      <c r="B442" s="626" t="s">
        <v>721</v>
      </c>
      <c r="C442" s="617" t="s">
        <v>692</v>
      </c>
      <c r="D442" s="617"/>
      <c r="E442" s="628"/>
      <c r="F442" s="619"/>
      <c r="G442" s="620"/>
      <c r="H442" s="620"/>
      <c r="I442" s="620"/>
      <c r="J442" s="620">
        <v>650</v>
      </c>
      <c r="K442" s="620">
        <v>690</v>
      </c>
      <c r="L442" s="620">
        <v>690</v>
      </c>
      <c r="M442" s="625"/>
    </row>
    <row r="443" spans="1:13" ht="15.75">
      <c r="A443" s="600"/>
      <c r="B443" s="626" t="s">
        <v>722</v>
      </c>
      <c r="C443" s="617" t="s">
        <v>21</v>
      </c>
      <c r="D443" s="617"/>
      <c r="E443" s="628"/>
      <c r="F443" s="619"/>
      <c r="G443" s="620"/>
      <c r="H443" s="620"/>
      <c r="I443" s="620"/>
      <c r="J443" s="620">
        <v>85</v>
      </c>
      <c r="K443" s="620">
        <v>120</v>
      </c>
      <c r="L443" s="620"/>
      <c r="M443" s="625"/>
    </row>
    <row r="444" spans="1:13" ht="15.75">
      <c r="A444" s="600"/>
      <c r="B444" s="626" t="s">
        <v>723</v>
      </c>
      <c r="C444" s="617" t="s">
        <v>367</v>
      </c>
      <c r="D444" s="617"/>
      <c r="E444" s="628"/>
      <c r="F444" s="619"/>
      <c r="G444" s="620"/>
      <c r="H444" s="620"/>
      <c r="I444" s="620"/>
      <c r="J444" s="620">
        <v>470</v>
      </c>
      <c r="K444" s="620">
        <v>500</v>
      </c>
      <c r="L444" s="620">
        <v>530</v>
      </c>
      <c r="M444" s="625"/>
    </row>
    <row r="445" spans="1:13" ht="15.75">
      <c r="A445" s="600"/>
      <c r="B445" s="626" t="s">
        <v>723</v>
      </c>
      <c r="C445" s="617" t="s">
        <v>724</v>
      </c>
      <c r="D445" s="617"/>
      <c r="E445" s="628"/>
      <c r="F445" s="619"/>
      <c r="G445" s="620"/>
      <c r="H445" s="620"/>
      <c r="I445" s="620"/>
      <c r="J445" s="620">
        <v>70</v>
      </c>
      <c r="K445" s="620">
        <v>590</v>
      </c>
      <c r="L445" s="620">
        <v>65</v>
      </c>
      <c r="M445" s="625"/>
    </row>
    <row r="446" spans="1:13" ht="15.75">
      <c r="A446" s="600"/>
      <c r="B446" s="626" t="s">
        <v>725</v>
      </c>
      <c r="C446" s="617" t="s">
        <v>692</v>
      </c>
      <c r="D446" s="617"/>
      <c r="E446" s="628"/>
      <c r="F446" s="619"/>
      <c r="G446" s="620"/>
      <c r="H446" s="620"/>
      <c r="I446" s="620"/>
      <c r="J446" s="620">
        <v>670</v>
      </c>
      <c r="K446" s="620"/>
      <c r="L446" s="620"/>
      <c r="M446" s="625"/>
    </row>
    <row r="447" spans="1:13" ht="15.75">
      <c r="A447" s="600"/>
      <c r="B447" s="626" t="s">
        <v>726</v>
      </c>
      <c r="C447" s="617" t="s">
        <v>367</v>
      </c>
      <c r="D447" s="617"/>
      <c r="E447" s="628"/>
      <c r="F447" s="619"/>
      <c r="G447" s="620"/>
      <c r="H447" s="620"/>
      <c r="I447" s="620"/>
      <c r="J447" s="620">
        <v>510</v>
      </c>
      <c r="K447" s="620">
        <v>520</v>
      </c>
      <c r="L447" s="620">
        <v>600</v>
      </c>
      <c r="M447" s="625"/>
    </row>
    <row r="448" spans="1:13" ht="15.75">
      <c r="A448" s="600"/>
      <c r="B448" s="626" t="s">
        <v>727</v>
      </c>
      <c r="C448" s="617" t="s">
        <v>367</v>
      </c>
      <c r="D448" s="617"/>
      <c r="E448" s="628"/>
      <c r="F448" s="619"/>
      <c r="G448" s="620"/>
      <c r="H448" s="620"/>
      <c r="I448" s="620"/>
      <c r="J448" s="620">
        <v>850</v>
      </c>
      <c r="K448" s="620">
        <v>880</v>
      </c>
      <c r="L448" s="620">
        <v>950</v>
      </c>
      <c r="M448" s="625"/>
    </row>
    <row r="449" spans="1:13" ht="15.75">
      <c r="A449" s="600"/>
      <c r="B449" s="626" t="s">
        <v>728</v>
      </c>
      <c r="C449" s="617" t="s">
        <v>367</v>
      </c>
      <c r="D449" s="617"/>
      <c r="E449" s="628"/>
      <c r="F449" s="619"/>
      <c r="G449" s="620"/>
      <c r="H449" s="620"/>
      <c r="I449" s="620"/>
      <c r="J449" s="620">
        <v>450</v>
      </c>
      <c r="K449" s="620">
        <v>695</v>
      </c>
      <c r="L449" s="620">
        <v>620</v>
      </c>
      <c r="M449" s="625"/>
    </row>
    <row r="450" spans="1:13" ht="15.75">
      <c r="A450" s="600"/>
      <c r="B450" s="626" t="s">
        <v>729</v>
      </c>
      <c r="C450" s="617" t="s">
        <v>367</v>
      </c>
      <c r="D450" s="617"/>
      <c r="E450" s="628"/>
      <c r="F450" s="619"/>
      <c r="G450" s="620"/>
      <c r="H450" s="620"/>
      <c r="I450" s="620"/>
      <c r="J450" s="620">
        <v>2015</v>
      </c>
      <c r="K450" s="620">
        <v>2660</v>
      </c>
      <c r="L450" s="620">
        <v>2800</v>
      </c>
      <c r="M450" s="625"/>
    </row>
    <row r="451" spans="1:13" ht="15.75">
      <c r="A451" s="600"/>
      <c r="B451" s="626" t="s">
        <v>730</v>
      </c>
      <c r="C451" s="617" t="s">
        <v>21</v>
      </c>
      <c r="D451" s="617"/>
      <c r="E451" s="628"/>
      <c r="F451" s="619"/>
      <c r="G451" s="620"/>
      <c r="H451" s="620"/>
      <c r="I451" s="620"/>
      <c r="J451" s="620">
        <v>55</v>
      </c>
      <c r="K451" s="620">
        <v>50</v>
      </c>
      <c r="L451" s="620">
        <v>65</v>
      </c>
      <c r="M451" s="625"/>
    </row>
    <row r="452" spans="1:13" ht="15.75">
      <c r="A452" s="600"/>
      <c r="B452" s="626" t="s">
        <v>731</v>
      </c>
      <c r="C452" s="617" t="s">
        <v>21</v>
      </c>
      <c r="D452" s="617"/>
      <c r="E452" s="628"/>
      <c r="F452" s="619"/>
      <c r="G452" s="620"/>
      <c r="H452" s="620"/>
      <c r="I452" s="620"/>
      <c r="J452" s="620">
        <v>90</v>
      </c>
      <c r="K452" s="620">
        <v>65</v>
      </c>
      <c r="L452" s="620">
        <v>75</v>
      </c>
      <c r="M452" s="625"/>
    </row>
    <row r="453" spans="1:13" ht="15.75">
      <c r="A453" s="600"/>
      <c r="B453" s="626" t="s">
        <v>732</v>
      </c>
      <c r="C453" s="617" t="s">
        <v>21</v>
      </c>
      <c r="D453" s="617"/>
      <c r="E453" s="628"/>
      <c r="F453" s="619"/>
      <c r="G453" s="620"/>
      <c r="H453" s="620"/>
      <c r="I453" s="620"/>
      <c r="J453" s="620">
        <v>120</v>
      </c>
      <c r="K453" s="620">
        <v>98</v>
      </c>
      <c r="L453" s="620">
        <v>105</v>
      </c>
      <c r="M453" s="625"/>
    </row>
    <row r="454" spans="1:13" ht="15.75">
      <c r="A454" s="600"/>
      <c r="B454" s="626" t="s">
        <v>733</v>
      </c>
      <c r="C454" s="617" t="s">
        <v>21</v>
      </c>
      <c r="D454" s="617"/>
      <c r="E454" s="628"/>
      <c r="F454" s="619"/>
      <c r="G454" s="620"/>
      <c r="H454" s="620"/>
      <c r="I454" s="620"/>
      <c r="J454" s="620">
        <v>18</v>
      </c>
      <c r="K454" s="620">
        <v>40</v>
      </c>
      <c r="L454" s="620">
        <v>20</v>
      </c>
      <c r="M454" s="625"/>
    </row>
    <row r="455" spans="1:13" ht="15.75">
      <c r="A455" s="600"/>
      <c r="B455" s="626" t="s">
        <v>734</v>
      </c>
      <c r="C455" s="617" t="s">
        <v>373</v>
      </c>
      <c r="D455" s="617"/>
      <c r="E455" s="628"/>
      <c r="F455" s="619"/>
      <c r="G455" s="620"/>
      <c r="H455" s="620"/>
      <c r="I455" s="620"/>
      <c r="J455" s="620">
        <v>10</v>
      </c>
      <c r="K455" s="620">
        <v>30</v>
      </c>
      <c r="L455" s="620">
        <v>15</v>
      </c>
      <c r="M455" s="625"/>
    </row>
    <row r="456" spans="1:13" ht="15.75">
      <c r="A456" s="600"/>
      <c r="B456" s="626" t="s">
        <v>735</v>
      </c>
      <c r="C456" s="617" t="s">
        <v>373</v>
      </c>
      <c r="D456" s="617"/>
      <c r="E456" s="628"/>
      <c r="F456" s="619"/>
      <c r="G456" s="620"/>
      <c r="H456" s="620"/>
      <c r="I456" s="620"/>
      <c r="J456" s="620">
        <v>25</v>
      </c>
      <c r="K456" s="620"/>
      <c r="L456" s="620"/>
      <c r="M456" s="625"/>
    </row>
    <row r="457" spans="1:13" ht="15.75">
      <c r="A457" s="600"/>
      <c r="B457" s="626" t="s">
        <v>736</v>
      </c>
      <c r="C457" s="617" t="s">
        <v>21</v>
      </c>
      <c r="D457" s="617"/>
      <c r="E457" s="628"/>
      <c r="F457" s="619"/>
      <c r="G457" s="620"/>
      <c r="H457" s="620"/>
      <c r="I457" s="620"/>
      <c r="J457" s="620">
        <v>60</v>
      </c>
      <c r="K457" s="620">
        <v>75</v>
      </c>
      <c r="L457" s="620"/>
      <c r="M457" s="625"/>
    </row>
    <row r="458" spans="1:13" ht="15.75">
      <c r="A458" s="600"/>
      <c r="B458" s="626" t="s">
        <v>737</v>
      </c>
      <c r="C458" s="617" t="s">
        <v>21</v>
      </c>
      <c r="D458" s="617"/>
      <c r="E458" s="628"/>
      <c r="F458" s="619"/>
      <c r="G458" s="620"/>
      <c r="H458" s="620"/>
      <c r="I458" s="620"/>
      <c r="J458" s="620">
        <v>115</v>
      </c>
      <c r="K458" s="620"/>
      <c r="L458" s="620"/>
      <c r="M458" s="625"/>
    </row>
    <row r="459" spans="1:13" ht="15.75">
      <c r="A459" s="600"/>
      <c r="B459" s="626" t="s">
        <v>738</v>
      </c>
      <c r="C459" s="617" t="s">
        <v>692</v>
      </c>
      <c r="D459" s="617"/>
      <c r="E459" s="628"/>
      <c r="F459" s="619"/>
      <c r="G459" s="620"/>
      <c r="H459" s="620"/>
      <c r="I459" s="620"/>
      <c r="J459" s="620">
        <v>550</v>
      </c>
      <c r="K459" s="620"/>
      <c r="L459" s="620"/>
      <c r="M459" s="625"/>
    </row>
    <row r="460" spans="1:13" ht="15.75">
      <c r="A460" s="600"/>
      <c r="B460" s="626" t="s">
        <v>739</v>
      </c>
      <c r="C460" s="617" t="s">
        <v>740</v>
      </c>
      <c r="D460" s="617"/>
      <c r="E460" s="628"/>
      <c r="F460" s="619"/>
      <c r="G460" s="620"/>
      <c r="H460" s="620"/>
      <c r="I460" s="620"/>
      <c r="J460" s="620">
        <v>60</v>
      </c>
      <c r="K460" s="620">
        <v>60</v>
      </c>
      <c r="L460" s="620">
        <v>50</v>
      </c>
      <c r="M460" s="625"/>
    </row>
    <row r="461" spans="1:13" ht="15.75">
      <c r="A461" s="600"/>
      <c r="B461" s="626" t="s">
        <v>739</v>
      </c>
      <c r="C461" s="617" t="s">
        <v>692</v>
      </c>
      <c r="D461" s="617"/>
      <c r="E461" s="628"/>
      <c r="F461" s="619"/>
      <c r="G461" s="620"/>
      <c r="H461" s="620"/>
      <c r="I461" s="620"/>
      <c r="J461" s="620">
        <v>295</v>
      </c>
      <c r="K461" s="620">
        <v>345</v>
      </c>
      <c r="L461" s="620">
        <v>320</v>
      </c>
      <c r="M461" s="625"/>
    </row>
    <row r="462" spans="1:13" ht="15.75">
      <c r="A462" s="600"/>
      <c r="B462" s="626" t="s">
        <v>741</v>
      </c>
      <c r="C462" s="617" t="s">
        <v>238</v>
      </c>
      <c r="D462" s="617"/>
      <c r="E462" s="628"/>
      <c r="F462" s="619"/>
      <c r="G462" s="620"/>
      <c r="H462" s="620"/>
      <c r="I462" s="620"/>
      <c r="J462" s="620">
        <v>45</v>
      </c>
      <c r="K462" s="620">
        <v>45</v>
      </c>
      <c r="L462" s="620">
        <v>60</v>
      </c>
      <c r="M462" s="625"/>
    </row>
    <row r="463" spans="1:13" ht="15.75">
      <c r="A463" s="600"/>
      <c r="B463" s="626" t="s">
        <v>742</v>
      </c>
      <c r="C463" s="617" t="s">
        <v>21</v>
      </c>
      <c r="D463" s="617"/>
      <c r="E463" s="628"/>
      <c r="F463" s="619"/>
      <c r="G463" s="620"/>
      <c r="H463" s="620"/>
      <c r="I463" s="620"/>
      <c r="J463" s="620">
        <v>250</v>
      </c>
      <c r="K463" s="620"/>
      <c r="L463" s="620"/>
      <c r="M463" s="625"/>
    </row>
    <row r="464" spans="1:13" ht="15.75">
      <c r="A464" s="600"/>
      <c r="B464" s="626" t="s">
        <v>743</v>
      </c>
      <c r="C464" s="617" t="s">
        <v>367</v>
      </c>
      <c r="D464" s="617"/>
      <c r="E464" s="628"/>
      <c r="F464" s="619"/>
      <c r="G464" s="620"/>
      <c r="H464" s="620"/>
      <c r="I464" s="620"/>
      <c r="J464" s="620">
        <v>250</v>
      </c>
      <c r="K464" s="620"/>
      <c r="L464" s="620"/>
      <c r="M464" s="625"/>
    </row>
    <row r="465" spans="1:13" ht="15.75">
      <c r="A465" s="600"/>
      <c r="B465" s="626" t="s">
        <v>744</v>
      </c>
      <c r="C465" s="617" t="s">
        <v>367</v>
      </c>
      <c r="D465" s="617"/>
      <c r="E465" s="628"/>
      <c r="F465" s="619"/>
      <c r="G465" s="620"/>
      <c r="H465" s="620"/>
      <c r="I465" s="620"/>
      <c r="J465" s="620">
        <v>700</v>
      </c>
      <c r="K465" s="620">
        <v>710</v>
      </c>
      <c r="L465" s="620">
        <v>740</v>
      </c>
      <c r="M465" s="625"/>
    </row>
    <row r="466" spans="1:13" ht="15.75">
      <c r="A466" s="600"/>
      <c r="B466" s="626" t="s">
        <v>744</v>
      </c>
      <c r="C466" s="617" t="s">
        <v>691</v>
      </c>
      <c r="D466" s="617"/>
      <c r="E466" s="628"/>
      <c r="F466" s="619"/>
      <c r="G466" s="620"/>
      <c r="H466" s="620"/>
      <c r="I466" s="620"/>
      <c r="J466" s="620">
        <v>280</v>
      </c>
      <c r="K466" s="620">
        <v>220</v>
      </c>
      <c r="L466" s="620">
        <v>275</v>
      </c>
      <c r="M466" s="625"/>
    </row>
    <row r="467" spans="1:13" ht="15.75">
      <c r="A467" s="600"/>
      <c r="B467" s="626" t="s">
        <v>745</v>
      </c>
      <c r="C467" s="617" t="s">
        <v>746</v>
      </c>
      <c r="D467" s="617"/>
      <c r="E467" s="628"/>
      <c r="F467" s="619"/>
      <c r="G467" s="620"/>
      <c r="H467" s="620"/>
      <c r="I467" s="620"/>
      <c r="J467" s="620">
        <v>865</v>
      </c>
      <c r="K467" s="620">
        <v>300</v>
      </c>
      <c r="L467" s="620"/>
      <c r="M467" s="625"/>
    </row>
    <row r="468" spans="1:13" ht="15.75">
      <c r="A468" s="600"/>
      <c r="B468" s="626" t="s">
        <v>747</v>
      </c>
      <c r="C468" s="617" t="s">
        <v>367</v>
      </c>
      <c r="D468" s="617"/>
      <c r="E468" s="628"/>
      <c r="F468" s="619"/>
      <c r="G468" s="620"/>
      <c r="H468" s="620"/>
      <c r="I468" s="620"/>
      <c r="J468" s="620"/>
      <c r="K468" s="620">
        <v>1200</v>
      </c>
      <c r="L468" s="620">
        <v>2500</v>
      </c>
      <c r="M468" s="625"/>
    </row>
    <row r="469" spans="1:13" ht="15.75">
      <c r="A469" s="600"/>
      <c r="B469" s="626" t="s">
        <v>748</v>
      </c>
      <c r="C469" s="617" t="s">
        <v>749</v>
      </c>
      <c r="D469" s="617"/>
      <c r="E469" s="628"/>
      <c r="F469" s="619"/>
      <c r="G469" s="620"/>
      <c r="H469" s="620"/>
      <c r="I469" s="620"/>
      <c r="J469" s="620">
        <v>40</v>
      </c>
      <c r="K469" s="620">
        <v>60</v>
      </c>
      <c r="L469" s="620">
        <v>70</v>
      </c>
      <c r="M469" s="625"/>
    </row>
    <row r="470" spans="1:13" ht="15.75">
      <c r="A470" s="600"/>
      <c r="B470" s="626" t="s">
        <v>750</v>
      </c>
      <c r="C470" s="617" t="s">
        <v>692</v>
      </c>
      <c r="D470" s="617"/>
      <c r="E470" s="628"/>
      <c r="F470" s="619"/>
      <c r="G470" s="620"/>
      <c r="H470" s="620"/>
      <c r="I470" s="620"/>
      <c r="J470" s="620">
        <v>695</v>
      </c>
      <c r="K470" s="620"/>
      <c r="L470" s="620">
        <v>780</v>
      </c>
      <c r="M470" s="625"/>
    </row>
    <row r="471" spans="1:13" ht="15.75">
      <c r="A471" s="600"/>
      <c r="B471" s="626" t="s">
        <v>751</v>
      </c>
      <c r="C471" s="617" t="s">
        <v>692</v>
      </c>
      <c r="D471" s="617"/>
      <c r="E471" s="628"/>
      <c r="F471" s="619"/>
      <c r="G471" s="620"/>
      <c r="H471" s="620"/>
      <c r="I471" s="620"/>
      <c r="J471" s="620">
        <v>695</v>
      </c>
      <c r="K471" s="620"/>
      <c r="L471" s="620"/>
      <c r="M471" s="625"/>
    </row>
    <row r="472" spans="1:13" ht="15.75">
      <c r="A472" s="600"/>
      <c r="B472" s="626" t="s">
        <v>751</v>
      </c>
      <c r="C472" s="617" t="s">
        <v>709</v>
      </c>
      <c r="D472" s="617"/>
      <c r="E472" s="628"/>
      <c r="F472" s="619"/>
      <c r="G472" s="620"/>
      <c r="H472" s="620"/>
      <c r="I472" s="620"/>
      <c r="J472" s="620">
        <v>2780</v>
      </c>
      <c r="K472" s="620"/>
      <c r="L472" s="620"/>
      <c r="M472" s="625"/>
    </row>
    <row r="473" spans="1:13" ht="15.75">
      <c r="A473" s="600"/>
      <c r="B473" s="626" t="s">
        <v>752</v>
      </c>
      <c r="C473" s="617" t="s">
        <v>691</v>
      </c>
      <c r="D473" s="617"/>
      <c r="E473" s="628"/>
      <c r="F473" s="619"/>
      <c r="G473" s="620"/>
      <c r="H473" s="620"/>
      <c r="I473" s="620"/>
      <c r="J473" s="620">
        <v>250</v>
      </c>
      <c r="K473" s="620">
        <v>550</v>
      </c>
      <c r="L473" s="620"/>
      <c r="M473" s="625"/>
    </row>
    <row r="474" spans="1:13" ht="15.75">
      <c r="A474" s="600"/>
      <c r="B474" s="626" t="s">
        <v>753</v>
      </c>
      <c r="C474" s="617" t="s">
        <v>692</v>
      </c>
      <c r="D474" s="617"/>
      <c r="E474" s="628"/>
      <c r="F474" s="619"/>
      <c r="G474" s="620"/>
      <c r="H474" s="620"/>
      <c r="I474" s="620"/>
      <c r="J474" s="620">
        <v>650</v>
      </c>
      <c r="K474" s="620"/>
      <c r="L474" s="620">
        <v>680</v>
      </c>
      <c r="M474" s="625"/>
    </row>
    <row r="475" spans="1:13" ht="15.75">
      <c r="A475" s="600"/>
      <c r="B475" s="626" t="s">
        <v>754</v>
      </c>
      <c r="C475" s="617" t="s">
        <v>367</v>
      </c>
      <c r="D475" s="617"/>
      <c r="E475" s="628"/>
      <c r="F475" s="619"/>
      <c r="G475" s="620"/>
      <c r="H475" s="620"/>
      <c r="I475" s="620"/>
      <c r="J475" s="620">
        <v>480</v>
      </c>
      <c r="K475" s="620">
        <v>495</v>
      </c>
      <c r="L475" s="620">
        <v>550</v>
      </c>
      <c r="M475" s="625"/>
    </row>
    <row r="476" spans="1:13" ht="15.75">
      <c r="A476" s="600"/>
      <c r="B476" s="626" t="s">
        <v>755</v>
      </c>
      <c r="C476" s="617" t="s">
        <v>692</v>
      </c>
      <c r="D476" s="617"/>
      <c r="E476" s="628"/>
      <c r="F476" s="619"/>
      <c r="G476" s="620"/>
      <c r="H476" s="620"/>
      <c r="I476" s="620"/>
      <c r="J476" s="620">
        <v>480</v>
      </c>
      <c r="K476" s="620"/>
      <c r="L476" s="620">
        <v>180</v>
      </c>
      <c r="M476" s="625"/>
    </row>
    <row r="477" spans="1:13" ht="15.75">
      <c r="A477" s="600"/>
      <c r="B477" s="626" t="s">
        <v>755</v>
      </c>
      <c r="C477" s="617" t="s">
        <v>460</v>
      </c>
      <c r="D477" s="617"/>
      <c r="E477" s="628"/>
      <c r="F477" s="619"/>
      <c r="G477" s="620"/>
      <c r="H477" s="620"/>
      <c r="I477" s="620"/>
      <c r="J477" s="620">
        <v>250</v>
      </c>
      <c r="K477" s="620">
        <v>160</v>
      </c>
      <c r="L477" s="620"/>
      <c r="M477" s="625"/>
    </row>
    <row r="478" spans="1:13" ht="15.75">
      <c r="A478" s="600"/>
      <c r="B478" s="626" t="s">
        <v>756</v>
      </c>
      <c r="C478" s="617" t="s">
        <v>21</v>
      </c>
      <c r="D478" s="617"/>
      <c r="E478" s="628"/>
      <c r="F478" s="619"/>
      <c r="G478" s="620"/>
      <c r="H478" s="620"/>
      <c r="I478" s="620"/>
      <c r="J478" s="620">
        <v>85</v>
      </c>
      <c r="K478" s="620">
        <v>75</v>
      </c>
      <c r="L478" s="620">
        <v>90</v>
      </c>
      <c r="M478" s="625"/>
    </row>
    <row r="479" spans="1:13" ht="15.75">
      <c r="A479" s="600"/>
      <c r="B479" s="626" t="s">
        <v>757</v>
      </c>
      <c r="C479" s="617" t="s">
        <v>373</v>
      </c>
      <c r="D479" s="617"/>
      <c r="E479" s="628"/>
      <c r="F479" s="619"/>
      <c r="G479" s="620"/>
      <c r="H479" s="620"/>
      <c r="I479" s="620"/>
      <c r="J479" s="620">
        <v>95</v>
      </c>
      <c r="K479" s="620">
        <v>80</v>
      </c>
      <c r="L479" s="620">
        <v>105</v>
      </c>
      <c r="M479" s="625"/>
    </row>
    <row r="480" spans="1:13" ht="15.75">
      <c r="A480" s="600"/>
      <c r="B480" s="626" t="s">
        <v>758</v>
      </c>
      <c r="C480" s="617" t="s">
        <v>404</v>
      </c>
      <c r="D480" s="617"/>
      <c r="E480" s="628"/>
      <c r="F480" s="619"/>
      <c r="G480" s="620"/>
      <c r="H480" s="620"/>
      <c r="I480" s="620"/>
      <c r="J480" s="620">
        <v>180</v>
      </c>
      <c r="K480" s="620">
        <v>135</v>
      </c>
      <c r="L480" s="620">
        <v>160</v>
      </c>
      <c r="M480" s="625"/>
    </row>
    <row r="481" spans="1:13" ht="15.75">
      <c r="A481" s="600"/>
      <c r="B481" s="626" t="s">
        <v>759</v>
      </c>
      <c r="C481" s="617" t="s">
        <v>404</v>
      </c>
      <c r="D481" s="617"/>
      <c r="E481" s="628"/>
      <c r="F481" s="619"/>
      <c r="G481" s="620"/>
      <c r="H481" s="620"/>
      <c r="I481" s="620"/>
      <c r="J481" s="620">
        <v>180</v>
      </c>
      <c r="K481" s="620">
        <v>140</v>
      </c>
      <c r="L481" s="620"/>
      <c r="M481" s="625"/>
    </row>
    <row r="482" spans="1:13" ht="15.75">
      <c r="A482" s="600"/>
      <c r="B482" s="626" t="s">
        <v>760</v>
      </c>
      <c r="C482" s="617" t="s">
        <v>709</v>
      </c>
      <c r="D482" s="617"/>
      <c r="E482" s="628"/>
      <c r="F482" s="619"/>
      <c r="G482" s="620"/>
      <c r="H482" s="620"/>
      <c r="I482" s="620"/>
      <c r="J482" s="620">
        <v>2720</v>
      </c>
      <c r="K482" s="620">
        <v>2840</v>
      </c>
      <c r="L482" s="620"/>
      <c r="M482" s="625"/>
    </row>
    <row r="483" spans="1:13" ht="15.75">
      <c r="A483" s="600"/>
      <c r="B483" s="626" t="s">
        <v>761</v>
      </c>
      <c r="C483" s="617" t="s">
        <v>367</v>
      </c>
      <c r="D483" s="617"/>
      <c r="E483" s="628"/>
      <c r="F483" s="619"/>
      <c r="G483" s="620"/>
      <c r="H483" s="620"/>
      <c r="I483" s="620"/>
      <c r="J483" s="620">
        <v>680</v>
      </c>
      <c r="K483" s="620">
        <v>710</v>
      </c>
      <c r="L483" s="620">
        <v>750</v>
      </c>
      <c r="M483" s="625"/>
    </row>
    <row r="484" spans="1:13" ht="15.75">
      <c r="A484" s="600"/>
      <c r="B484" s="626" t="s">
        <v>762</v>
      </c>
      <c r="C484" s="617" t="s">
        <v>367</v>
      </c>
      <c r="D484" s="617"/>
      <c r="E484" s="628"/>
      <c r="F484" s="619"/>
      <c r="G484" s="620"/>
      <c r="H484" s="620"/>
      <c r="I484" s="620"/>
      <c r="J484" s="620">
        <v>280</v>
      </c>
      <c r="K484" s="620">
        <v>225</v>
      </c>
      <c r="L484" s="620"/>
      <c r="M484" s="625"/>
    </row>
    <row r="485" spans="1:13" ht="15.75">
      <c r="A485" s="600"/>
      <c r="B485" s="626" t="s">
        <v>763</v>
      </c>
      <c r="C485" s="617" t="s">
        <v>367</v>
      </c>
      <c r="D485" s="617"/>
      <c r="E485" s="628"/>
      <c r="F485" s="619"/>
      <c r="G485" s="620"/>
      <c r="H485" s="620"/>
      <c r="I485" s="620"/>
      <c r="J485" s="620">
        <v>1650</v>
      </c>
      <c r="K485" s="620">
        <v>1920</v>
      </c>
      <c r="L485" s="620">
        <v>1585</v>
      </c>
      <c r="M485" s="625"/>
    </row>
    <row r="486" spans="1:13" ht="15.75">
      <c r="A486" s="600"/>
      <c r="B486" s="626" t="s">
        <v>763</v>
      </c>
      <c r="C486" s="617" t="s">
        <v>460</v>
      </c>
      <c r="D486" s="617"/>
      <c r="E486" s="628"/>
      <c r="F486" s="619"/>
      <c r="G486" s="620"/>
      <c r="H486" s="620"/>
      <c r="I486" s="620"/>
      <c r="J486" s="620">
        <v>650</v>
      </c>
      <c r="K486" s="620">
        <v>635</v>
      </c>
      <c r="L486" s="620">
        <v>605</v>
      </c>
      <c r="M486" s="625"/>
    </row>
    <row r="487" spans="1:13" ht="15.75">
      <c r="A487" s="600"/>
      <c r="B487" s="626" t="s">
        <v>764</v>
      </c>
      <c r="C487" s="617" t="s">
        <v>21</v>
      </c>
      <c r="D487" s="617"/>
      <c r="E487" s="628"/>
      <c r="F487" s="619"/>
      <c r="G487" s="620"/>
      <c r="H487" s="620"/>
      <c r="I487" s="620"/>
      <c r="J487" s="620">
        <v>20</v>
      </c>
      <c r="K487" s="620">
        <v>21</v>
      </c>
      <c r="L487" s="620">
        <v>20</v>
      </c>
      <c r="M487" s="625"/>
    </row>
    <row r="488" spans="1:13" ht="15.75">
      <c r="A488" s="600"/>
      <c r="B488" s="626" t="s">
        <v>765</v>
      </c>
      <c r="C488" s="617" t="s">
        <v>21</v>
      </c>
      <c r="D488" s="617"/>
      <c r="E488" s="628"/>
      <c r="F488" s="619"/>
      <c r="G488" s="620"/>
      <c r="H488" s="620"/>
      <c r="I488" s="620"/>
      <c r="J488" s="620">
        <v>20</v>
      </c>
      <c r="K488" s="620">
        <v>21</v>
      </c>
      <c r="L488" s="620"/>
      <c r="M488" s="625"/>
    </row>
    <row r="489" spans="1:13" ht="15.75">
      <c r="A489" s="600"/>
      <c r="B489" s="626" t="s">
        <v>766</v>
      </c>
      <c r="C489" s="617" t="s">
        <v>555</v>
      </c>
      <c r="D489" s="617"/>
      <c r="E489" s="628"/>
      <c r="F489" s="619"/>
      <c r="G489" s="620"/>
      <c r="H489" s="620"/>
      <c r="I489" s="620"/>
      <c r="J489" s="620">
        <v>80</v>
      </c>
      <c r="K489" s="620">
        <v>70</v>
      </c>
      <c r="L489" s="620">
        <v>90</v>
      </c>
      <c r="M489" s="625"/>
    </row>
    <row r="490" spans="1:13" ht="15.75">
      <c r="A490" s="600"/>
      <c r="B490" s="626" t="s">
        <v>767</v>
      </c>
      <c r="C490" s="617" t="s">
        <v>21</v>
      </c>
      <c r="D490" s="617"/>
      <c r="E490" s="628"/>
      <c r="F490" s="619"/>
      <c r="G490" s="620"/>
      <c r="H490" s="620"/>
      <c r="I490" s="620"/>
      <c r="J490" s="620">
        <v>80</v>
      </c>
      <c r="K490" s="620">
        <v>70</v>
      </c>
      <c r="L490" s="620">
        <v>20</v>
      </c>
      <c r="M490" s="625"/>
    </row>
    <row r="491" spans="1:13" ht="15.75">
      <c r="A491" s="600"/>
      <c r="B491" s="626" t="s">
        <v>768</v>
      </c>
      <c r="C491" s="617" t="s">
        <v>21</v>
      </c>
      <c r="D491" s="617"/>
      <c r="E491" s="628"/>
      <c r="F491" s="619"/>
      <c r="G491" s="620"/>
      <c r="H491" s="620"/>
      <c r="I491" s="620"/>
      <c r="J491" s="620">
        <v>20</v>
      </c>
      <c r="K491" s="620">
        <v>21</v>
      </c>
      <c r="L491" s="620">
        <v>20</v>
      </c>
      <c r="M491" s="625"/>
    </row>
    <row r="492" spans="1:13" ht="15.75">
      <c r="A492" s="600"/>
      <c r="B492" s="626" t="s">
        <v>769</v>
      </c>
      <c r="C492" s="617" t="s">
        <v>21</v>
      </c>
      <c r="D492" s="617"/>
      <c r="E492" s="628"/>
      <c r="F492" s="619"/>
      <c r="G492" s="620"/>
      <c r="H492" s="620"/>
      <c r="I492" s="620"/>
      <c r="J492" s="620">
        <v>20</v>
      </c>
      <c r="K492" s="620">
        <v>21</v>
      </c>
      <c r="L492" s="620">
        <v>20</v>
      </c>
      <c r="M492" s="625"/>
    </row>
    <row r="493" spans="1:13" ht="15.75">
      <c r="A493" s="600"/>
      <c r="B493" s="626" t="s">
        <v>770</v>
      </c>
      <c r="C493" s="617" t="s">
        <v>367</v>
      </c>
      <c r="D493" s="617"/>
      <c r="E493" s="628"/>
      <c r="F493" s="619"/>
      <c r="G493" s="620"/>
      <c r="H493" s="620"/>
      <c r="I493" s="620"/>
      <c r="J493" s="620">
        <v>695</v>
      </c>
      <c r="K493" s="620">
        <v>740</v>
      </c>
      <c r="L493" s="620">
        <v>680</v>
      </c>
      <c r="M493" s="625"/>
    </row>
    <row r="494" spans="1:13" ht="15.75">
      <c r="A494" s="600"/>
      <c r="B494" s="626" t="s">
        <v>771</v>
      </c>
      <c r="C494" s="617" t="s">
        <v>709</v>
      </c>
      <c r="D494" s="617"/>
      <c r="E494" s="628"/>
      <c r="F494" s="619"/>
      <c r="G494" s="620"/>
      <c r="H494" s="620"/>
      <c r="I494" s="620"/>
      <c r="J494" s="620">
        <v>2780</v>
      </c>
      <c r="K494" s="620">
        <v>720</v>
      </c>
      <c r="L494" s="620"/>
      <c r="M494" s="625"/>
    </row>
    <row r="495" spans="1:13" ht="15.75">
      <c r="A495" s="600"/>
      <c r="B495" s="626" t="s">
        <v>772</v>
      </c>
      <c r="C495" s="617" t="s">
        <v>336</v>
      </c>
      <c r="D495" s="617"/>
      <c r="E495" s="628"/>
      <c r="F495" s="619"/>
      <c r="G495" s="620"/>
      <c r="H495" s="620"/>
      <c r="I495" s="620"/>
      <c r="J495" s="620">
        <v>695</v>
      </c>
      <c r="K495" s="620"/>
      <c r="L495" s="620">
        <v>675</v>
      </c>
      <c r="M495" s="625"/>
    </row>
    <row r="496" spans="1:13" ht="15.75">
      <c r="A496" s="600"/>
      <c r="B496" s="626" t="s">
        <v>763</v>
      </c>
      <c r="C496" s="617" t="s">
        <v>692</v>
      </c>
      <c r="D496" s="617"/>
      <c r="E496" s="628"/>
      <c r="F496" s="619"/>
      <c r="G496" s="620"/>
      <c r="H496" s="620"/>
      <c r="I496" s="620"/>
      <c r="J496" s="620">
        <v>1650</v>
      </c>
      <c r="K496" s="620"/>
      <c r="L496" s="620"/>
      <c r="M496" s="625"/>
    </row>
    <row r="497" spans="1:13" ht="15.75">
      <c r="A497" s="600"/>
      <c r="B497" s="626" t="s">
        <v>773</v>
      </c>
      <c r="C497" s="617" t="s">
        <v>774</v>
      </c>
      <c r="D497" s="617"/>
      <c r="E497" s="628"/>
      <c r="F497" s="619"/>
      <c r="G497" s="620"/>
      <c r="H497" s="620"/>
      <c r="I497" s="620"/>
      <c r="J497" s="620">
        <v>190</v>
      </c>
      <c r="K497" s="620">
        <v>195</v>
      </c>
      <c r="L497" s="620">
        <v>195</v>
      </c>
      <c r="M497" s="625"/>
    </row>
    <row r="498" spans="1:13" ht="15.75">
      <c r="A498" s="600"/>
      <c r="B498" s="626" t="s">
        <v>773</v>
      </c>
      <c r="C498" s="617" t="s">
        <v>692</v>
      </c>
      <c r="D498" s="617"/>
      <c r="E498" s="628"/>
      <c r="F498" s="619"/>
      <c r="G498" s="620"/>
      <c r="H498" s="620"/>
      <c r="I498" s="620"/>
      <c r="J498" s="620">
        <v>590</v>
      </c>
      <c r="K498" s="620">
        <v>645</v>
      </c>
      <c r="L498" s="620">
        <v>750</v>
      </c>
      <c r="M498" s="625"/>
    </row>
    <row r="499" spans="1:13" ht="15.75">
      <c r="A499" s="600"/>
      <c r="B499" s="626" t="s">
        <v>775</v>
      </c>
      <c r="C499" s="617" t="s">
        <v>691</v>
      </c>
      <c r="D499" s="617"/>
      <c r="E499" s="628"/>
      <c r="F499" s="619"/>
      <c r="G499" s="620"/>
      <c r="H499" s="620"/>
      <c r="I499" s="620"/>
      <c r="J499" s="620">
        <v>240</v>
      </c>
      <c r="K499" s="620"/>
      <c r="L499" s="620"/>
      <c r="M499" s="625"/>
    </row>
    <row r="500" spans="1:13" ht="15.75">
      <c r="A500" s="600"/>
      <c r="B500" s="626" t="s">
        <v>776</v>
      </c>
      <c r="C500" s="617" t="s">
        <v>777</v>
      </c>
      <c r="D500" s="617"/>
      <c r="E500" s="628"/>
      <c r="F500" s="619"/>
      <c r="G500" s="620"/>
      <c r="H500" s="620"/>
      <c r="I500" s="620"/>
      <c r="J500" s="620">
        <v>80</v>
      </c>
      <c r="K500" s="620"/>
      <c r="L500" s="620"/>
      <c r="M500" s="625"/>
    </row>
    <row r="501" spans="1:13" ht="15.75">
      <c r="A501" s="600"/>
      <c r="B501" s="626" t="s">
        <v>778</v>
      </c>
      <c r="C501" s="617" t="s">
        <v>691</v>
      </c>
      <c r="D501" s="617"/>
      <c r="E501" s="628"/>
      <c r="F501" s="619"/>
      <c r="G501" s="620"/>
      <c r="H501" s="620"/>
      <c r="I501" s="620"/>
      <c r="J501" s="620">
        <v>600</v>
      </c>
      <c r="K501" s="620">
        <v>62</v>
      </c>
      <c r="L501" s="620"/>
      <c r="M501" s="625"/>
    </row>
    <row r="502" spans="1:13" ht="15.75">
      <c r="A502" s="600"/>
      <c r="B502" s="626" t="s">
        <v>779</v>
      </c>
      <c r="C502" s="617" t="s">
        <v>777</v>
      </c>
      <c r="D502" s="617"/>
      <c r="E502" s="628"/>
      <c r="F502" s="619"/>
      <c r="G502" s="620"/>
      <c r="H502" s="620"/>
      <c r="I502" s="620"/>
      <c r="J502" s="620">
        <v>160</v>
      </c>
      <c r="K502" s="620">
        <v>65</v>
      </c>
      <c r="L502" s="620"/>
      <c r="M502" s="625"/>
    </row>
    <row r="503" spans="1:13" ht="15.75">
      <c r="A503" s="600"/>
      <c r="B503" s="626" t="s">
        <v>780</v>
      </c>
      <c r="C503" s="617" t="s">
        <v>781</v>
      </c>
      <c r="D503" s="617"/>
      <c r="E503" s="628"/>
      <c r="F503" s="619"/>
      <c r="G503" s="620"/>
      <c r="H503" s="620"/>
      <c r="I503" s="620"/>
      <c r="J503" s="620">
        <v>600</v>
      </c>
      <c r="K503" s="620"/>
      <c r="L503" s="620"/>
      <c r="M503" s="625"/>
    </row>
    <row r="504" spans="1:13" ht="15.75">
      <c r="A504" s="600"/>
      <c r="B504" s="626" t="s">
        <v>782</v>
      </c>
      <c r="C504" s="617" t="s">
        <v>777</v>
      </c>
      <c r="D504" s="617"/>
      <c r="E504" s="628"/>
      <c r="F504" s="619"/>
      <c r="G504" s="620"/>
      <c r="H504" s="620"/>
      <c r="I504" s="620"/>
      <c r="J504" s="620">
        <v>150</v>
      </c>
      <c r="K504" s="620">
        <v>86</v>
      </c>
      <c r="L504" s="620">
        <v>120</v>
      </c>
      <c r="M504" s="625"/>
    </row>
    <row r="505" spans="1:13" ht="15.75">
      <c r="A505" s="600"/>
      <c r="B505" s="626" t="s">
        <v>783</v>
      </c>
      <c r="C505" s="617" t="s">
        <v>777</v>
      </c>
      <c r="D505" s="617"/>
      <c r="E505" s="628"/>
      <c r="F505" s="619"/>
      <c r="G505" s="620"/>
      <c r="H505" s="620"/>
      <c r="I505" s="620"/>
      <c r="J505" s="620">
        <v>150</v>
      </c>
      <c r="K505" s="620">
        <v>130</v>
      </c>
      <c r="L505" s="620"/>
      <c r="M505" s="625"/>
    </row>
    <row r="506" spans="1:13" ht="15.75">
      <c r="A506" s="600"/>
      <c r="B506" s="626" t="s">
        <v>784</v>
      </c>
      <c r="C506" s="617" t="s">
        <v>777</v>
      </c>
      <c r="D506" s="617"/>
      <c r="E506" s="628"/>
      <c r="F506" s="619"/>
      <c r="G506" s="620"/>
      <c r="H506" s="620"/>
      <c r="I506" s="620"/>
      <c r="J506" s="620">
        <v>150</v>
      </c>
      <c r="K506" s="620">
        <v>122</v>
      </c>
      <c r="L506" s="620">
        <v>120</v>
      </c>
      <c r="M506" s="625"/>
    </row>
    <row r="507" spans="1:13" ht="15.75">
      <c r="A507" s="600"/>
      <c r="B507" s="626" t="s">
        <v>785</v>
      </c>
      <c r="C507" s="617" t="s">
        <v>777</v>
      </c>
      <c r="D507" s="617"/>
      <c r="E507" s="628"/>
      <c r="F507" s="619"/>
      <c r="G507" s="620"/>
      <c r="H507" s="620"/>
      <c r="I507" s="620"/>
      <c r="J507" s="620">
        <v>150</v>
      </c>
      <c r="K507" s="620">
        <v>130</v>
      </c>
      <c r="L507" s="620"/>
      <c r="M507" s="625"/>
    </row>
    <row r="508" spans="1:13" ht="15.75">
      <c r="A508" s="600"/>
      <c r="B508" s="626" t="s">
        <v>786</v>
      </c>
      <c r="C508" s="617" t="s">
        <v>691</v>
      </c>
      <c r="D508" s="617"/>
      <c r="E508" s="628"/>
      <c r="F508" s="619"/>
      <c r="G508" s="620"/>
      <c r="H508" s="620"/>
      <c r="I508" s="620"/>
      <c r="J508" s="620">
        <v>260</v>
      </c>
      <c r="K508" s="620">
        <v>86</v>
      </c>
      <c r="L508" s="620"/>
      <c r="M508" s="625"/>
    </row>
    <row r="509" spans="1:13" ht="15.75">
      <c r="A509" s="600"/>
      <c r="B509" s="626" t="s">
        <v>787</v>
      </c>
      <c r="C509" s="617" t="s">
        <v>691</v>
      </c>
      <c r="D509" s="617"/>
      <c r="E509" s="628"/>
      <c r="F509" s="619"/>
      <c r="G509" s="620"/>
      <c r="H509" s="620"/>
      <c r="I509" s="620"/>
      <c r="J509" s="620">
        <v>260</v>
      </c>
      <c r="K509" s="620">
        <v>98</v>
      </c>
      <c r="L509" s="620"/>
      <c r="M509" s="625"/>
    </row>
    <row r="510" spans="1:13" ht="15.75">
      <c r="A510" s="600"/>
      <c r="B510" s="626" t="s">
        <v>788</v>
      </c>
      <c r="C510" s="617" t="s">
        <v>777</v>
      </c>
      <c r="D510" s="617"/>
      <c r="E510" s="628"/>
      <c r="F510" s="619"/>
      <c r="G510" s="620"/>
      <c r="H510" s="620"/>
      <c r="I510" s="620"/>
      <c r="J510" s="620">
        <v>75</v>
      </c>
      <c r="K510" s="620"/>
      <c r="L510" s="620">
        <v>75</v>
      </c>
      <c r="M510" s="625"/>
    </row>
    <row r="511" spans="1:13" s="593" customFormat="1" ht="15.75">
      <c r="A511" s="606" t="s">
        <v>308</v>
      </c>
      <c r="B511" s="607"/>
      <c r="C511" s="624"/>
      <c r="D511" s="624"/>
      <c r="E511" s="647"/>
      <c r="F511" s="608"/>
      <c r="G511" s="648"/>
      <c r="H511" s="648"/>
      <c r="I511" s="648"/>
      <c r="J511" s="648"/>
      <c r="K511" s="648"/>
      <c r="L511" s="648"/>
      <c r="M511" s="655"/>
    </row>
    <row r="512" spans="1:13" ht="15.75">
      <c r="A512" s="600"/>
      <c r="B512" s="659" t="s">
        <v>789</v>
      </c>
      <c r="C512" s="627" t="s">
        <v>21</v>
      </c>
      <c r="D512" s="627"/>
      <c r="E512" s="660"/>
      <c r="F512" s="619"/>
      <c r="G512" s="620"/>
      <c r="H512" s="620"/>
      <c r="I512" s="620"/>
      <c r="J512" s="620">
        <v>150</v>
      </c>
      <c r="K512" s="620">
        <v>145</v>
      </c>
      <c r="L512" s="620">
        <v>180</v>
      </c>
      <c r="M512" s="625"/>
    </row>
    <row r="513" spans="1:13" ht="15.75">
      <c r="A513" s="600"/>
      <c r="B513" s="659" t="s">
        <v>790</v>
      </c>
      <c r="C513" s="627" t="s">
        <v>21</v>
      </c>
      <c r="D513" s="627"/>
      <c r="E513" s="660"/>
      <c r="F513" s="619"/>
      <c r="G513" s="620"/>
      <c r="H513" s="620"/>
      <c r="I513" s="620"/>
      <c r="J513" s="620">
        <v>10</v>
      </c>
      <c r="K513" s="620">
        <v>13</v>
      </c>
      <c r="L513" s="620">
        <v>10</v>
      </c>
      <c r="M513" s="625"/>
    </row>
    <row r="514" spans="1:13" ht="15.75">
      <c r="A514" s="600"/>
      <c r="B514" s="659" t="s">
        <v>791</v>
      </c>
      <c r="C514" s="627" t="s">
        <v>21</v>
      </c>
      <c r="D514" s="627"/>
      <c r="E514" s="660"/>
      <c r="F514" s="619"/>
      <c r="G514" s="620"/>
      <c r="H514" s="620"/>
      <c r="I514" s="620"/>
      <c r="J514" s="620">
        <v>75</v>
      </c>
      <c r="K514" s="620">
        <v>95</v>
      </c>
      <c r="L514" s="620">
        <v>115</v>
      </c>
      <c r="M514" s="625"/>
    </row>
    <row r="515" spans="1:13" ht="15.75">
      <c r="A515" s="661"/>
      <c r="B515" s="662" t="s">
        <v>792</v>
      </c>
      <c r="C515" s="663" t="s">
        <v>398</v>
      </c>
      <c r="D515" s="663"/>
      <c r="E515" s="660"/>
      <c r="F515" s="619"/>
      <c r="G515" s="620"/>
      <c r="H515" s="620"/>
      <c r="I515" s="620"/>
      <c r="J515" s="620">
        <v>1050</v>
      </c>
      <c r="K515" s="620">
        <v>1160</v>
      </c>
      <c r="L515" s="620">
        <v>1235</v>
      </c>
      <c r="M515" s="625"/>
    </row>
    <row r="516" spans="1:13" ht="15.75">
      <c r="A516" s="661"/>
      <c r="B516" s="662" t="s">
        <v>793</v>
      </c>
      <c r="C516" s="663" t="s">
        <v>398</v>
      </c>
      <c r="D516" s="663"/>
      <c r="E516" s="660"/>
      <c r="F516" s="619"/>
      <c r="G516" s="620"/>
      <c r="H516" s="620"/>
      <c r="I516" s="620"/>
      <c r="J516" s="620">
        <v>1050</v>
      </c>
      <c r="K516" s="620">
        <v>1160</v>
      </c>
      <c r="L516" s="620">
        <v>1235</v>
      </c>
      <c r="M516" s="625"/>
    </row>
    <row r="517" spans="1:13" ht="15.75">
      <c r="A517" s="600"/>
      <c r="B517" s="659" t="s">
        <v>794</v>
      </c>
      <c r="C517" s="627" t="s">
        <v>350</v>
      </c>
      <c r="D517" s="627"/>
      <c r="E517" s="660"/>
      <c r="F517" s="629">
        <v>850</v>
      </c>
      <c r="G517" s="620"/>
      <c r="H517" s="620"/>
      <c r="I517" s="620"/>
      <c r="J517" s="620">
        <v>310</v>
      </c>
      <c r="K517" s="620">
        <v>95</v>
      </c>
      <c r="L517" s="620"/>
      <c r="M517" s="625"/>
    </row>
    <row r="518" spans="1:13" ht="15.75">
      <c r="A518" s="600"/>
      <c r="B518" s="659" t="s">
        <v>795</v>
      </c>
      <c r="C518" s="627" t="s">
        <v>350</v>
      </c>
      <c r="D518" s="627"/>
      <c r="E518" s="660"/>
      <c r="F518" s="629">
        <v>1200</v>
      </c>
      <c r="G518" s="620"/>
      <c r="H518" s="620"/>
      <c r="I518" s="620"/>
      <c r="J518" s="620">
        <v>880</v>
      </c>
      <c r="K518" s="620"/>
      <c r="L518" s="620"/>
      <c r="M518" s="625"/>
    </row>
    <row r="519" spans="1:13" ht="15.75">
      <c r="A519" s="600"/>
      <c r="B519" s="659" t="s">
        <v>796</v>
      </c>
      <c r="C519" s="627" t="s">
        <v>350</v>
      </c>
      <c r="D519" s="627"/>
      <c r="E519" s="660"/>
      <c r="F519" s="629">
        <v>1400</v>
      </c>
      <c r="G519" s="620"/>
      <c r="H519" s="620"/>
      <c r="I519" s="620"/>
      <c r="J519" s="620">
        <v>1250</v>
      </c>
      <c r="K519" s="620"/>
      <c r="L519" s="620"/>
      <c r="M519" s="625"/>
    </row>
    <row r="520" spans="1:13" ht="15.75">
      <c r="A520" s="600"/>
      <c r="B520" s="659" t="s">
        <v>797</v>
      </c>
      <c r="C520" s="627" t="s">
        <v>350</v>
      </c>
      <c r="D520" s="627"/>
      <c r="E520" s="660"/>
      <c r="F520" s="619"/>
      <c r="G520" s="620"/>
      <c r="H520" s="620"/>
      <c r="I520" s="620"/>
      <c r="J520" s="620"/>
      <c r="K520" s="620">
        <v>210</v>
      </c>
      <c r="L520" s="620"/>
      <c r="M520" s="625"/>
    </row>
    <row r="521" spans="1:13" ht="15.75">
      <c r="A521" s="600"/>
      <c r="B521" s="659" t="s">
        <v>798</v>
      </c>
      <c r="C521" s="627" t="s">
        <v>350</v>
      </c>
      <c r="D521" s="627"/>
      <c r="E521" s="660"/>
      <c r="F521" s="629">
        <v>250</v>
      </c>
      <c r="G521" s="620"/>
      <c r="H521" s="620"/>
      <c r="I521" s="620"/>
      <c r="J521" s="620">
        <v>450</v>
      </c>
      <c r="K521" s="620"/>
      <c r="L521" s="620"/>
      <c r="M521" s="625"/>
    </row>
    <row r="522" spans="1:13" ht="15.75">
      <c r="A522" s="600"/>
      <c r="B522" s="659" t="s">
        <v>799</v>
      </c>
      <c r="C522" s="627" t="s">
        <v>350</v>
      </c>
      <c r="D522" s="627"/>
      <c r="E522" s="660"/>
      <c r="F522" s="619"/>
      <c r="G522" s="620"/>
      <c r="H522" s="620"/>
      <c r="I522" s="620"/>
      <c r="J522" s="620"/>
      <c r="K522" s="620"/>
      <c r="L522" s="620"/>
      <c r="M522" s="625"/>
    </row>
    <row r="523" spans="1:13" ht="15.75">
      <c r="A523" s="600"/>
      <c r="B523" s="659" t="s">
        <v>800</v>
      </c>
      <c r="C523" s="627" t="s">
        <v>350</v>
      </c>
      <c r="D523" s="627"/>
      <c r="E523" s="660"/>
      <c r="F523" s="629">
        <v>500</v>
      </c>
      <c r="G523" s="620"/>
      <c r="H523" s="620"/>
      <c r="I523" s="620"/>
      <c r="J523" s="620">
        <v>550</v>
      </c>
      <c r="K523" s="620"/>
      <c r="L523" s="620"/>
      <c r="M523" s="625"/>
    </row>
    <row r="524" spans="1:13" ht="15.75">
      <c r="A524" s="600"/>
      <c r="B524" s="659" t="s">
        <v>801</v>
      </c>
      <c r="C524" s="627" t="s">
        <v>350</v>
      </c>
      <c r="D524" s="627"/>
      <c r="E524" s="660"/>
      <c r="F524" s="629">
        <v>650</v>
      </c>
      <c r="G524" s="620"/>
      <c r="H524" s="620"/>
      <c r="I524" s="620"/>
      <c r="J524" s="620">
        <v>580</v>
      </c>
      <c r="K524" s="620"/>
      <c r="L524" s="620"/>
      <c r="M524" s="625"/>
    </row>
    <row r="525" spans="1:13" ht="15.75">
      <c r="A525" s="600"/>
      <c r="B525" s="659" t="s">
        <v>802</v>
      </c>
      <c r="C525" s="627" t="s">
        <v>21</v>
      </c>
      <c r="D525" s="627"/>
      <c r="E525" s="660"/>
      <c r="F525" s="619"/>
      <c r="G525" s="620"/>
      <c r="H525" s="620"/>
      <c r="I525" s="620"/>
      <c r="J525" s="620">
        <v>45</v>
      </c>
      <c r="K525" s="620">
        <v>90</v>
      </c>
      <c r="L525" s="620">
        <v>120</v>
      </c>
      <c r="M525" s="625"/>
    </row>
    <row r="526" spans="1:13" ht="15.75">
      <c r="A526" s="600"/>
      <c r="B526" s="659" t="s">
        <v>803</v>
      </c>
      <c r="C526" s="627" t="s">
        <v>21</v>
      </c>
      <c r="D526" s="627"/>
      <c r="E526" s="660"/>
      <c r="F526" s="619"/>
      <c r="G526" s="620"/>
      <c r="H526" s="620"/>
      <c r="I526" s="620"/>
      <c r="J526" s="620">
        <v>65</v>
      </c>
      <c r="K526" s="620">
        <v>95</v>
      </c>
      <c r="L526" s="620">
        <v>150</v>
      </c>
      <c r="M526" s="625"/>
    </row>
    <row r="527" spans="1:13">
      <c r="A527" s="600"/>
      <c r="B527" s="664" t="s">
        <v>804</v>
      </c>
      <c r="C527" s="627" t="s">
        <v>21</v>
      </c>
      <c r="D527" s="627"/>
      <c r="E527" s="640"/>
      <c r="F527" s="619"/>
      <c r="G527" s="620"/>
      <c r="H527" s="620"/>
      <c r="I527" s="620"/>
      <c r="J527" s="620">
        <v>995</v>
      </c>
      <c r="K527" s="620">
        <v>210</v>
      </c>
      <c r="L527" s="620"/>
      <c r="M527" s="625"/>
    </row>
    <row r="528" spans="1:13" ht="15.75">
      <c r="A528" s="600"/>
      <c r="B528" s="659" t="s">
        <v>805</v>
      </c>
      <c r="C528" s="627" t="s">
        <v>350</v>
      </c>
      <c r="D528" s="627"/>
      <c r="E528" s="660"/>
      <c r="F528" s="619"/>
      <c r="G528" s="620"/>
      <c r="H528" s="620"/>
      <c r="I528" s="620"/>
      <c r="J528" s="620"/>
      <c r="K528" s="620">
        <v>780</v>
      </c>
      <c r="L528" s="620"/>
      <c r="M528" s="625"/>
    </row>
    <row r="529" spans="1:13">
      <c r="A529" s="600"/>
      <c r="B529" s="665" t="s">
        <v>806</v>
      </c>
      <c r="C529" s="627" t="s">
        <v>404</v>
      </c>
      <c r="D529" s="627"/>
      <c r="E529" s="660"/>
      <c r="F529" s="619"/>
      <c r="G529" s="620"/>
      <c r="H529" s="620"/>
      <c r="I529" s="620"/>
      <c r="J529" s="620">
        <v>8500</v>
      </c>
      <c r="K529" s="620"/>
      <c r="L529" s="620"/>
      <c r="M529" s="625"/>
    </row>
    <row r="530" spans="1:13" ht="15.75">
      <c r="A530" s="600"/>
      <c r="B530" s="659" t="s">
        <v>807</v>
      </c>
      <c r="C530" s="627" t="s">
        <v>398</v>
      </c>
      <c r="D530" s="627"/>
      <c r="E530" s="640"/>
      <c r="F530" s="619"/>
      <c r="G530" s="620"/>
      <c r="H530" s="620"/>
      <c r="I530" s="620"/>
      <c r="J530" s="620">
        <v>7500</v>
      </c>
      <c r="K530" s="620"/>
      <c r="L530" s="620">
        <v>7800</v>
      </c>
      <c r="M530" s="625"/>
    </row>
    <row r="531" spans="1:13" ht="15.75">
      <c r="A531" s="600"/>
      <c r="B531" s="659" t="s">
        <v>808</v>
      </c>
      <c r="C531" s="627" t="s">
        <v>809</v>
      </c>
      <c r="D531" s="627"/>
      <c r="E531" s="660"/>
      <c r="F531" s="619"/>
      <c r="G531" s="620"/>
      <c r="H531" s="620"/>
      <c r="I531" s="620"/>
      <c r="J531" s="620">
        <v>7500</v>
      </c>
      <c r="K531" s="620"/>
      <c r="L531" s="620">
        <v>800</v>
      </c>
      <c r="M531" s="625"/>
    </row>
    <row r="532" spans="1:13" ht="15.75">
      <c r="A532" s="600"/>
      <c r="B532" s="659" t="s">
        <v>810</v>
      </c>
      <c r="C532" s="627" t="s">
        <v>809</v>
      </c>
      <c r="D532" s="627"/>
      <c r="E532" s="660"/>
      <c r="F532" s="619"/>
      <c r="G532" s="620"/>
      <c r="H532" s="620"/>
      <c r="I532" s="620"/>
      <c r="J532" s="620">
        <v>8500</v>
      </c>
      <c r="K532" s="620"/>
      <c r="L532" s="620"/>
      <c r="M532" s="625"/>
    </row>
    <row r="533" spans="1:13" ht="31.5">
      <c r="A533" s="600"/>
      <c r="B533" s="659" t="s">
        <v>811</v>
      </c>
      <c r="C533" s="627" t="s">
        <v>404</v>
      </c>
      <c r="D533" s="627"/>
      <c r="E533" s="660"/>
      <c r="F533" s="619"/>
      <c r="G533" s="620"/>
      <c r="H533" s="620"/>
      <c r="I533" s="620"/>
      <c r="J533" s="620">
        <v>1800</v>
      </c>
      <c r="K533" s="620"/>
      <c r="L533" s="620"/>
      <c r="M533" s="625"/>
    </row>
    <row r="534" spans="1:13" ht="15.75">
      <c r="A534" s="600"/>
      <c r="B534" s="666" t="s">
        <v>812</v>
      </c>
      <c r="C534" s="627" t="s">
        <v>21</v>
      </c>
      <c r="D534" s="627"/>
      <c r="E534" s="660"/>
      <c r="F534" s="619"/>
      <c r="G534" s="620"/>
      <c r="H534" s="620"/>
      <c r="I534" s="620"/>
      <c r="J534" s="620">
        <v>1750</v>
      </c>
      <c r="K534" s="620">
        <v>1500</v>
      </c>
      <c r="L534" s="620"/>
      <c r="M534" s="625"/>
    </row>
    <row r="535" spans="1:13" ht="15.75">
      <c r="A535" s="600"/>
      <c r="B535" s="666" t="s">
        <v>813</v>
      </c>
      <c r="C535" s="627" t="s">
        <v>21</v>
      </c>
      <c r="D535" s="627"/>
      <c r="E535" s="660"/>
      <c r="F535" s="619"/>
      <c r="G535" s="620"/>
      <c r="H535" s="620"/>
      <c r="I535" s="620"/>
      <c r="J535" s="620">
        <v>150</v>
      </c>
      <c r="K535" s="620"/>
      <c r="L535" s="620"/>
      <c r="M535" s="625"/>
    </row>
    <row r="536" spans="1:13" ht="15.75">
      <c r="A536" s="600"/>
      <c r="B536" s="659" t="s">
        <v>814</v>
      </c>
      <c r="C536" s="627" t="s">
        <v>746</v>
      </c>
      <c r="D536" s="627"/>
      <c r="E536" s="660"/>
      <c r="F536" s="619"/>
      <c r="G536" s="620"/>
      <c r="H536" s="620"/>
      <c r="I536" s="620"/>
      <c r="J536" s="620">
        <v>185</v>
      </c>
      <c r="K536" s="620">
        <v>185</v>
      </c>
      <c r="L536" s="620"/>
      <c r="M536" s="625"/>
    </row>
    <row r="537" spans="1:13" ht="15.75">
      <c r="A537" s="600"/>
      <c r="B537" s="659" t="s">
        <v>815</v>
      </c>
      <c r="C537" s="627" t="s">
        <v>746</v>
      </c>
      <c r="D537" s="627"/>
      <c r="E537" s="660"/>
      <c r="F537" s="619"/>
      <c r="G537" s="620"/>
      <c r="H537" s="620"/>
      <c r="I537" s="620"/>
      <c r="J537" s="620"/>
      <c r="K537" s="620">
        <v>330</v>
      </c>
      <c r="L537" s="620"/>
      <c r="M537" s="625"/>
    </row>
    <row r="538" spans="1:13" ht="15.75">
      <c r="A538" s="600"/>
      <c r="B538" s="659" t="s">
        <v>816</v>
      </c>
      <c r="C538" s="627" t="s">
        <v>350</v>
      </c>
      <c r="D538" s="627"/>
      <c r="E538" s="660"/>
      <c r="F538" s="619"/>
      <c r="G538" s="620"/>
      <c r="H538" s="620"/>
      <c r="I538" s="620"/>
      <c r="J538" s="620">
        <v>205</v>
      </c>
      <c r="K538" s="620">
        <v>150</v>
      </c>
      <c r="L538" s="620">
        <v>180</v>
      </c>
      <c r="M538" s="625"/>
    </row>
    <row r="539" spans="1:13" ht="15.75">
      <c r="A539" s="600"/>
      <c r="B539" s="659" t="s">
        <v>817</v>
      </c>
      <c r="C539" s="627" t="s">
        <v>350</v>
      </c>
      <c r="D539" s="627"/>
      <c r="E539" s="660"/>
      <c r="F539" s="619"/>
      <c r="G539" s="620"/>
      <c r="H539" s="620"/>
      <c r="I539" s="620"/>
      <c r="J539" s="620"/>
      <c r="K539" s="620">
        <v>205</v>
      </c>
      <c r="L539" s="620"/>
      <c r="M539" s="625"/>
    </row>
    <row r="540" spans="1:13" ht="15.75">
      <c r="A540" s="600"/>
      <c r="B540" s="659" t="s">
        <v>818</v>
      </c>
      <c r="C540" s="627" t="s">
        <v>373</v>
      </c>
      <c r="D540" s="627"/>
      <c r="E540" s="660"/>
      <c r="F540" s="619"/>
      <c r="G540" s="620"/>
      <c r="H540" s="620"/>
      <c r="I540" s="620"/>
      <c r="J540" s="620">
        <v>45</v>
      </c>
      <c r="K540" s="620">
        <v>45</v>
      </c>
      <c r="L540" s="620">
        <v>65</v>
      </c>
      <c r="M540" s="625"/>
    </row>
    <row r="541" spans="1:13" ht="15.75">
      <c r="A541" s="600"/>
      <c r="B541" s="659" t="s">
        <v>819</v>
      </c>
      <c r="C541" s="627" t="s">
        <v>373</v>
      </c>
      <c r="D541" s="627"/>
      <c r="E541" s="660"/>
      <c r="F541" s="619"/>
      <c r="G541" s="620"/>
      <c r="H541" s="620"/>
      <c r="I541" s="620"/>
      <c r="J541" s="620">
        <v>85</v>
      </c>
      <c r="K541" s="620">
        <v>160</v>
      </c>
      <c r="L541" s="620"/>
      <c r="M541" s="625"/>
    </row>
    <row r="542" spans="1:13" ht="15.75">
      <c r="A542" s="600"/>
      <c r="B542" s="659" t="s">
        <v>820</v>
      </c>
      <c r="C542" s="627" t="s">
        <v>821</v>
      </c>
      <c r="D542" s="627"/>
      <c r="E542" s="640"/>
      <c r="F542" s="619"/>
      <c r="G542" s="620"/>
      <c r="H542" s="620"/>
      <c r="I542" s="620"/>
      <c r="J542" s="620">
        <v>80</v>
      </c>
      <c r="K542" s="620">
        <v>155</v>
      </c>
      <c r="L542" s="620">
        <v>150</v>
      </c>
      <c r="M542" s="625"/>
    </row>
    <row r="543" spans="1:13" ht="15.75">
      <c r="A543" s="600"/>
      <c r="B543" s="659" t="s">
        <v>822</v>
      </c>
      <c r="C543" s="627" t="s">
        <v>821</v>
      </c>
      <c r="D543" s="627"/>
      <c r="E543" s="640"/>
      <c r="F543" s="619"/>
      <c r="G543" s="620"/>
      <c r="H543" s="620"/>
      <c r="I543" s="620"/>
      <c r="J543" s="620">
        <v>45</v>
      </c>
      <c r="K543" s="620">
        <v>38</v>
      </c>
      <c r="L543" s="620">
        <v>40</v>
      </c>
      <c r="M543" s="625"/>
    </row>
    <row r="544" spans="1:13" ht="15.75">
      <c r="A544" s="600"/>
      <c r="B544" s="659" t="s">
        <v>823</v>
      </c>
      <c r="C544" s="627" t="s">
        <v>350</v>
      </c>
      <c r="D544" s="627"/>
      <c r="E544" s="660"/>
      <c r="F544" s="619"/>
      <c r="G544" s="620"/>
      <c r="H544" s="620"/>
      <c r="I544" s="620"/>
      <c r="J544" s="620">
        <v>650</v>
      </c>
      <c r="K544" s="620">
        <v>285</v>
      </c>
      <c r="L544" s="620">
        <v>298</v>
      </c>
      <c r="M544" s="625"/>
    </row>
    <row r="545" spans="1:13" ht="15.75">
      <c r="A545" s="600"/>
      <c r="B545" s="659" t="s">
        <v>824</v>
      </c>
      <c r="C545" s="627" t="s">
        <v>373</v>
      </c>
      <c r="D545" s="627"/>
      <c r="E545" s="660"/>
      <c r="F545" s="619"/>
      <c r="G545" s="620"/>
      <c r="H545" s="620"/>
      <c r="I545" s="620"/>
      <c r="J545" s="620">
        <v>3.5</v>
      </c>
      <c r="K545" s="620">
        <v>1.75</v>
      </c>
      <c r="L545" s="620">
        <v>3.5</v>
      </c>
      <c r="M545" s="625"/>
    </row>
    <row r="546" spans="1:13" ht="15.75">
      <c r="A546" s="600"/>
      <c r="B546" s="659" t="s">
        <v>825</v>
      </c>
      <c r="C546" s="627" t="s">
        <v>21</v>
      </c>
      <c r="D546" s="627"/>
      <c r="E546" s="660"/>
      <c r="F546" s="619"/>
      <c r="G546" s="620"/>
      <c r="H546" s="620"/>
      <c r="I546" s="620"/>
      <c r="J546" s="620">
        <v>3.5</v>
      </c>
      <c r="K546" s="620">
        <v>165</v>
      </c>
      <c r="L546" s="620"/>
      <c r="M546" s="625"/>
    </row>
    <row r="547" spans="1:13" ht="15.75">
      <c r="A547" s="600"/>
      <c r="B547" s="659" t="s">
        <v>826</v>
      </c>
      <c r="C547" s="627" t="s">
        <v>350</v>
      </c>
      <c r="D547" s="627"/>
      <c r="E547" s="660"/>
      <c r="F547" s="619"/>
      <c r="G547" s="620"/>
      <c r="H547" s="620"/>
      <c r="I547" s="620"/>
      <c r="J547" s="620">
        <v>290</v>
      </c>
      <c r="K547" s="620">
        <v>330</v>
      </c>
      <c r="L547" s="620">
        <v>310</v>
      </c>
      <c r="M547" s="625"/>
    </row>
    <row r="548" spans="1:13" s="593" customFormat="1" ht="15.75">
      <c r="A548" s="606" t="s">
        <v>827</v>
      </c>
      <c r="B548" s="607"/>
      <c r="C548" s="624"/>
      <c r="D548" s="624"/>
      <c r="E548" s="647"/>
      <c r="F548" s="608"/>
      <c r="G548" s="648"/>
      <c r="H548" s="648"/>
      <c r="I548" s="648"/>
      <c r="J548" s="648"/>
      <c r="K548" s="648"/>
      <c r="L548" s="648"/>
      <c r="M548" s="655"/>
    </row>
    <row r="549" spans="1:13">
      <c r="A549" s="649"/>
      <c r="B549" s="602" t="s">
        <v>828</v>
      </c>
      <c r="C549" s="602" t="s">
        <v>16</v>
      </c>
      <c r="D549" s="602"/>
      <c r="E549" s="602"/>
      <c r="F549" s="619"/>
      <c r="G549" s="620"/>
      <c r="H549" s="620"/>
      <c r="I549" s="620"/>
      <c r="J549" s="620">
        <v>175</v>
      </c>
      <c r="K549" s="620"/>
      <c r="L549" s="620">
        <v>260</v>
      </c>
      <c r="M549" s="625"/>
    </row>
    <row r="550" spans="1:13" ht="15.75">
      <c r="A550" s="649"/>
      <c r="B550" s="601" t="s">
        <v>829</v>
      </c>
      <c r="C550" s="602" t="s">
        <v>21</v>
      </c>
      <c r="D550" s="602"/>
      <c r="E550" s="602"/>
      <c r="F550" s="619"/>
      <c r="G550" s="620"/>
      <c r="H550" s="620"/>
      <c r="I550" s="620"/>
      <c r="J550" s="620">
        <v>138</v>
      </c>
      <c r="K550" s="620"/>
      <c r="L550" s="620">
        <v>208</v>
      </c>
      <c r="M550" s="625"/>
    </row>
    <row r="551" spans="1:13" ht="15.75">
      <c r="A551" s="649"/>
      <c r="B551" s="601" t="s">
        <v>830</v>
      </c>
      <c r="C551" s="602" t="s">
        <v>21</v>
      </c>
      <c r="D551" s="602"/>
      <c r="E551" s="602"/>
      <c r="F551" s="619"/>
      <c r="G551" s="620"/>
      <c r="H551" s="620"/>
      <c r="I551" s="620"/>
      <c r="J551" s="620">
        <v>58</v>
      </c>
      <c r="K551" s="620"/>
      <c r="L551" s="620">
        <v>50</v>
      </c>
      <c r="M551" s="625"/>
    </row>
    <row r="552" spans="1:13" ht="15.75">
      <c r="A552" s="649"/>
      <c r="B552" s="601" t="s">
        <v>831</v>
      </c>
      <c r="C552" s="602" t="s">
        <v>373</v>
      </c>
      <c r="D552" s="602"/>
      <c r="E552" s="602"/>
      <c r="F552" s="619"/>
      <c r="G552" s="620"/>
      <c r="H552" s="620">
        <v>99.5</v>
      </c>
      <c r="I552" s="620"/>
      <c r="J552" s="620"/>
      <c r="K552" s="620"/>
      <c r="L552" s="620"/>
      <c r="M552" s="625"/>
    </row>
    <row r="553" spans="1:13" ht="15.75">
      <c r="A553" s="649"/>
      <c r="B553" s="601" t="s">
        <v>832</v>
      </c>
      <c r="C553" s="602" t="s">
        <v>373</v>
      </c>
      <c r="D553" s="602"/>
      <c r="E553" s="602"/>
      <c r="F553" s="619"/>
      <c r="G553" s="620"/>
      <c r="H553" s="620"/>
      <c r="I553" s="620">
        <v>28.75</v>
      </c>
      <c r="J553" s="620"/>
      <c r="K553" s="620"/>
      <c r="L553" s="620"/>
      <c r="M553" s="625"/>
    </row>
    <row r="554" spans="1:13" ht="15.75">
      <c r="A554" s="600"/>
      <c r="B554" s="616" t="s">
        <v>833</v>
      </c>
      <c r="C554" s="627" t="s">
        <v>809</v>
      </c>
      <c r="D554" s="627"/>
      <c r="E554" s="640"/>
      <c r="F554" s="619"/>
      <c r="G554" s="620"/>
      <c r="H554" s="620"/>
      <c r="I554" s="620"/>
      <c r="J554" s="620">
        <v>225</v>
      </c>
      <c r="K554" s="620">
        <v>365</v>
      </c>
      <c r="L554" s="620">
        <v>390</v>
      </c>
      <c r="M554" s="625"/>
    </row>
    <row r="555" spans="1:13" ht="15.75">
      <c r="A555" s="600"/>
      <c r="B555" s="616" t="s">
        <v>834</v>
      </c>
      <c r="C555" s="627" t="s">
        <v>809</v>
      </c>
      <c r="D555" s="627"/>
      <c r="E555" s="640"/>
      <c r="F555" s="619"/>
      <c r="G555" s="620"/>
      <c r="H555" s="620">
        <v>200</v>
      </c>
      <c r="I555" s="620"/>
      <c r="J555" s="620">
        <v>225</v>
      </c>
      <c r="K555" s="620">
        <v>365</v>
      </c>
      <c r="L555" s="620">
        <v>390</v>
      </c>
      <c r="M555" s="625"/>
    </row>
    <row r="556" spans="1:13" ht="15.75">
      <c r="A556" s="600"/>
      <c r="B556" s="616" t="s">
        <v>835</v>
      </c>
      <c r="C556" s="627" t="s">
        <v>809</v>
      </c>
      <c r="D556" s="627"/>
      <c r="E556" s="640"/>
      <c r="F556" s="619"/>
      <c r="G556" s="620"/>
      <c r="H556" s="620">
        <v>225</v>
      </c>
      <c r="I556" s="620"/>
      <c r="J556" s="620">
        <v>249</v>
      </c>
      <c r="K556" s="620">
        <v>365</v>
      </c>
      <c r="L556" s="620">
        <v>390</v>
      </c>
      <c r="M556" s="625"/>
    </row>
    <row r="557" spans="1:13" ht="15.75">
      <c r="A557" s="600"/>
      <c r="B557" s="616" t="s">
        <v>836</v>
      </c>
      <c r="C557" s="627" t="s">
        <v>373</v>
      </c>
      <c r="D557" s="627"/>
      <c r="E557" s="640"/>
      <c r="F557" s="619"/>
      <c r="G557" s="620"/>
      <c r="H557" s="620">
        <v>200</v>
      </c>
      <c r="I557" s="620"/>
      <c r="J557" s="620"/>
      <c r="K557" s="620"/>
      <c r="L557" s="620"/>
      <c r="M557" s="625"/>
    </row>
    <row r="558" spans="1:13" ht="15.75">
      <c r="A558" s="600"/>
      <c r="B558" s="616" t="s">
        <v>837</v>
      </c>
      <c r="C558" s="627" t="s">
        <v>373</v>
      </c>
      <c r="D558" s="627"/>
      <c r="E558" s="640"/>
      <c r="F558" s="619"/>
      <c r="G558" s="620"/>
      <c r="H558" s="620"/>
      <c r="I558" s="620"/>
      <c r="J558" s="620">
        <v>482</v>
      </c>
      <c r="K558" s="620">
        <v>1400</v>
      </c>
      <c r="L558" s="620">
        <v>570</v>
      </c>
      <c r="M558" s="625"/>
    </row>
    <row r="559" spans="1:13" ht="15.75">
      <c r="A559" s="600"/>
      <c r="B559" s="616" t="s">
        <v>838</v>
      </c>
      <c r="C559" s="627" t="s">
        <v>169</v>
      </c>
      <c r="D559" s="627"/>
      <c r="E559" s="640"/>
      <c r="F559" s="619"/>
      <c r="G559" s="620"/>
      <c r="H559" s="620"/>
      <c r="I559" s="620"/>
      <c r="J559" s="620">
        <v>185</v>
      </c>
      <c r="K559" s="620">
        <v>215</v>
      </c>
      <c r="L559" s="620">
        <v>208</v>
      </c>
      <c r="M559" s="625"/>
    </row>
    <row r="560" spans="1:13" ht="15.75">
      <c r="A560" s="600"/>
      <c r="B560" s="616" t="s">
        <v>839</v>
      </c>
      <c r="C560" s="627" t="s">
        <v>169</v>
      </c>
      <c r="D560" s="627"/>
      <c r="E560" s="640"/>
      <c r="F560" s="619"/>
      <c r="G560" s="620"/>
      <c r="H560" s="620"/>
      <c r="I560" s="620"/>
      <c r="J560" s="620">
        <v>143</v>
      </c>
      <c r="K560" s="620">
        <v>250</v>
      </c>
      <c r="L560" s="620">
        <v>210</v>
      </c>
      <c r="M560" s="625"/>
    </row>
    <row r="561" spans="1:13" ht="15.75">
      <c r="A561" s="600"/>
      <c r="B561" s="616" t="s">
        <v>840</v>
      </c>
      <c r="C561" s="627" t="s">
        <v>169</v>
      </c>
      <c r="D561" s="627"/>
      <c r="E561" s="640"/>
      <c r="F561" s="619"/>
      <c r="G561" s="620"/>
      <c r="H561" s="620"/>
      <c r="I561" s="620"/>
      <c r="J561" s="620">
        <v>185</v>
      </c>
      <c r="K561" s="620"/>
      <c r="L561" s="620">
        <v>210</v>
      </c>
      <c r="M561" s="625"/>
    </row>
    <row r="562" spans="1:13" ht="15.75">
      <c r="A562" s="600"/>
      <c r="B562" s="616" t="s">
        <v>841</v>
      </c>
      <c r="C562" s="627" t="s">
        <v>21</v>
      </c>
      <c r="D562" s="627"/>
      <c r="E562" s="640"/>
      <c r="F562" s="619"/>
      <c r="G562" s="620"/>
      <c r="H562" s="620"/>
      <c r="I562" s="620"/>
      <c r="J562" s="620">
        <v>217</v>
      </c>
      <c r="K562" s="620"/>
      <c r="L562" s="620">
        <v>220</v>
      </c>
      <c r="M562" s="625"/>
    </row>
    <row r="563" spans="1:13" ht="15.75">
      <c r="A563" s="600"/>
      <c r="B563" s="616" t="s">
        <v>842</v>
      </c>
      <c r="C563" s="627" t="s">
        <v>21</v>
      </c>
      <c r="D563" s="627"/>
      <c r="E563" s="640"/>
      <c r="F563" s="619"/>
      <c r="G563" s="620"/>
      <c r="H563" s="620"/>
      <c r="I563" s="620"/>
      <c r="J563" s="620">
        <v>148</v>
      </c>
      <c r="K563" s="620">
        <v>325</v>
      </c>
      <c r="L563" s="620">
        <v>220</v>
      </c>
      <c r="M563" s="625"/>
    </row>
    <row r="564" spans="1:13" ht="15.75">
      <c r="A564" s="600"/>
      <c r="B564" s="616" t="s">
        <v>843</v>
      </c>
      <c r="C564" s="627" t="s">
        <v>404</v>
      </c>
      <c r="D564" s="627"/>
      <c r="E564" s="640"/>
      <c r="F564" s="619"/>
      <c r="G564" s="620"/>
      <c r="H564" s="620"/>
      <c r="I564" s="620"/>
      <c r="J564" s="620">
        <v>505</v>
      </c>
      <c r="K564" s="620"/>
      <c r="L564" s="620">
        <v>648</v>
      </c>
      <c r="M564" s="625"/>
    </row>
    <row r="565" spans="1:13" ht="15.75">
      <c r="A565" s="600"/>
      <c r="B565" s="616" t="s">
        <v>844</v>
      </c>
      <c r="C565" s="627" t="s">
        <v>21</v>
      </c>
      <c r="D565" s="627"/>
      <c r="E565" s="640"/>
      <c r="F565" s="619"/>
      <c r="G565" s="620"/>
      <c r="H565" s="620"/>
      <c r="I565" s="620"/>
      <c r="J565" s="620">
        <v>48</v>
      </c>
      <c r="K565" s="620"/>
      <c r="L565" s="620"/>
      <c r="M565" s="625"/>
    </row>
    <row r="566" spans="1:13" ht="15.75">
      <c r="A566" s="600"/>
      <c r="B566" s="616" t="s">
        <v>845</v>
      </c>
      <c r="C566" s="627" t="s">
        <v>350</v>
      </c>
      <c r="D566" s="627"/>
      <c r="E566" s="640"/>
      <c r="F566" s="619"/>
      <c r="G566" s="620"/>
      <c r="H566" s="620"/>
      <c r="I566" s="620"/>
      <c r="J566" s="620">
        <v>382</v>
      </c>
      <c r="K566" s="620"/>
      <c r="L566" s="620"/>
      <c r="M566" s="625"/>
    </row>
    <row r="567" spans="1:13" ht="15.75">
      <c r="A567" s="600"/>
      <c r="B567" s="616" t="s">
        <v>846</v>
      </c>
      <c r="C567" s="627" t="s">
        <v>373</v>
      </c>
      <c r="D567" s="627"/>
      <c r="E567" s="640"/>
      <c r="F567" s="619"/>
      <c r="G567" s="620"/>
      <c r="H567" s="620"/>
      <c r="I567" s="620">
        <v>175</v>
      </c>
      <c r="J567" s="620"/>
      <c r="K567" s="620"/>
      <c r="L567" s="620"/>
      <c r="M567" s="625"/>
    </row>
    <row r="568" spans="1:13" ht="15.75">
      <c r="A568" s="600"/>
      <c r="B568" s="616" t="s">
        <v>847</v>
      </c>
      <c r="C568" s="627" t="s">
        <v>21</v>
      </c>
      <c r="D568" s="627"/>
      <c r="E568" s="640"/>
      <c r="F568" s="619"/>
      <c r="G568" s="620"/>
      <c r="H568" s="620">
        <v>85</v>
      </c>
      <c r="I568" s="620">
        <v>43.5</v>
      </c>
      <c r="J568" s="620">
        <v>100.7</v>
      </c>
      <c r="K568" s="620">
        <v>150</v>
      </c>
      <c r="L568" s="620">
        <v>175</v>
      </c>
      <c r="M568" s="625"/>
    </row>
    <row r="569" spans="1:13" ht="15.75">
      <c r="A569" s="600"/>
      <c r="B569" s="616" t="s">
        <v>848</v>
      </c>
      <c r="C569" s="627" t="s">
        <v>21</v>
      </c>
      <c r="D569" s="627"/>
      <c r="E569" s="640"/>
      <c r="F569" s="619"/>
      <c r="G569" s="620"/>
      <c r="H569" s="620">
        <v>115</v>
      </c>
      <c r="I569" s="620">
        <v>64.75</v>
      </c>
      <c r="J569" s="620">
        <v>160</v>
      </c>
      <c r="K569" s="620">
        <v>180</v>
      </c>
      <c r="L569" s="620">
        <v>220</v>
      </c>
      <c r="M569" s="625"/>
    </row>
    <row r="570" spans="1:13" ht="15.75">
      <c r="A570" s="600"/>
      <c r="B570" s="616" t="s">
        <v>849</v>
      </c>
      <c r="C570" s="627" t="s">
        <v>21</v>
      </c>
      <c r="D570" s="627"/>
      <c r="E570" s="640"/>
      <c r="F570" s="619"/>
      <c r="G570" s="620"/>
      <c r="H570" s="620"/>
      <c r="I570" s="620"/>
      <c r="J570" s="620">
        <v>65</v>
      </c>
      <c r="K570" s="620">
        <v>88</v>
      </c>
      <c r="L570" s="620">
        <v>305</v>
      </c>
      <c r="M570" s="625"/>
    </row>
    <row r="571" spans="1:13" ht="15.75">
      <c r="A571" s="600"/>
      <c r="B571" s="616" t="s">
        <v>850</v>
      </c>
      <c r="C571" s="627" t="s">
        <v>373</v>
      </c>
      <c r="D571" s="627"/>
      <c r="E571" s="640"/>
      <c r="F571" s="619"/>
      <c r="G571" s="620"/>
      <c r="H571" s="620"/>
      <c r="I571" s="620"/>
      <c r="J571" s="620">
        <v>50</v>
      </c>
      <c r="K571" s="620">
        <v>150</v>
      </c>
      <c r="L571" s="620">
        <v>125</v>
      </c>
      <c r="M571" s="625"/>
    </row>
    <row r="572" spans="1:13" ht="15.75">
      <c r="A572" s="600"/>
      <c r="B572" s="616" t="s">
        <v>851</v>
      </c>
      <c r="C572" s="627" t="s">
        <v>16</v>
      </c>
      <c r="D572" s="627"/>
      <c r="E572" s="667"/>
      <c r="F572" s="619"/>
      <c r="G572" s="620"/>
      <c r="H572" s="620"/>
      <c r="I572" s="620"/>
      <c r="J572" s="620">
        <v>35</v>
      </c>
      <c r="K572" s="620">
        <v>46</v>
      </c>
      <c r="L572" s="620">
        <v>30</v>
      </c>
      <c r="M572" s="625"/>
    </row>
    <row r="573" spans="1:13" ht="15.75">
      <c r="A573" s="600"/>
      <c r="B573" s="616" t="s">
        <v>852</v>
      </c>
      <c r="C573" s="627" t="s">
        <v>21</v>
      </c>
      <c r="D573" s="627"/>
      <c r="E573" s="640"/>
      <c r="F573" s="619"/>
      <c r="G573" s="620"/>
      <c r="H573" s="620">
        <v>27</v>
      </c>
      <c r="I573" s="620">
        <v>30.5</v>
      </c>
      <c r="J573" s="620">
        <v>37</v>
      </c>
      <c r="K573" s="620">
        <v>55</v>
      </c>
      <c r="L573" s="620">
        <v>35</v>
      </c>
      <c r="M573" s="625"/>
    </row>
    <row r="574" spans="1:13" ht="15.75">
      <c r="A574" s="600"/>
      <c r="B574" s="616" t="s">
        <v>853</v>
      </c>
      <c r="C574" s="627" t="s">
        <v>16</v>
      </c>
      <c r="D574" s="627"/>
      <c r="E574" s="640"/>
      <c r="F574" s="619"/>
      <c r="G574" s="620"/>
      <c r="H574" s="620"/>
      <c r="I574" s="620"/>
      <c r="J574" s="620">
        <v>65</v>
      </c>
      <c r="K574" s="620">
        <v>85</v>
      </c>
      <c r="L574" s="620">
        <v>62</v>
      </c>
      <c r="M574" s="625"/>
    </row>
    <row r="575" spans="1:13" ht="15.75">
      <c r="A575" s="600"/>
      <c r="B575" s="616" t="s">
        <v>854</v>
      </c>
      <c r="C575" s="627" t="s">
        <v>469</v>
      </c>
      <c r="D575" s="627"/>
      <c r="E575" s="640"/>
      <c r="F575" s="619"/>
      <c r="G575" s="620"/>
      <c r="H575" s="620"/>
      <c r="I575" s="620"/>
      <c r="J575" s="620">
        <v>3750</v>
      </c>
      <c r="K575" s="620">
        <v>3320</v>
      </c>
      <c r="L575" s="620">
        <v>3780</v>
      </c>
      <c r="M575" s="625"/>
    </row>
    <row r="576" spans="1:13" ht="15.75">
      <c r="A576" s="600"/>
      <c r="B576" s="616" t="s">
        <v>855</v>
      </c>
      <c r="C576" s="627" t="s">
        <v>469</v>
      </c>
      <c r="D576" s="627"/>
      <c r="E576" s="640"/>
      <c r="F576" s="619"/>
      <c r="G576" s="620"/>
      <c r="H576" s="620"/>
      <c r="I576" s="620"/>
      <c r="J576" s="620">
        <v>2450</v>
      </c>
      <c r="K576" s="620"/>
      <c r="L576" s="620">
        <v>3168</v>
      </c>
      <c r="M576" s="625"/>
    </row>
    <row r="577" spans="1:13" ht="15.75">
      <c r="A577" s="600"/>
      <c r="B577" s="616" t="s">
        <v>856</v>
      </c>
      <c r="C577" s="627" t="s">
        <v>404</v>
      </c>
      <c r="D577" s="627"/>
      <c r="E577" s="640"/>
      <c r="F577" s="619"/>
      <c r="G577" s="620"/>
      <c r="H577" s="620"/>
      <c r="I577" s="620"/>
      <c r="J577" s="620">
        <v>280</v>
      </c>
      <c r="K577" s="620">
        <v>575</v>
      </c>
      <c r="L577" s="620">
        <v>235</v>
      </c>
      <c r="M577" s="625"/>
    </row>
    <row r="578" spans="1:13" ht="15.75">
      <c r="A578" s="600"/>
      <c r="B578" s="616" t="s">
        <v>857</v>
      </c>
      <c r="C578" s="627" t="s">
        <v>858</v>
      </c>
      <c r="D578" s="627"/>
      <c r="E578" s="640"/>
      <c r="F578" s="619"/>
      <c r="G578" s="620"/>
      <c r="H578" s="620"/>
      <c r="I578" s="620">
        <v>124.25</v>
      </c>
      <c r="J578" s="620">
        <v>190</v>
      </c>
      <c r="K578" s="620"/>
      <c r="L578" s="620"/>
      <c r="M578" s="625"/>
    </row>
    <row r="579" spans="1:13" ht="15.75">
      <c r="A579" s="600"/>
      <c r="B579" s="616" t="s">
        <v>859</v>
      </c>
      <c r="C579" s="627" t="s">
        <v>809</v>
      </c>
      <c r="D579" s="627"/>
      <c r="E579" s="640"/>
      <c r="F579" s="619"/>
      <c r="G579" s="620"/>
      <c r="H579" s="620"/>
      <c r="I579" s="620">
        <v>25.75</v>
      </c>
      <c r="J579" s="620">
        <v>40</v>
      </c>
      <c r="K579" s="620"/>
      <c r="L579" s="620">
        <v>45</v>
      </c>
      <c r="M579" s="625"/>
    </row>
    <row r="580" spans="1:13" ht="15.75">
      <c r="A580" s="600"/>
      <c r="B580" s="616" t="s">
        <v>860</v>
      </c>
      <c r="C580" s="627" t="s">
        <v>373</v>
      </c>
      <c r="D580" s="627"/>
      <c r="E580" s="640"/>
      <c r="F580" s="619"/>
      <c r="G580" s="620"/>
      <c r="H580" s="620"/>
      <c r="I580" s="620">
        <v>34</v>
      </c>
      <c r="J580" s="620"/>
      <c r="K580" s="620"/>
      <c r="L580" s="620"/>
      <c r="M580" s="625"/>
    </row>
    <row r="581" spans="1:13" ht="15.75">
      <c r="A581" s="600"/>
      <c r="B581" s="616" t="s">
        <v>861</v>
      </c>
      <c r="C581" s="627" t="s">
        <v>16</v>
      </c>
      <c r="D581" s="627"/>
      <c r="E581" s="640"/>
      <c r="F581" s="619"/>
      <c r="G581" s="620"/>
      <c r="H581" s="620"/>
      <c r="I581" s="620"/>
      <c r="J581" s="620">
        <v>75</v>
      </c>
      <c r="K581" s="620">
        <v>40</v>
      </c>
      <c r="L581" s="620"/>
      <c r="M581" s="625"/>
    </row>
    <row r="582" spans="1:13" ht="15.75">
      <c r="A582" s="600"/>
      <c r="B582" s="616" t="s">
        <v>862</v>
      </c>
      <c r="C582" s="627" t="s">
        <v>16</v>
      </c>
      <c r="D582" s="627"/>
      <c r="E582" s="640"/>
      <c r="F582" s="619"/>
      <c r="G582" s="620"/>
      <c r="H582" s="620"/>
      <c r="I582" s="620"/>
      <c r="J582" s="620">
        <v>65</v>
      </c>
      <c r="K582" s="620">
        <v>78</v>
      </c>
      <c r="L582" s="620">
        <v>75</v>
      </c>
      <c r="M582" s="625"/>
    </row>
    <row r="583" spans="1:13" ht="15.75">
      <c r="A583" s="600"/>
      <c r="B583" s="616" t="s">
        <v>863</v>
      </c>
      <c r="C583" s="627" t="s">
        <v>378</v>
      </c>
      <c r="D583" s="627"/>
      <c r="E583" s="640"/>
      <c r="F583" s="619"/>
      <c r="G583" s="620"/>
      <c r="H583" s="620"/>
      <c r="I583" s="620"/>
      <c r="J583" s="620">
        <v>800</v>
      </c>
      <c r="K583" s="620">
        <v>995</v>
      </c>
      <c r="L583" s="620">
        <v>750</v>
      </c>
      <c r="M583" s="625"/>
    </row>
    <row r="584" spans="1:13" ht="15.75">
      <c r="A584" s="600"/>
      <c r="B584" s="616" t="s">
        <v>863</v>
      </c>
      <c r="C584" s="627" t="s">
        <v>16</v>
      </c>
      <c r="D584" s="627"/>
      <c r="E584" s="640"/>
      <c r="F584" s="619"/>
      <c r="G584" s="620"/>
      <c r="H584" s="620"/>
      <c r="I584" s="620"/>
      <c r="J584" s="620">
        <v>9</v>
      </c>
      <c r="K584" s="620">
        <v>19</v>
      </c>
      <c r="L584" s="620">
        <v>10</v>
      </c>
      <c r="M584" s="625"/>
    </row>
    <row r="585" spans="1:13" ht="15.75">
      <c r="A585" s="600"/>
      <c r="B585" s="616" t="s">
        <v>864</v>
      </c>
      <c r="C585" s="627" t="s">
        <v>16</v>
      </c>
      <c r="D585" s="627"/>
      <c r="E585" s="640"/>
      <c r="F585" s="619"/>
      <c r="G585" s="620"/>
      <c r="H585" s="620"/>
      <c r="I585" s="620"/>
      <c r="J585" s="620">
        <v>20</v>
      </c>
      <c r="K585" s="620">
        <v>25</v>
      </c>
      <c r="L585" s="620">
        <v>12</v>
      </c>
      <c r="M585" s="625"/>
    </row>
    <row r="586" spans="1:13" ht="15.75">
      <c r="A586" s="600"/>
      <c r="B586" s="616" t="s">
        <v>865</v>
      </c>
      <c r="C586" s="627" t="s">
        <v>404</v>
      </c>
      <c r="D586" s="627"/>
      <c r="E586" s="640"/>
      <c r="F586" s="619"/>
      <c r="G586" s="620"/>
      <c r="H586" s="620"/>
      <c r="I586" s="620"/>
      <c r="J586" s="620"/>
      <c r="K586" s="620">
        <v>355</v>
      </c>
      <c r="L586" s="620"/>
      <c r="M586" s="625"/>
    </row>
    <row r="587" spans="1:13" ht="15.75">
      <c r="A587" s="600"/>
      <c r="B587" s="616" t="s">
        <v>866</v>
      </c>
      <c r="C587" s="627" t="s">
        <v>398</v>
      </c>
      <c r="D587" s="627"/>
      <c r="E587" s="640"/>
      <c r="F587" s="619"/>
      <c r="G587" s="620"/>
      <c r="H587" s="620"/>
      <c r="I587" s="620"/>
      <c r="J587" s="620">
        <v>280</v>
      </c>
      <c r="K587" s="620">
        <v>325</v>
      </c>
      <c r="L587" s="620">
        <v>410</v>
      </c>
      <c r="M587" s="625"/>
    </row>
    <row r="588" spans="1:13" ht="15.75">
      <c r="A588" s="600"/>
      <c r="B588" s="616" t="s">
        <v>867</v>
      </c>
      <c r="C588" s="627" t="s">
        <v>404</v>
      </c>
      <c r="D588" s="627"/>
      <c r="E588" s="640"/>
      <c r="F588" s="619"/>
      <c r="G588" s="620"/>
      <c r="H588" s="620">
        <v>234.95</v>
      </c>
      <c r="I588" s="620">
        <v>254.5</v>
      </c>
      <c r="J588" s="620">
        <v>40</v>
      </c>
      <c r="K588" s="620"/>
      <c r="L588" s="620"/>
      <c r="M588" s="625"/>
    </row>
    <row r="589" spans="1:13" ht="15.75">
      <c r="A589" s="600"/>
      <c r="B589" s="616" t="s">
        <v>868</v>
      </c>
      <c r="C589" s="627" t="s">
        <v>404</v>
      </c>
      <c r="D589" s="627"/>
      <c r="E589" s="640"/>
      <c r="F589" s="619"/>
      <c r="G589" s="620"/>
      <c r="H589" s="620">
        <v>249.95</v>
      </c>
      <c r="I589" s="620">
        <v>270.5</v>
      </c>
      <c r="J589" s="620">
        <v>75</v>
      </c>
      <c r="K589" s="620"/>
      <c r="L589" s="620"/>
      <c r="M589" s="625"/>
    </row>
    <row r="590" spans="1:13" ht="15.75">
      <c r="A590" s="600"/>
      <c r="B590" s="616" t="s">
        <v>869</v>
      </c>
      <c r="C590" s="627" t="s">
        <v>404</v>
      </c>
      <c r="D590" s="627"/>
      <c r="E590" s="640"/>
      <c r="F590" s="619"/>
      <c r="G590" s="620"/>
      <c r="H590" s="620"/>
      <c r="I590" s="620">
        <v>1023</v>
      </c>
      <c r="J590" s="620"/>
      <c r="K590" s="620"/>
      <c r="L590" s="620"/>
      <c r="M590" s="625"/>
    </row>
    <row r="591" spans="1:13" ht="15.75">
      <c r="A591" s="600"/>
      <c r="B591" s="616" t="s">
        <v>870</v>
      </c>
      <c r="C591" s="627" t="s">
        <v>404</v>
      </c>
      <c r="D591" s="627"/>
      <c r="E591" s="640"/>
      <c r="F591" s="619"/>
      <c r="G591" s="620"/>
      <c r="H591" s="620"/>
      <c r="I591" s="620">
        <v>975.25</v>
      </c>
      <c r="J591" s="620"/>
      <c r="K591" s="620"/>
      <c r="L591" s="620"/>
      <c r="M591" s="625"/>
    </row>
    <row r="592" spans="1:13" ht="15.75">
      <c r="A592" s="600"/>
      <c r="B592" s="616" t="s">
        <v>871</v>
      </c>
      <c r="C592" s="627" t="s">
        <v>21</v>
      </c>
      <c r="D592" s="627"/>
      <c r="E592" s="640"/>
      <c r="F592" s="619"/>
      <c r="G592" s="620"/>
      <c r="H592" s="620"/>
      <c r="I592" s="620"/>
      <c r="J592" s="620"/>
      <c r="K592" s="620">
        <v>46</v>
      </c>
      <c r="L592" s="620">
        <v>40</v>
      </c>
      <c r="M592" s="625"/>
    </row>
    <row r="593" spans="1:13" ht="15.75">
      <c r="A593" s="600"/>
      <c r="B593" s="616" t="s">
        <v>872</v>
      </c>
      <c r="C593" s="627" t="s">
        <v>21</v>
      </c>
      <c r="D593" s="627"/>
      <c r="E593" s="640"/>
      <c r="F593" s="619"/>
      <c r="G593" s="620"/>
      <c r="H593" s="620"/>
      <c r="I593" s="620"/>
      <c r="J593" s="620"/>
      <c r="K593" s="620">
        <v>65</v>
      </c>
      <c r="L593" s="620">
        <v>70</v>
      </c>
      <c r="M593" s="625"/>
    </row>
    <row r="594" spans="1:13" ht="15.75">
      <c r="A594" s="600"/>
      <c r="B594" s="616" t="s">
        <v>873</v>
      </c>
      <c r="C594" s="627" t="s">
        <v>21</v>
      </c>
      <c r="D594" s="627"/>
      <c r="E594" s="640"/>
      <c r="F594" s="619"/>
      <c r="G594" s="620"/>
      <c r="H594" s="620"/>
      <c r="I594" s="620"/>
      <c r="J594" s="620"/>
      <c r="K594" s="620"/>
      <c r="L594" s="620">
        <v>25</v>
      </c>
      <c r="M594" s="625"/>
    </row>
    <row r="595" spans="1:13" ht="15.75">
      <c r="A595" s="600"/>
      <c r="B595" s="616" t="s">
        <v>874</v>
      </c>
      <c r="C595" s="627" t="s">
        <v>21</v>
      </c>
      <c r="D595" s="627"/>
      <c r="E595" s="640"/>
      <c r="F595" s="619"/>
      <c r="G595" s="620"/>
      <c r="H595" s="620"/>
      <c r="I595" s="620"/>
      <c r="J595" s="620"/>
      <c r="K595" s="620"/>
      <c r="L595" s="620">
        <v>30</v>
      </c>
      <c r="M595" s="625"/>
    </row>
    <row r="596" spans="1:13" ht="15.75">
      <c r="A596" s="600"/>
      <c r="B596" s="616" t="s">
        <v>875</v>
      </c>
      <c r="C596" s="627" t="s">
        <v>21</v>
      </c>
      <c r="D596" s="627"/>
      <c r="E596" s="640"/>
      <c r="F596" s="619"/>
      <c r="G596" s="620"/>
      <c r="H596" s="620"/>
      <c r="I596" s="620"/>
      <c r="J596" s="620"/>
      <c r="K596" s="620"/>
      <c r="L596" s="620">
        <v>105</v>
      </c>
      <c r="M596" s="625"/>
    </row>
    <row r="597" spans="1:13" ht="15.75">
      <c r="A597" s="600"/>
      <c r="B597" s="616" t="s">
        <v>876</v>
      </c>
      <c r="C597" s="627" t="s">
        <v>21</v>
      </c>
      <c r="D597" s="627"/>
      <c r="E597" s="640"/>
      <c r="F597" s="619"/>
      <c r="G597" s="620"/>
      <c r="H597" s="620"/>
      <c r="I597" s="620"/>
      <c r="J597" s="620">
        <v>37</v>
      </c>
      <c r="K597" s="620"/>
      <c r="L597" s="620">
        <v>45</v>
      </c>
      <c r="M597" s="625"/>
    </row>
    <row r="598" spans="1:13" ht="15.75">
      <c r="A598" s="600"/>
      <c r="B598" s="616" t="s">
        <v>877</v>
      </c>
      <c r="C598" s="627" t="s">
        <v>373</v>
      </c>
      <c r="D598" s="627"/>
      <c r="E598" s="640"/>
      <c r="F598" s="619"/>
      <c r="G598" s="620"/>
      <c r="H598" s="620"/>
      <c r="I598" s="620"/>
      <c r="J598" s="620">
        <v>28</v>
      </c>
      <c r="K598" s="620">
        <v>42</v>
      </c>
      <c r="L598" s="620">
        <v>45</v>
      </c>
      <c r="M598" s="625"/>
    </row>
    <row r="599" spans="1:13" ht="15.75">
      <c r="A599" s="600"/>
      <c r="B599" s="616" t="s">
        <v>878</v>
      </c>
      <c r="C599" s="627" t="s">
        <v>404</v>
      </c>
      <c r="D599" s="627"/>
      <c r="E599" s="640"/>
      <c r="F599" s="619"/>
      <c r="G599" s="620"/>
      <c r="H599" s="620"/>
      <c r="I599" s="620"/>
      <c r="J599" s="620"/>
      <c r="K599" s="620"/>
      <c r="L599" s="620">
        <v>265</v>
      </c>
      <c r="M599" s="625"/>
    </row>
    <row r="600" spans="1:13" ht="15.75">
      <c r="A600" s="600"/>
      <c r="B600" s="616" t="s">
        <v>879</v>
      </c>
      <c r="C600" s="627" t="s">
        <v>404</v>
      </c>
      <c r="D600" s="627"/>
      <c r="E600" s="640"/>
      <c r="F600" s="619"/>
      <c r="G600" s="620"/>
      <c r="H600" s="620"/>
      <c r="I600" s="620"/>
      <c r="J600" s="620">
        <v>40</v>
      </c>
      <c r="K600" s="620"/>
      <c r="L600" s="620"/>
      <c r="M600" s="625"/>
    </row>
    <row r="601" spans="1:13" ht="15.75">
      <c r="A601" s="600"/>
      <c r="B601" s="616" t="s">
        <v>880</v>
      </c>
      <c r="C601" s="627" t="s">
        <v>21</v>
      </c>
      <c r="D601" s="627"/>
      <c r="E601" s="640"/>
      <c r="F601" s="619"/>
      <c r="G601" s="620"/>
      <c r="H601" s="620"/>
      <c r="I601" s="620"/>
      <c r="J601" s="620">
        <v>135</v>
      </c>
      <c r="K601" s="620">
        <v>140</v>
      </c>
      <c r="L601" s="620">
        <v>155</v>
      </c>
      <c r="M601" s="625"/>
    </row>
    <row r="602" spans="1:13" ht="15.75">
      <c r="A602" s="600"/>
      <c r="B602" s="616" t="s">
        <v>881</v>
      </c>
      <c r="C602" s="627" t="s">
        <v>373</v>
      </c>
      <c r="D602" s="627"/>
      <c r="E602" s="640"/>
      <c r="F602" s="619"/>
      <c r="G602" s="620"/>
      <c r="H602" s="620"/>
      <c r="I602" s="620"/>
      <c r="J602" s="620">
        <v>50</v>
      </c>
      <c r="K602" s="620">
        <v>86</v>
      </c>
      <c r="L602" s="620"/>
      <c r="M602" s="625"/>
    </row>
    <row r="603" spans="1:13" ht="15.75">
      <c r="A603" s="600"/>
      <c r="B603" s="626" t="s">
        <v>882</v>
      </c>
      <c r="C603" s="617" t="s">
        <v>404</v>
      </c>
      <c r="D603" s="617"/>
      <c r="E603" s="628"/>
      <c r="F603" s="619"/>
      <c r="G603" s="620"/>
      <c r="H603" s="620"/>
      <c r="I603" s="620"/>
      <c r="J603" s="620">
        <v>40</v>
      </c>
      <c r="K603" s="620">
        <v>65</v>
      </c>
      <c r="L603" s="620">
        <v>30</v>
      </c>
      <c r="M603" s="625"/>
    </row>
    <row r="604" spans="1:13" ht="15.75">
      <c r="A604" s="600"/>
      <c r="B604" s="616" t="s">
        <v>883</v>
      </c>
      <c r="C604" s="627" t="s">
        <v>884</v>
      </c>
      <c r="D604" s="627"/>
      <c r="E604" s="640"/>
      <c r="F604" s="619"/>
      <c r="G604" s="620"/>
      <c r="H604" s="620"/>
      <c r="I604" s="620"/>
      <c r="J604" s="620">
        <v>465</v>
      </c>
      <c r="K604" s="620">
        <v>680</v>
      </c>
      <c r="L604" s="620"/>
      <c r="M604" s="625"/>
    </row>
    <row r="605" spans="1:13" ht="15.75">
      <c r="A605" s="600"/>
      <c r="B605" s="616" t="s">
        <v>885</v>
      </c>
      <c r="C605" s="627" t="s">
        <v>884</v>
      </c>
      <c r="D605" s="627"/>
      <c r="E605" s="640"/>
      <c r="F605" s="619"/>
      <c r="G605" s="620"/>
      <c r="H605" s="620"/>
      <c r="I605" s="620"/>
      <c r="J605" s="620">
        <v>660</v>
      </c>
      <c r="K605" s="620">
        <v>750</v>
      </c>
      <c r="L605" s="620"/>
      <c r="M605" s="625"/>
    </row>
    <row r="606" spans="1:13" ht="15.75">
      <c r="A606" s="600"/>
      <c r="B606" s="616" t="s">
        <v>886</v>
      </c>
      <c r="C606" s="627" t="s">
        <v>884</v>
      </c>
      <c r="D606" s="627"/>
      <c r="E606" s="640"/>
      <c r="F606" s="619"/>
      <c r="G606" s="620"/>
      <c r="H606" s="620">
        <v>800</v>
      </c>
      <c r="I606" s="620">
        <v>657</v>
      </c>
      <c r="J606" s="620">
        <v>820</v>
      </c>
      <c r="K606" s="620">
        <v>830</v>
      </c>
      <c r="L606" s="620">
        <v>830</v>
      </c>
      <c r="M606" s="625"/>
    </row>
    <row r="607" spans="1:13" ht="15.75">
      <c r="A607" s="600"/>
      <c r="B607" s="616" t="s">
        <v>887</v>
      </c>
      <c r="C607" s="627" t="s">
        <v>884</v>
      </c>
      <c r="D607" s="627"/>
      <c r="E607" s="640"/>
      <c r="F607" s="619"/>
      <c r="G607" s="620"/>
      <c r="H607" s="620">
        <v>960</v>
      </c>
      <c r="I607" s="620">
        <v>831</v>
      </c>
      <c r="J607" s="620"/>
      <c r="K607" s="620"/>
      <c r="L607" s="620"/>
      <c r="M607" s="625"/>
    </row>
    <row r="608" spans="1:13" ht="15.75">
      <c r="A608" s="600"/>
      <c r="B608" s="616" t="s">
        <v>888</v>
      </c>
      <c r="C608" s="627" t="s">
        <v>884</v>
      </c>
      <c r="D608" s="627"/>
      <c r="E608" s="640"/>
      <c r="F608" s="619"/>
      <c r="G608" s="620"/>
      <c r="H608" s="620"/>
      <c r="I608" s="620">
        <v>1642.47</v>
      </c>
      <c r="J608" s="620"/>
      <c r="K608" s="620"/>
      <c r="L608" s="620"/>
      <c r="M608" s="625"/>
    </row>
    <row r="609" spans="1:13" ht="15.75">
      <c r="A609" s="600"/>
      <c r="B609" s="616" t="s">
        <v>889</v>
      </c>
      <c r="C609" s="627"/>
      <c r="D609" s="627"/>
      <c r="E609" s="640"/>
      <c r="F609" s="619"/>
      <c r="G609" s="620"/>
      <c r="H609" s="620"/>
      <c r="I609" s="620">
        <v>657</v>
      </c>
      <c r="J609" s="620"/>
      <c r="K609" s="620"/>
      <c r="L609" s="620"/>
      <c r="M609" s="625"/>
    </row>
    <row r="610" spans="1:13" ht="15.75">
      <c r="A610" s="600"/>
      <c r="B610" s="616" t="s">
        <v>890</v>
      </c>
      <c r="C610" s="627"/>
      <c r="D610" s="627"/>
      <c r="E610" s="640"/>
      <c r="F610" s="619"/>
      <c r="G610" s="620"/>
      <c r="H610" s="620"/>
      <c r="I610" s="620">
        <v>831</v>
      </c>
      <c r="J610" s="620"/>
      <c r="K610" s="620"/>
      <c r="L610" s="620"/>
      <c r="M610" s="625"/>
    </row>
    <row r="611" spans="1:13" ht="15.75">
      <c r="A611" s="600"/>
      <c r="B611" s="616" t="s">
        <v>891</v>
      </c>
      <c r="C611" s="627"/>
      <c r="D611" s="627"/>
      <c r="E611" s="640"/>
      <c r="F611" s="619"/>
      <c r="G611" s="620"/>
      <c r="H611" s="620"/>
      <c r="I611" s="620">
        <v>5863.75</v>
      </c>
      <c r="J611" s="620"/>
      <c r="K611" s="620"/>
      <c r="L611" s="620"/>
      <c r="M611" s="625"/>
    </row>
    <row r="612" spans="1:13" ht="15.75">
      <c r="A612" s="600"/>
      <c r="B612" s="626" t="s">
        <v>892</v>
      </c>
      <c r="C612" s="617" t="s">
        <v>16</v>
      </c>
      <c r="D612" s="617"/>
      <c r="E612" s="628"/>
      <c r="F612" s="619"/>
      <c r="G612" s="620"/>
      <c r="H612" s="620"/>
      <c r="I612" s="620"/>
      <c r="J612" s="620">
        <v>75</v>
      </c>
      <c r="K612" s="620">
        <v>60</v>
      </c>
      <c r="L612" s="620">
        <v>60</v>
      </c>
      <c r="M612" s="625"/>
    </row>
    <row r="613" spans="1:13" ht="15.75">
      <c r="A613" s="600"/>
      <c r="B613" s="626" t="s">
        <v>893</v>
      </c>
      <c r="C613" s="617" t="s">
        <v>16</v>
      </c>
      <c r="D613" s="617"/>
      <c r="E613" s="628"/>
      <c r="F613" s="619"/>
      <c r="G613" s="620"/>
      <c r="H613" s="620"/>
      <c r="I613" s="620"/>
      <c r="J613" s="620">
        <v>45</v>
      </c>
      <c r="K613" s="620">
        <v>45</v>
      </c>
      <c r="L613" s="620">
        <v>45</v>
      </c>
      <c r="M613" s="625"/>
    </row>
    <row r="614" spans="1:13" ht="15.75">
      <c r="A614" s="600"/>
      <c r="B614" s="626" t="s">
        <v>893</v>
      </c>
      <c r="C614" s="617" t="s">
        <v>591</v>
      </c>
      <c r="D614" s="617"/>
      <c r="E614" s="628"/>
      <c r="F614" s="619"/>
      <c r="G614" s="620"/>
      <c r="H614" s="620"/>
      <c r="I614" s="620"/>
      <c r="J614" s="620">
        <v>2870</v>
      </c>
      <c r="K614" s="620">
        <v>3500</v>
      </c>
      <c r="L614" s="620">
        <v>3432</v>
      </c>
      <c r="M614" s="625"/>
    </row>
    <row r="615" spans="1:13" ht="15.75">
      <c r="A615" s="600"/>
      <c r="B615" s="626" t="s">
        <v>894</v>
      </c>
      <c r="C615" s="617" t="s">
        <v>373</v>
      </c>
      <c r="D615" s="617"/>
      <c r="E615" s="628"/>
      <c r="F615" s="619"/>
      <c r="G615" s="620"/>
      <c r="H615" s="620"/>
      <c r="I615" s="620"/>
      <c r="J615" s="620">
        <v>40</v>
      </c>
      <c r="K615" s="620"/>
      <c r="L615" s="620">
        <v>72</v>
      </c>
      <c r="M615" s="625"/>
    </row>
    <row r="616" spans="1:13" ht="15.75">
      <c r="A616" s="600"/>
      <c r="B616" s="626" t="s">
        <v>895</v>
      </c>
      <c r="C616" s="617" t="s">
        <v>373</v>
      </c>
      <c r="D616" s="617"/>
      <c r="E616" s="628"/>
      <c r="F616" s="619"/>
      <c r="G616" s="620"/>
      <c r="H616" s="620"/>
      <c r="I616" s="620"/>
      <c r="J616" s="620">
        <v>40</v>
      </c>
      <c r="K616" s="620"/>
      <c r="L616" s="620"/>
      <c r="M616" s="625"/>
    </row>
    <row r="617" spans="1:13" ht="15.75">
      <c r="A617" s="600"/>
      <c r="B617" s="626" t="s">
        <v>896</v>
      </c>
      <c r="C617" s="617" t="s">
        <v>21</v>
      </c>
      <c r="D617" s="617"/>
      <c r="E617" s="628"/>
      <c r="F617" s="619"/>
      <c r="G617" s="620"/>
      <c r="H617" s="620"/>
      <c r="I617" s="620"/>
      <c r="J617" s="620">
        <v>40</v>
      </c>
      <c r="K617" s="620"/>
      <c r="L617" s="620"/>
      <c r="M617" s="625"/>
    </row>
    <row r="618" spans="1:13" ht="15.75">
      <c r="A618" s="600"/>
      <c r="B618" s="616" t="s">
        <v>897</v>
      </c>
      <c r="C618" s="627" t="s">
        <v>373</v>
      </c>
      <c r="D618" s="627"/>
      <c r="E618" s="640"/>
      <c r="F618" s="619"/>
      <c r="G618" s="620"/>
      <c r="H618" s="620"/>
      <c r="I618" s="620"/>
      <c r="J618" s="620"/>
      <c r="K618" s="620"/>
      <c r="L618" s="620">
        <v>60</v>
      </c>
      <c r="M618" s="625"/>
    </row>
    <row r="619" spans="1:13" ht="15.75">
      <c r="A619" s="600"/>
      <c r="B619" s="616" t="s">
        <v>898</v>
      </c>
      <c r="C619" s="627" t="s">
        <v>373</v>
      </c>
      <c r="D619" s="627"/>
      <c r="E619" s="640"/>
      <c r="F619" s="619"/>
      <c r="G619" s="620">
        <v>2</v>
      </c>
      <c r="H619" s="620"/>
      <c r="I619" s="620"/>
      <c r="J619" s="620">
        <v>2.9</v>
      </c>
      <c r="K619" s="620">
        <v>6.5</v>
      </c>
      <c r="L619" s="620">
        <v>4</v>
      </c>
      <c r="M619" s="625"/>
    </row>
    <row r="620" spans="1:13" ht="15.75">
      <c r="A620" s="600"/>
      <c r="B620" s="616" t="s">
        <v>495</v>
      </c>
      <c r="C620" s="627" t="s">
        <v>899</v>
      </c>
      <c r="D620" s="627"/>
      <c r="E620" s="640"/>
      <c r="F620" s="619"/>
      <c r="G620" s="620"/>
      <c r="H620" s="620"/>
      <c r="I620" s="620"/>
      <c r="J620" s="620">
        <v>240</v>
      </c>
      <c r="K620" s="620"/>
      <c r="L620" s="620"/>
      <c r="M620" s="625"/>
    </row>
    <row r="621" spans="1:13" ht="15.75">
      <c r="A621" s="600"/>
      <c r="B621" s="616" t="s">
        <v>496</v>
      </c>
      <c r="C621" s="627" t="s">
        <v>21</v>
      </c>
      <c r="D621" s="627"/>
      <c r="E621" s="640"/>
      <c r="F621" s="619"/>
      <c r="G621" s="620">
        <v>3</v>
      </c>
      <c r="H621" s="620"/>
      <c r="I621" s="620"/>
      <c r="J621" s="620"/>
      <c r="K621" s="620">
        <v>330</v>
      </c>
      <c r="L621" s="620"/>
      <c r="M621" s="625"/>
    </row>
    <row r="622" spans="1:13" ht="15.75">
      <c r="A622" s="600"/>
      <c r="B622" s="616" t="s">
        <v>498</v>
      </c>
      <c r="C622" s="627" t="s">
        <v>21</v>
      </c>
      <c r="D622" s="627"/>
      <c r="E622" s="640"/>
      <c r="F622" s="619"/>
      <c r="G622" s="620">
        <v>4</v>
      </c>
      <c r="H622" s="620"/>
      <c r="I622" s="620"/>
      <c r="J622" s="620"/>
      <c r="K622" s="620">
        <v>5</v>
      </c>
      <c r="L622" s="620"/>
      <c r="M622" s="625"/>
    </row>
    <row r="623" spans="1:13" ht="15.75">
      <c r="A623" s="600"/>
      <c r="B623" s="616" t="s">
        <v>900</v>
      </c>
      <c r="C623" s="627" t="s">
        <v>350</v>
      </c>
      <c r="D623" s="627"/>
      <c r="E623" s="640"/>
      <c r="F623" s="619"/>
      <c r="G623" s="620"/>
      <c r="H623" s="620"/>
      <c r="I623" s="620"/>
      <c r="J623" s="620">
        <v>75</v>
      </c>
      <c r="K623" s="620"/>
      <c r="L623" s="620">
        <v>85</v>
      </c>
      <c r="M623" s="625"/>
    </row>
    <row r="624" spans="1:13" ht="15.75">
      <c r="A624" s="600"/>
      <c r="B624" s="659" t="s">
        <v>901</v>
      </c>
      <c r="C624" s="627" t="s">
        <v>16</v>
      </c>
      <c r="D624" s="627"/>
      <c r="E624" s="640"/>
      <c r="F624" s="619"/>
      <c r="G624" s="620"/>
      <c r="H624" s="620"/>
      <c r="I624" s="620"/>
      <c r="J624" s="620">
        <v>9</v>
      </c>
      <c r="K624" s="620">
        <v>85</v>
      </c>
      <c r="L624" s="620"/>
      <c r="M624" s="625"/>
    </row>
    <row r="625" spans="1:13" ht="15.75">
      <c r="A625" s="600"/>
      <c r="B625" s="616" t="s">
        <v>902</v>
      </c>
      <c r="C625" s="627" t="s">
        <v>21</v>
      </c>
      <c r="D625" s="627"/>
      <c r="E625" s="640"/>
      <c r="F625" s="619"/>
      <c r="G625" s="620"/>
      <c r="H625" s="620">
        <v>23</v>
      </c>
      <c r="I625" s="620">
        <v>24.5</v>
      </c>
      <c r="J625" s="620">
        <v>40</v>
      </c>
      <c r="K625" s="620"/>
      <c r="L625" s="620"/>
      <c r="M625" s="625"/>
    </row>
    <row r="626" spans="1:13" ht="15.75">
      <c r="A626" s="600"/>
      <c r="B626" s="616" t="s">
        <v>903</v>
      </c>
      <c r="C626" s="627" t="s">
        <v>21</v>
      </c>
      <c r="D626" s="627"/>
      <c r="E626" s="640"/>
      <c r="F626" s="619"/>
      <c r="G626" s="620"/>
      <c r="H626" s="620"/>
      <c r="I626" s="620"/>
      <c r="J626" s="620">
        <v>40</v>
      </c>
      <c r="K626" s="620">
        <v>55</v>
      </c>
      <c r="L626" s="620"/>
      <c r="M626" s="625"/>
    </row>
    <row r="627" spans="1:13" ht="15.75">
      <c r="A627" s="600"/>
      <c r="B627" s="616" t="s">
        <v>904</v>
      </c>
      <c r="C627" s="627" t="s">
        <v>350</v>
      </c>
      <c r="D627" s="627"/>
      <c r="E627" s="640"/>
      <c r="F627" s="619"/>
      <c r="G627" s="620"/>
      <c r="H627" s="620"/>
      <c r="I627" s="620"/>
      <c r="J627" s="620">
        <v>70</v>
      </c>
      <c r="K627" s="620">
        <v>78</v>
      </c>
      <c r="L627" s="620"/>
      <c r="M627" s="625"/>
    </row>
    <row r="628" spans="1:13" ht="15.75">
      <c r="A628" s="600"/>
      <c r="B628" s="616" t="s">
        <v>905</v>
      </c>
      <c r="C628" s="627" t="s">
        <v>398</v>
      </c>
      <c r="D628" s="627"/>
      <c r="E628" s="640"/>
      <c r="F628" s="619"/>
      <c r="G628" s="620"/>
      <c r="H628" s="620"/>
      <c r="I628" s="620"/>
      <c r="J628" s="620">
        <v>40</v>
      </c>
      <c r="K628" s="620">
        <v>55</v>
      </c>
      <c r="L628" s="620"/>
      <c r="M628" s="625"/>
    </row>
    <row r="629" spans="1:13" ht="15.75">
      <c r="A629" s="600"/>
      <c r="B629" s="616" t="s">
        <v>906</v>
      </c>
      <c r="C629" s="627" t="s">
        <v>404</v>
      </c>
      <c r="D629" s="627"/>
      <c r="E629" s="640"/>
      <c r="F629" s="619"/>
      <c r="G629" s="620"/>
      <c r="H629" s="620"/>
      <c r="I629" s="620"/>
      <c r="J629" s="620">
        <v>325</v>
      </c>
      <c r="K629" s="620"/>
      <c r="L629" s="620"/>
      <c r="M629" s="625"/>
    </row>
    <row r="630" spans="1:13" ht="15.75">
      <c r="A630" s="600"/>
      <c r="B630" s="616" t="s">
        <v>907</v>
      </c>
      <c r="C630" s="627" t="s">
        <v>21</v>
      </c>
      <c r="D630" s="627"/>
      <c r="E630" s="640"/>
      <c r="F630" s="619"/>
      <c r="G630" s="620"/>
      <c r="H630" s="620"/>
      <c r="I630" s="620"/>
      <c r="J630" s="620">
        <v>30</v>
      </c>
      <c r="K630" s="620">
        <v>36</v>
      </c>
      <c r="L630" s="620"/>
      <c r="M630" s="625"/>
    </row>
    <row r="631" spans="1:13" ht="15.75">
      <c r="A631" s="600"/>
      <c r="B631" s="616" t="s">
        <v>908</v>
      </c>
      <c r="C631" s="627" t="s">
        <v>404</v>
      </c>
      <c r="D631" s="627"/>
      <c r="E631" s="640"/>
      <c r="F631" s="619"/>
      <c r="G631" s="620"/>
      <c r="H631" s="620"/>
      <c r="I631" s="620"/>
      <c r="J631" s="620">
        <v>40</v>
      </c>
      <c r="K631" s="620"/>
      <c r="L631" s="620">
        <v>30</v>
      </c>
      <c r="M631" s="625"/>
    </row>
    <row r="632" spans="1:13" ht="15.75">
      <c r="A632" s="600"/>
      <c r="B632" s="616" t="s">
        <v>909</v>
      </c>
      <c r="C632" s="627" t="s">
        <v>350</v>
      </c>
      <c r="D632" s="627"/>
      <c r="E632" s="640"/>
      <c r="F632" s="619"/>
      <c r="G632" s="620"/>
      <c r="H632" s="620"/>
      <c r="I632" s="620"/>
      <c r="J632" s="620">
        <v>235</v>
      </c>
      <c r="K632" s="620"/>
      <c r="L632" s="620">
        <v>40</v>
      </c>
      <c r="M632" s="625"/>
    </row>
    <row r="633" spans="1:13" ht="15.75">
      <c r="A633" s="600"/>
      <c r="B633" s="616" t="s">
        <v>910</v>
      </c>
      <c r="C633" s="627" t="s">
        <v>373</v>
      </c>
      <c r="D633" s="627"/>
      <c r="E633" s="640"/>
      <c r="F633" s="619"/>
      <c r="G633" s="620"/>
      <c r="H633" s="620"/>
      <c r="I633" s="620">
        <v>58</v>
      </c>
      <c r="J633" s="620"/>
      <c r="K633" s="620"/>
      <c r="L633" s="620"/>
      <c r="M633" s="625"/>
    </row>
    <row r="634" spans="1:13" ht="15.75">
      <c r="A634" s="600"/>
      <c r="B634" s="616" t="s">
        <v>911</v>
      </c>
      <c r="C634" s="627" t="s">
        <v>378</v>
      </c>
      <c r="D634" s="627"/>
      <c r="E634" s="640"/>
      <c r="F634" s="619"/>
      <c r="G634" s="620"/>
      <c r="H634" s="620">
        <v>87</v>
      </c>
      <c r="I634" s="620">
        <v>113.75</v>
      </c>
      <c r="J634" s="620"/>
      <c r="K634" s="620"/>
      <c r="L634" s="620"/>
      <c r="M634" s="625"/>
    </row>
    <row r="635" spans="1:13" ht="15.75">
      <c r="A635" s="600"/>
      <c r="B635" s="616" t="s">
        <v>912</v>
      </c>
      <c r="C635" s="627" t="s">
        <v>373</v>
      </c>
      <c r="D635" s="627"/>
      <c r="E635" s="640"/>
      <c r="F635" s="619"/>
      <c r="G635" s="620"/>
      <c r="H635" s="620"/>
      <c r="I635" s="620"/>
      <c r="J635" s="620">
        <v>8990</v>
      </c>
      <c r="K635" s="620">
        <v>1400</v>
      </c>
      <c r="L635" s="620">
        <v>1378</v>
      </c>
      <c r="M635" s="625"/>
    </row>
    <row r="636" spans="1:13" ht="15.75">
      <c r="A636" s="600"/>
      <c r="B636" s="616" t="s">
        <v>913</v>
      </c>
      <c r="C636" s="627" t="s">
        <v>373</v>
      </c>
      <c r="D636" s="627"/>
      <c r="E636" s="640"/>
      <c r="F636" s="619"/>
      <c r="G636" s="620"/>
      <c r="H636" s="620"/>
      <c r="I636" s="620"/>
      <c r="J636" s="620">
        <v>398</v>
      </c>
      <c r="K636" s="620">
        <v>495</v>
      </c>
      <c r="L636" s="620">
        <v>585</v>
      </c>
      <c r="M636" s="625"/>
    </row>
    <row r="637" spans="1:13" ht="15.75">
      <c r="A637" s="600"/>
      <c r="B637" s="626" t="s">
        <v>914</v>
      </c>
      <c r="C637" s="617" t="s">
        <v>404</v>
      </c>
      <c r="D637" s="617"/>
      <c r="E637" s="628"/>
      <c r="F637" s="619"/>
      <c r="G637" s="620"/>
      <c r="H637" s="620"/>
      <c r="I637" s="620"/>
      <c r="J637" s="620">
        <v>2650</v>
      </c>
      <c r="K637" s="620">
        <v>1050</v>
      </c>
      <c r="L637" s="620"/>
      <c r="M637" s="625"/>
    </row>
    <row r="638" spans="1:13" ht="15.75">
      <c r="A638" s="600"/>
      <c r="B638" s="626" t="s">
        <v>915</v>
      </c>
      <c r="C638" s="617" t="s">
        <v>398</v>
      </c>
      <c r="D638" s="617"/>
      <c r="E638" s="628"/>
      <c r="F638" s="619"/>
      <c r="G638" s="620"/>
      <c r="H638" s="620"/>
      <c r="I638" s="620"/>
      <c r="J638" s="620">
        <v>2390</v>
      </c>
      <c r="K638" s="620">
        <v>860</v>
      </c>
      <c r="L638" s="620">
        <v>455</v>
      </c>
      <c r="M638" s="625"/>
    </row>
    <row r="639" spans="1:13" ht="15.75">
      <c r="A639" s="600"/>
      <c r="B639" s="616" t="s">
        <v>916</v>
      </c>
      <c r="C639" s="668" t="s">
        <v>21</v>
      </c>
      <c r="D639" s="668"/>
      <c r="E639" s="669"/>
      <c r="F639" s="619"/>
      <c r="G639" s="620"/>
      <c r="H639" s="620"/>
      <c r="I639" s="620"/>
      <c r="J639" s="620"/>
      <c r="K639" s="620">
        <v>32</v>
      </c>
      <c r="L639" s="620"/>
      <c r="M639" s="625"/>
    </row>
    <row r="640" spans="1:13" ht="15.75">
      <c r="A640" s="600"/>
      <c r="B640" s="616" t="s">
        <v>917</v>
      </c>
      <c r="C640" s="668" t="s">
        <v>21</v>
      </c>
      <c r="D640" s="668"/>
      <c r="E640" s="669"/>
      <c r="F640" s="619"/>
      <c r="G640" s="620"/>
      <c r="H640" s="620"/>
      <c r="I640" s="620"/>
      <c r="J640" s="620">
        <v>35</v>
      </c>
      <c r="K640" s="620">
        <v>45</v>
      </c>
      <c r="L640" s="620"/>
      <c r="M640" s="625"/>
    </row>
    <row r="641" spans="1:13" ht="15.75">
      <c r="A641" s="600"/>
      <c r="B641" s="616" t="s">
        <v>918</v>
      </c>
      <c r="C641" s="668" t="s">
        <v>16</v>
      </c>
      <c r="D641" s="668"/>
      <c r="E641" s="669"/>
      <c r="F641" s="619"/>
      <c r="G641" s="620"/>
      <c r="H641" s="620"/>
      <c r="I641" s="620"/>
      <c r="J641" s="620">
        <v>35</v>
      </c>
      <c r="K641" s="620">
        <v>48</v>
      </c>
      <c r="L641" s="620">
        <v>45</v>
      </c>
      <c r="M641" s="625"/>
    </row>
    <row r="642" spans="1:13" ht="15.75">
      <c r="A642" s="600"/>
      <c r="B642" s="616" t="s">
        <v>919</v>
      </c>
      <c r="C642" s="668" t="s">
        <v>373</v>
      </c>
      <c r="D642" s="668"/>
      <c r="E642" s="669"/>
      <c r="F642" s="619"/>
      <c r="G642" s="620"/>
      <c r="H642" s="620"/>
      <c r="I642" s="620"/>
      <c r="J642" s="620">
        <v>40</v>
      </c>
      <c r="K642" s="620">
        <v>55</v>
      </c>
      <c r="L642" s="620">
        <v>30</v>
      </c>
      <c r="M642" s="625"/>
    </row>
    <row r="643" spans="1:13" ht="15.75">
      <c r="A643" s="600"/>
      <c r="B643" s="616" t="s">
        <v>920</v>
      </c>
      <c r="C643" s="668" t="s">
        <v>404</v>
      </c>
      <c r="D643" s="668"/>
      <c r="E643" s="669"/>
      <c r="F643" s="619"/>
      <c r="G643" s="620"/>
      <c r="H643" s="620"/>
      <c r="I643" s="620"/>
      <c r="J643" s="620">
        <v>45</v>
      </c>
      <c r="K643" s="620">
        <v>60</v>
      </c>
      <c r="L643" s="620">
        <v>55</v>
      </c>
      <c r="M643" s="625"/>
    </row>
    <row r="644" spans="1:13" ht="15.75">
      <c r="A644" s="600"/>
      <c r="B644" s="616" t="s">
        <v>921</v>
      </c>
      <c r="C644" s="668" t="s">
        <v>398</v>
      </c>
      <c r="D644" s="668"/>
      <c r="E644" s="669"/>
      <c r="F644" s="619"/>
      <c r="G644" s="620"/>
      <c r="H644" s="620"/>
      <c r="I644" s="620"/>
      <c r="J644" s="620">
        <v>40</v>
      </c>
      <c r="K644" s="620"/>
      <c r="L644" s="620"/>
      <c r="M644" s="625"/>
    </row>
    <row r="645" spans="1:13" ht="15.75">
      <c r="A645" s="600"/>
      <c r="B645" s="616" t="s">
        <v>922</v>
      </c>
      <c r="C645" s="668" t="s">
        <v>21</v>
      </c>
      <c r="D645" s="668"/>
      <c r="E645" s="669"/>
      <c r="F645" s="619"/>
      <c r="G645" s="620"/>
      <c r="H645" s="620"/>
      <c r="I645" s="620"/>
      <c r="J645" s="620">
        <v>35</v>
      </c>
      <c r="K645" s="620">
        <v>55</v>
      </c>
      <c r="L645" s="620">
        <v>45</v>
      </c>
      <c r="M645" s="625"/>
    </row>
    <row r="646" spans="1:13" ht="15.75">
      <c r="A646" s="600"/>
      <c r="B646" s="616" t="s">
        <v>923</v>
      </c>
      <c r="C646" s="668" t="s">
        <v>591</v>
      </c>
      <c r="D646" s="668"/>
      <c r="E646" s="669"/>
      <c r="F646" s="619"/>
      <c r="G646" s="620"/>
      <c r="H646" s="620"/>
      <c r="I646" s="620"/>
      <c r="J646" s="620">
        <v>50</v>
      </c>
      <c r="K646" s="620">
        <v>75</v>
      </c>
      <c r="L646" s="620">
        <v>55</v>
      </c>
      <c r="M646" s="625"/>
    </row>
    <row r="647" spans="1:13" ht="15.75">
      <c r="A647" s="600"/>
      <c r="B647" s="616" t="s">
        <v>924</v>
      </c>
      <c r="C647" s="668" t="s">
        <v>21</v>
      </c>
      <c r="D647" s="668"/>
      <c r="E647" s="669"/>
      <c r="F647" s="619"/>
      <c r="G647" s="620"/>
      <c r="H647" s="620"/>
      <c r="I647" s="620">
        <v>15.5</v>
      </c>
      <c r="J647" s="620">
        <v>30</v>
      </c>
      <c r="K647" s="620">
        <v>50</v>
      </c>
      <c r="L647" s="620">
        <v>55</v>
      </c>
      <c r="M647" s="625"/>
    </row>
    <row r="648" spans="1:13" ht="15.75">
      <c r="A648" s="600"/>
      <c r="B648" s="616" t="s">
        <v>925</v>
      </c>
      <c r="C648" s="668" t="s">
        <v>373</v>
      </c>
      <c r="D648" s="668"/>
      <c r="E648" s="669"/>
      <c r="F648" s="619"/>
      <c r="G648" s="620"/>
      <c r="H648" s="620"/>
      <c r="I648" s="620">
        <v>11.25</v>
      </c>
      <c r="J648" s="620"/>
      <c r="K648" s="620"/>
      <c r="L648" s="620"/>
      <c r="M648" s="625"/>
    </row>
    <row r="649" spans="1:13" ht="15.75">
      <c r="A649" s="600"/>
      <c r="B649" s="616" t="s">
        <v>926</v>
      </c>
      <c r="C649" s="668" t="s">
        <v>373</v>
      </c>
      <c r="D649" s="668"/>
      <c r="E649" s="669"/>
      <c r="F649" s="619"/>
      <c r="G649" s="620"/>
      <c r="H649" s="620"/>
      <c r="I649" s="620">
        <v>23</v>
      </c>
      <c r="J649" s="620"/>
      <c r="K649" s="620"/>
      <c r="L649" s="620"/>
      <c r="M649" s="625"/>
    </row>
    <row r="650" spans="1:13" ht="15.75">
      <c r="A650" s="600"/>
      <c r="B650" s="616" t="s">
        <v>927</v>
      </c>
      <c r="C650" s="668" t="s">
        <v>16</v>
      </c>
      <c r="D650" s="668"/>
      <c r="E650" s="669"/>
      <c r="F650" s="619"/>
      <c r="G650" s="620"/>
      <c r="H650" s="620"/>
      <c r="I650" s="620"/>
      <c r="J650" s="620">
        <v>30</v>
      </c>
      <c r="K650" s="620">
        <v>38</v>
      </c>
      <c r="L650" s="620">
        <v>30</v>
      </c>
      <c r="M650" s="625"/>
    </row>
    <row r="651" spans="1:13" ht="15.75">
      <c r="A651" s="600"/>
      <c r="B651" s="616" t="s">
        <v>927</v>
      </c>
      <c r="C651" s="668" t="s">
        <v>591</v>
      </c>
      <c r="D651" s="668"/>
      <c r="E651" s="669"/>
      <c r="F651" s="619"/>
      <c r="G651" s="620"/>
      <c r="H651" s="620"/>
      <c r="I651" s="620"/>
      <c r="J651" s="620">
        <v>3660</v>
      </c>
      <c r="K651" s="620">
        <v>3320</v>
      </c>
      <c r="L651" s="620">
        <v>4120</v>
      </c>
      <c r="M651" s="625"/>
    </row>
    <row r="652" spans="1:13" ht="15.75">
      <c r="A652" s="600"/>
      <c r="B652" s="616" t="s">
        <v>928</v>
      </c>
      <c r="C652" s="668" t="s">
        <v>16</v>
      </c>
      <c r="D652" s="668"/>
      <c r="E652" s="669"/>
      <c r="F652" s="619"/>
      <c r="G652" s="620"/>
      <c r="H652" s="620"/>
      <c r="I652" s="620"/>
      <c r="J652" s="620">
        <v>25</v>
      </c>
      <c r="K652" s="620">
        <v>30</v>
      </c>
      <c r="L652" s="620">
        <v>20</v>
      </c>
      <c r="M652" s="625"/>
    </row>
    <row r="653" spans="1:13" ht="15.75">
      <c r="A653" s="600"/>
      <c r="B653" s="616" t="s">
        <v>928</v>
      </c>
      <c r="C653" s="668" t="s">
        <v>591</v>
      </c>
      <c r="D653" s="668"/>
      <c r="E653" s="669"/>
      <c r="F653" s="619"/>
      <c r="G653" s="620"/>
      <c r="H653" s="620"/>
      <c r="I653" s="620"/>
      <c r="J653" s="620">
        <v>2450</v>
      </c>
      <c r="K653" s="620">
        <v>2300</v>
      </c>
      <c r="L653" s="620">
        <v>2800</v>
      </c>
      <c r="M653" s="625"/>
    </row>
    <row r="654" spans="1:13" ht="15.75">
      <c r="A654" s="600"/>
      <c r="B654" s="616" t="s">
        <v>929</v>
      </c>
      <c r="C654" s="668" t="s">
        <v>591</v>
      </c>
      <c r="D654" s="668"/>
      <c r="E654" s="669"/>
      <c r="F654" s="619"/>
      <c r="G654" s="620"/>
      <c r="H654" s="620"/>
      <c r="I654" s="620"/>
      <c r="J654" s="620">
        <v>8460</v>
      </c>
      <c r="K654" s="620">
        <v>7365</v>
      </c>
      <c r="L654" s="620">
        <v>9860</v>
      </c>
      <c r="M654" s="625"/>
    </row>
    <row r="655" spans="1:13" ht="15.75">
      <c r="A655" s="600"/>
      <c r="B655" s="616" t="s">
        <v>929</v>
      </c>
      <c r="C655" s="668" t="s">
        <v>16</v>
      </c>
      <c r="D655" s="668"/>
      <c r="E655" s="669"/>
      <c r="F655" s="619"/>
      <c r="G655" s="620"/>
      <c r="H655" s="620"/>
      <c r="I655" s="620"/>
      <c r="J655" s="620">
        <v>65</v>
      </c>
      <c r="K655" s="620">
        <v>80</v>
      </c>
      <c r="L655" s="620">
        <v>70</v>
      </c>
      <c r="M655" s="625"/>
    </row>
    <row r="656" spans="1:13" ht="15.75">
      <c r="A656" s="600"/>
      <c r="B656" s="616" t="s">
        <v>930</v>
      </c>
      <c r="C656" s="668" t="s">
        <v>931</v>
      </c>
      <c r="D656" s="668"/>
      <c r="E656" s="669"/>
      <c r="F656" s="619"/>
      <c r="G656" s="620"/>
      <c r="H656" s="620"/>
      <c r="I656" s="620"/>
      <c r="J656" s="620">
        <v>45</v>
      </c>
      <c r="K656" s="620">
        <v>55</v>
      </c>
      <c r="L656" s="620">
        <v>50</v>
      </c>
      <c r="M656" s="625"/>
    </row>
    <row r="657" spans="1:13" ht="15.75">
      <c r="A657" s="600"/>
      <c r="B657" s="616" t="s">
        <v>930</v>
      </c>
      <c r="C657" s="668" t="s">
        <v>591</v>
      </c>
      <c r="D657" s="668"/>
      <c r="E657" s="669"/>
      <c r="F657" s="619"/>
      <c r="G657" s="620"/>
      <c r="H657" s="620"/>
      <c r="I657" s="620"/>
      <c r="J657" s="620">
        <v>5410</v>
      </c>
      <c r="K657" s="620">
        <v>4795</v>
      </c>
      <c r="L657" s="620">
        <v>6300</v>
      </c>
      <c r="M657" s="625"/>
    </row>
    <row r="658" spans="1:13" ht="15.75">
      <c r="A658" s="600"/>
      <c r="B658" s="616" t="s">
        <v>932</v>
      </c>
      <c r="C658" s="668" t="s">
        <v>378</v>
      </c>
      <c r="D658" s="668"/>
      <c r="E658" s="669"/>
      <c r="F658" s="619"/>
      <c r="G658" s="620">
        <v>2079</v>
      </c>
      <c r="H658" s="620">
        <v>2222</v>
      </c>
      <c r="I658" s="620" t="s">
        <v>933</v>
      </c>
      <c r="J658" s="620"/>
      <c r="K658" s="620"/>
      <c r="L658" s="620"/>
      <c r="M658" s="625"/>
    </row>
    <row r="659" spans="1:13" ht="15.75">
      <c r="A659" s="600"/>
      <c r="B659" s="616" t="s">
        <v>934</v>
      </c>
      <c r="C659" s="668" t="s">
        <v>378</v>
      </c>
      <c r="D659" s="668"/>
      <c r="E659" s="669"/>
      <c r="F659" s="619"/>
      <c r="G659" s="620">
        <v>3050</v>
      </c>
      <c r="H659" s="620">
        <v>3583</v>
      </c>
      <c r="I659" s="620" t="s">
        <v>935</v>
      </c>
      <c r="J659" s="620"/>
      <c r="K659" s="620"/>
      <c r="L659" s="620"/>
      <c r="M659" s="625"/>
    </row>
    <row r="660" spans="1:13" ht="15.75">
      <c r="A660" s="600"/>
      <c r="B660" s="616" t="s">
        <v>936</v>
      </c>
      <c r="C660" s="668" t="s">
        <v>378</v>
      </c>
      <c r="D660" s="668"/>
      <c r="E660" s="669"/>
      <c r="F660" s="619"/>
      <c r="G660" s="620">
        <v>4670</v>
      </c>
      <c r="H660" s="620">
        <v>5483</v>
      </c>
      <c r="I660" s="620" t="s">
        <v>937</v>
      </c>
      <c r="J660" s="620"/>
      <c r="K660" s="620"/>
      <c r="L660" s="620"/>
      <c r="M660" s="625"/>
    </row>
    <row r="661" spans="1:13" ht="15.75">
      <c r="A661" s="600"/>
      <c r="B661" s="616" t="s">
        <v>938</v>
      </c>
      <c r="C661" s="668" t="s">
        <v>378</v>
      </c>
      <c r="D661" s="668"/>
      <c r="E661" s="669"/>
      <c r="F661" s="619"/>
      <c r="G661" s="620">
        <v>7050</v>
      </c>
      <c r="H661" s="620"/>
      <c r="I661" s="620" t="s">
        <v>939</v>
      </c>
      <c r="J661" s="620"/>
      <c r="K661" s="620"/>
      <c r="L661" s="620"/>
      <c r="M661" s="625"/>
    </row>
    <row r="662" spans="1:13" ht="15.75">
      <c r="A662" s="600"/>
      <c r="B662" s="616" t="s">
        <v>940</v>
      </c>
      <c r="C662" s="668" t="s">
        <v>16</v>
      </c>
      <c r="D662" s="668"/>
      <c r="E662" s="669"/>
      <c r="F662" s="619"/>
      <c r="G662" s="620">
        <v>86</v>
      </c>
      <c r="H662" s="620"/>
      <c r="I662" s="620" t="s">
        <v>941</v>
      </c>
      <c r="J662" s="620"/>
      <c r="K662" s="620"/>
      <c r="L662" s="620"/>
      <c r="M662" s="625"/>
    </row>
    <row r="663" spans="1:13" ht="15.75">
      <c r="A663" s="600"/>
      <c r="B663" s="616" t="s">
        <v>942</v>
      </c>
      <c r="C663" s="668" t="s">
        <v>16</v>
      </c>
      <c r="D663" s="668"/>
      <c r="E663" s="669"/>
      <c r="F663" s="619"/>
      <c r="G663" s="620">
        <v>128</v>
      </c>
      <c r="H663" s="620"/>
      <c r="I663" s="620" t="s">
        <v>943</v>
      </c>
      <c r="J663" s="620"/>
      <c r="K663" s="620"/>
      <c r="L663" s="620"/>
      <c r="M663" s="625"/>
    </row>
    <row r="664" spans="1:13" ht="15.75">
      <c r="A664" s="600"/>
      <c r="B664" s="616" t="s">
        <v>944</v>
      </c>
      <c r="C664" s="668" t="s">
        <v>16</v>
      </c>
      <c r="D664" s="668"/>
      <c r="E664" s="669"/>
      <c r="F664" s="619"/>
      <c r="G664" s="620">
        <v>300</v>
      </c>
      <c r="H664" s="620"/>
      <c r="I664" s="620" t="s">
        <v>945</v>
      </c>
      <c r="J664" s="620"/>
      <c r="K664" s="620"/>
      <c r="L664" s="620"/>
      <c r="M664" s="625"/>
    </row>
    <row r="665" spans="1:13" ht="15.75">
      <c r="A665" s="600"/>
      <c r="B665" s="616" t="s">
        <v>946</v>
      </c>
      <c r="C665" s="668" t="s">
        <v>16</v>
      </c>
      <c r="D665" s="668"/>
      <c r="E665" s="669"/>
      <c r="F665" s="619"/>
      <c r="G665" s="620">
        <v>320</v>
      </c>
      <c r="H665" s="620"/>
      <c r="I665" s="620"/>
      <c r="J665" s="620"/>
      <c r="K665" s="620"/>
      <c r="L665" s="620"/>
      <c r="M665" s="625"/>
    </row>
    <row r="666" spans="1:13" ht="15.75">
      <c r="A666" s="600"/>
      <c r="B666" s="616" t="s">
        <v>947</v>
      </c>
      <c r="C666" s="668" t="s">
        <v>404</v>
      </c>
      <c r="D666" s="668"/>
      <c r="E666" s="669"/>
      <c r="F666" s="619"/>
      <c r="G666" s="620"/>
      <c r="H666" s="620"/>
      <c r="I666" s="620"/>
      <c r="J666" s="620">
        <v>40</v>
      </c>
      <c r="K666" s="620">
        <v>145</v>
      </c>
      <c r="L666" s="620">
        <v>75</v>
      </c>
      <c r="M666" s="625"/>
    </row>
    <row r="667" spans="1:13" ht="15.75">
      <c r="A667" s="600"/>
      <c r="B667" s="616" t="s">
        <v>948</v>
      </c>
      <c r="C667" s="668" t="s">
        <v>373</v>
      </c>
      <c r="D667" s="668"/>
      <c r="E667" s="669"/>
      <c r="F667" s="619"/>
      <c r="G667" s="620"/>
      <c r="H667" s="620"/>
      <c r="I667" s="620"/>
      <c r="J667" s="620">
        <v>70</v>
      </c>
      <c r="K667" s="620"/>
      <c r="L667" s="620">
        <v>220</v>
      </c>
      <c r="M667" s="625"/>
    </row>
    <row r="668" spans="1:13" ht="15.75">
      <c r="A668" s="600"/>
      <c r="B668" s="616" t="s">
        <v>926</v>
      </c>
      <c r="C668" s="668" t="s">
        <v>373</v>
      </c>
      <c r="D668" s="668"/>
      <c r="E668" s="669"/>
      <c r="F668" s="619"/>
      <c r="G668" s="620"/>
      <c r="H668" s="620">
        <v>22</v>
      </c>
      <c r="I668" s="620"/>
      <c r="J668" s="620"/>
      <c r="K668" s="620"/>
      <c r="L668" s="620"/>
      <c r="M668" s="625"/>
    </row>
    <row r="669" spans="1:13" ht="15.75">
      <c r="A669" s="600"/>
      <c r="B669" s="616" t="s">
        <v>949</v>
      </c>
      <c r="C669" s="627" t="s">
        <v>404</v>
      </c>
      <c r="D669" s="627"/>
      <c r="E669" s="640"/>
      <c r="F669" s="619"/>
      <c r="G669" s="620"/>
      <c r="H669" s="620">
        <v>53.5</v>
      </c>
      <c r="I669" s="620">
        <v>61.5</v>
      </c>
      <c r="J669" s="620">
        <v>70</v>
      </c>
      <c r="K669" s="620">
        <v>130</v>
      </c>
      <c r="L669" s="620">
        <v>75</v>
      </c>
      <c r="M669" s="625"/>
    </row>
    <row r="670" spans="1:13" ht="15.75">
      <c r="A670" s="600"/>
      <c r="B670" s="616" t="s">
        <v>950</v>
      </c>
      <c r="C670" s="627" t="s">
        <v>404</v>
      </c>
      <c r="D670" s="627"/>
      <c r="E670" s="640"/>
      <c r="F670" s="619"/>
      <c r="G670" s="620"/>
      <c r="H670" s="620">
        <v>85</v>
      </c>
      <c r="I670" s="620">
        <v>98.75</v>
      </c>
      <c r="J670" s="620">
        <v>105</v>
      </c>
      <c r="K670" s="620">
        <v>150</v>
      </c>
      <c r="L670" s="620">
        <v>125</v>
      </c>
      <c r="M670" s="625"/>
    </row>
    <row r="671" spans="1:13" ht="15.75">
      <c r="A671" s="600"/>
      <c r="B671" s="616" t="s">
        <v>951</v>
      </c>
      <c r="C671" s="627" t="s">
        <v>404</v>
      </c>
      <c r="D671" s="627"/>
      <c r="E671" s="640"/>
      <c r="F671" s="619"/>
      <c r="G671" s="620"/>
      <c r="H671" s="620">
        <v>115</v>
      </c>
      <c r="I671" s="620">
        <v>135.75</v>
      </c>
      <c r="J671" s="620">
        <v>160</v>
      </c>
      <c r="K671" s="620">
        <v>185</v>
      </c>
      <c r="L671" s="620">
        <v>165</v>
      </c>
      <c r="M671" s="625"/>
    </row>
    <row r="672" spans="1:13" ht="15.75">
      <c r="A672" s="600"/>
      <c r="B672" s="616" t="s">
        <v>952</v>
      </c>
      <c r="C672" s="627" t="s">
        <v>16</v>
      </c>
      <c r="D672" s="627"/>
      <c r="E672" s="640"/>
      <c r="F672" s="619"/>
      <c r="G672" s="620"/>
      <c r="H672" s="620"/>
      <c r="I672" s="620"/>
      <c r="J672" s="620">
        <v>65</v>
      </c>
      <c r="K672" s="620">
        <v>80</v>
      </c>
      <c r="L672" s="620">
        <v>70</v>
      </c>
      <c r="M672" s="625"/>
    </row>
    <row r="673" spans="1:13" ht="15.75">
      <c r="A673" s="600"/>
      <c r="B673" s="616" t="s">
        <v>953</v>
      </c>
      <c r="C673" s="627" t="s">
        <v>16</v>
      </c>
      <c r="D673" s="627"/>
      <c r="E673" s="640"/>
      <c r="F673" s="619"/>
      <c r="G673" s="620"/>
      <c r="H673" s="620"/>
      <c r="I673" s="620"/>
      <c r="J673" s="620">
        <v>65</v>
      </c>
      <c r="K673" s="620">
        <v>80</v>
      </c>
      <c r="L673" s="620">
        <v>70</v>
      </c>
      <c r="M673" s="625"/>
    </row>
    <row r="674" spans="1:13" ht="15.75">
      <c r="A674" s="600"/>
      <c r="B674" s="616" t="s">
        <v>954</v>
      </c>
      <c r="C674" s="627" t="s">
        <v>16</v>
      </c>
      <c r="D674" s="627"/>
      <c r="E674" s="640"/>
      <c r="F674" s="619"/>
      <c r="G674" s="620"/>
      <c r="H674" s="620"/>
      <c r="I674" s="620"/>
      <c r="J674" s="620">
        <v>40</v>
      </c>
      <c r="K674" s="620">
        <v>60</v>
      </c>
      <c r="L674" s="620">
        <v>50</v>
      </c>
      <c r="M674" s="625"/>
    </row>
    <row r="675" spans="1:13" ht="15.75">
      <c r="A675" s="600"/>
      <c r="B675" s="616" t="s">
        <v>955</v>
      </c>
      <c r="C675" s="627" t="s">
        <v>16</v>
      </c>
      <c r="D675" s="627"/>
      <c r="E675" s="640"/>
      <c r="F675" s="619"/>
      <c r="G675" s="620"/>
      <c r="H675" s="620"/>
      <c r="I675" s="620"/>
      <c r="J675" s="620">
        <v>40</v>
      </c>
      <c r="K675" s="620">
        <v>40</v>
      </c>
      <c r="L675" s="620">
        <v>30</v>
      </c>
      <c r="M675" s="625"/>
    </row>
    <row r="676" spans="1:13" ht="15.75">
      <c r="A676" s="600"/>
      <c r="B676" s="616" t="s">
        <v>956</v>
      </c>
      <c r="C676" s="627" t="s">
        <v>16</v>
      </c>
      <c r="D676" s="627"/>
      <c r="E676" s="640"/>
      <c r="F676" s="619"/>
      <c r="G676" s="620"/>
      <c r="H676" s="620"/>
      <c r="I676" s="620"/>
      <c r="J676" s="620">
        <v>75</v>
      </c>
      <c r="K676" s="620">
        <v>30</v>
      </c>
      <c r="L676" s="620">
        <v>20</v>
      </c>
      <c r="M676" s="625"/>
    </row>
    <row r="677" spans="1:13" ht="15.75">
      <c r="A677" s="600"/>
      <c r="B677" s="616" t="s">
        <v>957</v>
      </c>
      <c r="C677" s="627" t="s">
        <v>591</v>
      </c>
      <c r="D677" s="627"/>
      <c r="E677" s="640"/>
      <c r="F677" s="619"/>
      <c r="G677" s="620"/>
      <c r="H677" s="620"/>
      <c r="I677" s="620"/>
      <c r="J677" s="620"/>
      <c r="K677" s="620">
        <v>2470</v>
      </c>
      <c r="L677" s="620">
        <v>4120</v>
      </c>
      <c r="M677" s="625"/>
    </row>
    <row r="678" spans="1:13" ht="15.75">
      <c r="A678" s="600"/>
      <c r="B678" s="616" t="s">
        <v>958</v>
      </c>
      <c r="C678" s="627" t="s">
        <v>591</v>
      </c>
      <c r="D678" s="627"/>
      <c r="E678" s="640"/>
      <c r="F678" s="619"/>
      <c r="G678" s="620"/>
      <c r="H678" s="620"/>
      <c r="I678" s="620"/>
      <c r="J678" s="620"/>
      <c r="K678" s="620">
        <v>1770</v>
      </c>
      <c r="L678" s="620">
        <v>2800</v>
      </c>
      <c r="M678" s="625"/>
    </row>
    <row r="679" spans="1:13" ht="15.75">
      <c r="A679" s="600"/>
      <c r="B679" s="616" t="s">
        <v>959</v>
      </c>
      <c r="C679" s="627" t="s">
        <v>591</v>
      </c>
      <c r="D679" s="627"/>
      <c r="E679" s="640"/>
      <c r="F679" s="619"/>
      <c r="G679" s="620"/>
      <c r="H679" s="620"/>
      <c r="I679" s="620"/>
      <c r="J679" s="620">
        <v>2495</v>
      </c>
      <c r="K679" s="620">
        <v>2420</v>
      </c>
      <c r="L679" s="620">
        <v>2800</v>
      </c>
      <c r="M679" s="625"/>
    </row>
    <row r="680" spans="1:13" ht="15.75">
      <c r="A680" s="600"/>
      <c r="B680" s="616" t="s">
        <v>960</v>
      </c>
      <c r="C680" s="627" t="s">
        <v>591</v>
      </c>
      <c r="D680" s="627"/>
      <c r="E680" s="640"/>
      <c r="F680" s="619"/>
      <c r="G680" s="620"/>
      <c r="H680" s="620"/>
      <c r="I680" s="620"/>
      <c r="J680" s="620"/>
      <c r="K680" s="620">
        <v>3450</v>
      </c>
      <c r="L680" s="620">
        <v>2800</v>
      </c>
      <c r="M680" s="625"/>
    </row>
    <row r="681" spans="1:13" ht="15.75">
      <c r="A681" s="600"/>
      <c r="B681" s="616" t="s">
        <v>961</v>
      </c>
      <c r="C681" s="627" t="s">
        <v>21</v>
      </c>
      <c r="D681" s="627"/>
      <c r="E681" s="640"/>
      <c r="F681" s="619"/>
      <c r="G681" s="620"/>
      <c r="H681" s="620">
        <v>17</v>
      </c>
      <c r="I681" s="620">
        <v>18.25</v>
      </c>
      <c r="J681" s="620">
        <v>30</v>
      </c>
      <c r="K681" s="620">
        <v>40</v>
      </c>
      <c r="L681" s="620">
        <v>55</v>
      </c>
      <c r="M681" s="625"/>
    </row>
    <row r="682" spans="1:13" ht="15.75">
      <c r="A682" s="600"/>
      <c r="B682" s="616" t="s">
        <v>962</v>
      </c>
      <c r="C682" s="627" t="s">
        <v>21</v>
      </c>
      <c r="D682" s="627"/>
      <c r="E682" s="640"/>
      <c r="F682" s="619"/>
      <c r="G682" s="620">
        <v>57.5</v>
      </c>
      <c r="H682" s="620"/>
      <c r="I682" s="620"/>
      <c r="J682" s="620"/>
      <c r="K682" s="620"/>
      <c r="L682" s="620"/>
      <c r="M682" s="625"/>
    </row>
    <row r="683" spans="1:13" ht="15.75">
      <c r="A683" s="600"/>
      <c r="B683" s="616" t="s">
        <v>963</v>
      </c>
      <c r="C683" s="627" t="s">
        <v>21</v>
      </c>
      <c r="D683" s="627"/>
      <c r="E683" s="640"/>
      <c r="F683" s="619"/>
      <c r="G683" s="620">
        <v>75.5</v>
      </c>
      <c r="H683" s="620">
        <v>88</v>
      </c>
      <c r="I683" s="620"/>
      <c r="J683" s="620"/>
      <c r="K683" s="620"/>
      <c r="L683" s="620"/>
      <c r="M683" s="625"/>
    </row>
    <row r="684" spans="1:13" ht="15.75">
      <c r="A684" s="600"/>
      <c r="B684" s="616" t="s">
        <v>964</v>
      </c>
      <c r="C684" s="627" t="s">
        <v>21</v>
      </c>
      <c r="D684" s="627"/>
      <c r="E684" s="640"/>
      <c r="F684" s="619"/>
      <c r="G684" s="620">
        <v>109.5</v>
      </c>
      <c r="H684" s="620">
        <v>103.75</v>
      </c>
      <c r="I684" s="620"/>
      <c r="J684" s="620"/>
      <c r="K684" s="620"/>
      <c r="L684" s="620"/>
      <c r="M684" s="625"/>
    </row>
    <row r="685" spans="1:13" s="593" customFormat="1" ht="15.75">
      <c r="A685" s="606" t="s">
        <v>154</v>
      </c>
      <c r="B685" s="607"/>
      <c r="C685" s="624"/>
      <c r="D685" s="624"/>
      <c r="E685" s="647"/>
      <c r="F685" s="608"/>
      <c r="G685" s="648"/>
      <c r="H685" s="648"/>
      <c r="I685" s="648"/>
      <c r="J685" s="648"/>
      <c r="K685" s="648"/>
      <c r="L685" s="648"/>
      <c r="M685" s="655"/>
    </row>
    <row r="686" spans="1:13" ht="15.75">
      <c r="A686" s="597"/>
      <c r="B686" s="670"/>
      <c r="C686" s="617"/>
      <c r="D686" s="617"/>
      <c r="E686" s="657"/>
      <c r="F686" s="619"/>
      <c r="G686" s="620"/>
      <c r="H686" s="620"/>
      <c r="I686" s="620"/>
      <c r="J686" s="620"/>
      <c r="K686" s="620"/>
      <c r="L686" s="620"/>
      <c r="M686" s="625"/>
    </row>
    <row r="687" spans="1:13" ht="15.75">
      <c r="A687" s="597"/>
      <c r="B687" s="671" t="s">
        <v>965</v>
      </c>
      <c r="C687" s="672" t="s">
        <v>966</v>
      </c>
      <c r="D687" s="617"/>
      <c r="E687" s="657"/>
      <c r="F687" s="619"/>
      <c r="G687" s="620"/>
      <c r="H687" s="620"/>
      <c r="I687" s="620"/>
      <c r="J687" s="620"/>
      <c r="K687" s="620"/>
      <c r="L687" s="620"/>
      <c r="M687" s="673">
        <v>22</v>
      </c>
    </row>
    <row r="688" spans="1:13" ht="15.75">
      <c r="A688" s="597"/>
      <c r="B688" s="671" t="s">
        <v>967</v>
      </c>
      <c r="C688" s="672" t="s">
        <v>966</v>
      </c>
      <c r="D688" s="617"/>
      <c r="E688" s="657"/>
      <c r="F688" s="619"/>
      <c r="G688" s="620"/>
      <c r="H688" s="620"/>
      <c r="I688" s="620"/>
      <c r="J688" s="620"/>
      <c r="K688" s="620"/>
      <c r="L688" s="620"/>
      <c r="M688" s="673">
        <v>22</v>
      </c>
    </row>
    <row r="689" spans="1:13" ht="15.75">
      <c r="A689" s="597"/>
      <c r="B689" s="671" t="s">
        <v>968</v>
      </c>
      <c r="C689" s="672" t="s">
        <v>969</v>
      </c>
      <c r="D689" s="617"/>
      <c r="E689" s="657"/>
      <c r="F689" s="619"/>
      <c r="G689" s="620"/>
      <c r="H689" s="620"/>
      <c r="I689" s="620"/>
      <c r="J689" s="620"/>
      <c r="K689" s="620"/>
      <c r="L689" s="620"/>
      <c r="M689" s="673">
        <v>95</v>
      </c>
    </row>
    <row r="690" spans="1:13" ht="15.75">
      <c r="A690" s="597"/>
      <c r="B690" s="671" t="s">
        <v>970</v>
      </c>
      <c r="C690" s="672" t="s">
        <v>966</v>
      </c>
      <c r="D690" s="617"/>
      <c r="E690" s="657"/>
      <c r="F690" s="619"/>
      <c r="G690" s="620"/>
      <c r="H690" s="620"/>
      <c r="I690" s="620"/>
      <c r="J690" s="620"/>
      <c r="K690" s="620"/>
      <c r="L690" s="620"/>
      <c r="M690" s="673">
        <v>60</v>
      </c>
    </row>
    <row r="691" spans="1:13" ht="15.75">
      <c r="A691" s="597"/>
      <c r="B691" s="626"/>
      <c r="C691" s="617"/>
      <c r="D691" s="617"/>
      <c r="E691" s="657"/>
      <c r="F691" s="619"/>
      <c r="G691" s="620"/>
      <c r="H691" s="620"/>
      <c r="I691" s="620"/>
      <c r="J691" s="620"/>
      <c r="K691" s="620"/>
      <c r="L691" s="620"/>
      <c r="M691" s="625"/>
    </row>
    <row r="692" spans="1:13" s="593" customFormat="1" ht="15.75">
      <c r="A692" s="606" t="s">
        <v>971</v>
      </c>
      <c r="B692" s="607"/>
      <c r="C692" s="624"/>
      <c r="D692" s="624"/>
      <c r="E692" s="647"/>
      <c r="F692" s="608"/>
      <c r="G692" s="648"/>
      <c r="H692" s="648"/>
      <c r="I692" s="648"/>
      <c r="J692" s="648"/>
      <c r="K692" s="648"/>
      <c r="L692" s="648"/>
      <c r="M692" s="655"/>
    </row>
    <row r="693" spans="1:13" ht="15.75">
      <c r="A693" s="649"/>
      <c r="B693" s="601" t="s">
        <v>972</v>
      </c>
      <c r="C693" s="602" t="s">
        <v>373</v>
      </c>
      <c r="D693" s="602"/>
      <c r="E693" s="602"/>
      <c r="F693" s="619"/>
      <c r="G693" s="620"/>
      <c r="H693" s="620"/>
      <c r="I693" s="620"/>
      <c r="J693" s="620"/>
      <c r="K693" s="620"/>
      <c r="L693" s="620">
        <v>710</v>
      </c>
      <c r="M693" s="625"/>
    </row>
    <row r="694" spans="1:13" ht="15.75">
      <c r="A694" s="649"/>
      <c r="B694" s="601" t="s">
        <v>973</v>
      </c>
      <c r="C694" s="602" t="s">
        <v>378</v>
      </c>
      <c r="D694" s="602"/>
      <c r="E694" s="602"/>
      <c r="F694" s="619"/>
      <c r="G694" s="620"/>
      <c r="H694" s="620"/>
      <c r="I694" s="620"/>
      <c r="J694" s="620">
        <v>3000</v>
      </c>
      <c r="K694" s="620"/>
      <c r="L694" s="620">
        <v>2080</v>
      </c>
      <c r="M694" s="625"/>
    </row>
    <row r="695" spans="1:13" ht="15.75">
      <c r="A695" s="649"/>
      <c r="B695" s="601" t="s">
        <v>974</v>
      </c>
      <c r="C695" s="602"/>
      <c r="D695" s="602"/>
      <c r="E695" s="602"/>
      <c r="F695" s="619"/>
      <c r="G695" s="620"/>
      <c r="H695" s="620"/>
      <c r="I695" s="620"/>
      <c r="J695" s="620"/>
      <c r="K695" s="620">
        <v>1720</v>
      </c>
      <c r="L695" s="620"/>
      <c r="M695" s="625"/>
    </row>
    <row r="696" spans="1:13" ht="15.75">
      <c r="A696" s="649"/>
      <c r="B696" s="601" t="s">
        <v>975</v>
      </c>
      <c r="C696" s="602" t="s">
        <v>21</v>
      </c>
      <c r="D696" s="602"/>
      <c r="E696" s="602"/>
      <c r="F696" s="619"/>
      <c r="G696" s="620"/>
      <c r="H696" s="620"/>
      <c r="I696" s="620"/>
      <c r="J696" s="620">
        <v>40</v>
      </c>
      <c r="K696" s="620"/>
      <c r="L696" s="620">
        <v>120</v>
      </c>
      <c r="M696" s="625"/>
    </row>
    <row r="697" spans="1:13" ht="15.75">
      <c r="A697" s="649"/>
      <c r="B697" s="601" t="s">
        <v>976</v>
      </c>
      <c r="C697" s="602" t="s">
        <v>749</v>
      </c>
      <c r="D697" s="602"/>
      <c r="E697" s="602"/>
      <c r="F697" s="619"/>
      <c r="G697" s="620"/>
      <c r="H697" s="620"/>
      <c r="I697" s="620"/>
      <c r="J697" s="620">
        <v>395</v>
      </c>
      <c r="K697" s="620"/>
      <c r="L697" s="620">
        <v>475</v>
      </c>
      <c r="M697" s="625"/>
    </row>
    <row r="698" spans="1:13" ht="15.75">
      <c r="A698" s="649"/>
      <c r="B698" s="601" t="s">
        <v>977</v>
      </c>
      <c r="C698" s="602" t="s">
        <v>693</v>
      </c>
      <c r="D698" s="602"/>
      <c r="E698" s="602"/>
      <c r="F698" s="619"/>
      <c r="G698" s="620"/>
      <c r="H698" s="620"/>
      <c r="I698" s="620"/>
      <c r="J698" s="620">
        <v>70</v>
      </c>
      <c r="K698" s="620"/>
      <c r="L698" s="620">
        <v>88</v>
      </c>
      <c r="M698" s="625"/>
    </row>
    <row r="699" spans="1:13" ht="15.75">
      <c r="A699" s="649"/>
      <c r="B699" s="601" t="s">
        <v>978</v>
      </c>
      <c r="C699" s="602" t="s">
        <v>21</v>
      </c>
      <c r="D699" s="602"/>
      <c r="E699" s="602"/>
      <c r="F699" s="619"/>
      <c r="G699" s="620"/>
      <c r="H699" s="620"/>
      <c r="I699" s="620"/>
      <c r="J699" s="620">
        <v>45</v>
      </c>
      <c r="K699" s="620"/>
      <c r="L699" s="620">
        <v>40</v>
      </c>
      <c r="M699" s="625"/>
    </row>
    <row r="700" spans="1:13" ht="15.75">
      <c r="A700" s="649"/>
      <c r="B700" s="601" t="s">
        <v>979</v>
      </c>
      <c r="C700" s="602" t="s">
        <v>749</v>
      </c>
      <c r="D700" s="602"/>
      <c r="E700" s="602"/>
      <c r="F700" s="619"/>
      <c r="G700" s="620"/>
      <c r="H700" s="620"/>
      <c r="I700" s="620"/>
      <c r="J700" s="620">
        <v>38</v>
      </c>
      <c r="K700" s="620"/>
      <c r="L700" s="620">
        <v>40</v>
      </c>
      <c r="M700" s="625"/>
    </row>
    <row r="701" spans="1:13" ht="15.75">
      <c r="A701" s="649"/>
      <c r="B701" s="601" t="s">
        <v>980</v>
      </c>
      <c r="C701" s="602"/>
      <c r="D701" s="602"/>
      <c r="E701" s="602"/>
      <c r="F701" s="619"/>
      <c r="G701" s="620"/>
      <c r="H701" s="620"/>
      <c r="I701" s="620"/>
      <c r="J701" s="620">
        <v>15</v>
      </c>
      <c r="K701" s="620"/>
      <c r="L701" s="620"/>
      <c r="M701" s="625"/>
    </row>
    <row r="702" spans="1:13" ht="15.75">
      <c r="A702" s="649"/>
      <c r="B702" s="601" t="s">
        <v>981</v>
      </c>
      <c r="C702" s="602"/>
      <c r="D702" s="602"/>
      <c r="E702" s="602"/>
      <c r="F702" s="619"/>
      <c r="G702" s="620"/>
      <c r="H702" s="620"/>
      <c r="I702" s="620"/>
      <c r="J702" s="620"/>
      <c r="K702" s="620"/>
      <c r="L702" s="620">
        <v>15</v>
      </c>
      <c r="M702" s="625"/>
    </row>
    <row r="703" spans="1:13" ht="15.75">
      <c r="A703" s="649"/>
      <c r="B703" s="601" t="s">
        <v>982</v>
      </c>
      <c r="C703" s="602" t="s">
        <v>373</v>
      </c>
      <c r="D703" s="602"/>
      <c r="E703" s="602"/>
      <c r="F703" s="619"/>
      <c r="G703" s="620"/>
      <c r="H703" s="620"/>
      <c r="I703" s="620"/>
      <c r="J703" s="620"/>
      <c r="K703" s="620">
        <v>210</v>
      </c>
      <c r="L703" s="620"/>
      <c r="M703" s="625"/>
    </row>
    <row r="704" spans="1:13" ht="15.75">
      <c r="A704" s="600"/>
      <c r="B704" s="626" t="s">
        <v>983</v>
      </c>
      <c r="C704" s="617"/>
      <c r="D704" s="617"/>
      <c r="E704" s="628"/>
      <c r="F704" s="619"/>
      <c r="G704" s="620"/>
      <c r="H704" s="620"/>
      <c r="I704" s="620"/>
      <c r="J704" s="620"/>
      <c r="K704" s="620">
        <v>150</v>
      </c>
      <c r="L704" s="620"/>
      <c r="M704" s="625"/>
    </row>
    <row r="705" spans="1:13" ht="15.75">
      <c r="A705" s="600"/>
      <c r="B705" s="626" t="s">
        <v>984</v>
      </c>
      <c r="C705" s="617"/>
      <c r="D705" s="617"/>
      <c r="E705" s="628"/>
      <c r="F705" s="619"/>
      <c r="G705" s="620"/>
      <c r="H705" s="620"/>
      <c r="I705" s="620"/>
      <c r="J705" s="620"/>
      <c r="K705" s="620"/>
      <c r="L705" s="620"/>
      <c r="M705" s="625"/>
    </row>
    <row r="706" spans="1:13" ht="15.75">
      <c r="A706" s="600"/>
      <c r="B706" s="626" t="s">
        <v>658</v>
      </c>
      <c r="C706" s="617" t="s">
        <v>605</v>
      </c>
      <c r="D706" s="617"/>
      <c r="E706" s="628"/>
      <c r="F706" s="619"/>
      <c r="G706" s="620"/>
      <c r="H706" s="620"/>
      <c r="I706" s="620"/>
      <c r="J706" s="620"/>
      <c r="K706" s="620">
        <v>4200</v>
      </c>
      <c r="L706" s="620"/>
      <c r="M706" s="625"/>
    </row>
    <row r="707" spans="1:13" ht="15.75">
      <c r="A707" s="600"/>
      <c r="B707" s="626" t="s">
        <v>985</v>
      </c>
      <c r="C707" s="617" t="s">
        <v>469</v>
      </c>
      <c r="D707" s="617"/>
      <c r="E707" s="628"/>
      <c r="F707" s="619"/>
      <c r="G707" s="620"/>
      <c r="H707" s="620"/>
      <c r="I707" s="620"/>
      <c r="J707" s="620">
        <v>3065</v>
      </c>
      <c r="K707" s="620">
        <v>785</v>
      </c>
      <c r="L707" s="620"/>
      <c r="M707" s="625"/>
    </row>
    <row r="708" spans="1:13" ht="15.75">
      <c r="A708" s="600"/>
      <c r="B708" s="626" t="s">
        <v>986</v>
      </c>
      <c r="C708" s="617" t="s">
        <v>373</v>
      </c>
      <c r="D708" s="617"/>
      <c r="E708" s="628"/>
      <c r="F708" s="619"/>
      <c r="G708" s="620"/>
      <c r="H708" s="620"/>
      <c r="I708" s="620"/>
      <c r="J708" s="620">
        <v>45</v>
      </c>
      <c r="K708" s="620">
        <v>78</v>
      </c>
      <c r="L708" s="620">
        <v>40</v>
      </c>
      <c r="M708" s="625"/>
    </row>
    <row r="709" spans="1:13" ht="15.75">
      <c r="A709" s="600"/>
      <c r="B709" s="626" t="s">
        <v>987</v>
      </c>
      <c r="C709" s="617" t="s">
        <v>21</v>
      </c>
      <c r="D709" s="617"/>
      <c r="E709" s="628"/>
      <c r="F709" s="619"/>
      <c r="G709" s="620"/>
      <c r="H709" s="620"/>
      <c r="I709" s="620"/>
      <c r="J709" s="620">
        <v>120</v>
      </c>
      <c r="K709" s="620">
        <v>105</v>
      </c>
      <c r="L709" s="620">
        <v>65</v>
      </c>
      <c r="M709" s="625"/>
    </row>
    <row r="710" spans="1:13" ht="15.75">
      <c r="A710" s="600"/>
      <c r="B710" s="626" t="s">
        <v>988</v>
      </c>
      <c r="C710" s="617" t="s">
        <v>692</v>
      </c>
      <c r="D710" s="617"/>
      <c r="E710" s="628"/>
      <c r="F710" s="619"/>
      <c r="G710" s="620"/>
      <c r="H710" s="620"/>
      <c r="I710" s="620"/>
      <c r="J710" s="620">
        <v>680</v>
      </c>
      <c r="K710" s="620"/>
      <c r="L710" s="620"/>
      <c r="M710" s="625"/>
    </row>
    <row r="711" spans="1:13" ht="15.75">
      <c r="A711" s="600"/>
      <c r="B711" s="626" t="s">
        <v>989</v>
      </c>
      <c r="C711" s="617"/>
      <c r="D711" s="617"/>
      <c r="E711" s="628"/>
      <c r="F711" s="619"/>
      <c r="G711" s="620"/>
      <c r="H711" s="620"/>
      <c r="I711" s="620"/>
      <c r="J711" s="620"/>
      <c r="K711" s="620"/>
      <c r="L711" s="620">
        <v>455</v>
      </c>
      <c r="M711" s="625"/>
    </row>
    <row r="712" spans="1:13" ht="15.75">
      <c r="A712" s="600"/>
      <c r="B712" s="626" t="s">
        <v>990</v>
      </c>
      <c r="C712" s="617" t="s">
        <v>21</v>
      </c>
      <c r="D712" s="617"/>
      <c r="E712" s="628"/>
      <c r="F712" s="619"/>
      <c r="G712" s="620"/>
      <c r="H712" s="620"/>
      <c r="I712" s="620"/>
      <c r="J712" s="620">
        <v>90</v>
      </c>
      <c r="K712" s="620"/>
      <c r="L712" s="620">
        <v>70</v>
      </c>
      <c r="M712" s="625"/>
    </row>
    <row r="713" spans="1:13" ht="15.75">
      <c r="A713" s="600"/>
      <c r="B713" s="626" t="s">
        <v>991</v>
      </c>
      <c r="C713" s="617" t="s">
        <v>373</v>
      </c>
      <c r="D713" s="617"/>
      <c r="E713" s="628"/>
      <c r="F713" s="619"/>
      <c r="G713" s="620"/>
      <c r="H713" s="620"/>
      <c r="I713" s="620"/>
      <c r="J713" s="620"/>
      <c r="K713" s="620">
        <v>55</v>
      </c>
      <c r="L713" s="620"/>
      <c r="M713" s="625"/>
    </row>
    <row r="714" spans="1:13" ht="15.75">
      <c r="A714" s="600"/>
      <c r="B714" s="626" t="s">
        <v>992</v>
      </c>
      <c r="C714" s="617" t="s">
        <v>373</v>
      </c>
      <c r="D714" s="617"/>
      <c r="E714" s="628"/>
      <c r="F714" s="619"/>
      <c r="G714" s="620"/>
      <c r="H714" s="620"/>
      <c r="I714" s="620"/>
      <c r="J714" s="620">
        <v>250</v>
      </c>
      <c r="K714" s="620">
        <v>300</v>
      </c>
      <c r="L714" s="620">
        <v>395</v>
      </c>
      <c r="M714" s="625"/>
    </row>
    <row r="715" spans="1:13" ht="15.75">
      <c r="A715" s="600"/>
      <c r="B715" s="626" t="s">
        <v>993</v>
      </c>
      <c r="C715" s="617"/>
      <c r="D715" s="617"/>
      <c r="E715" s="628"/>
      <c r="F715" s="619"/>
      <c r="G715" s="620"/>
      <c r="H715" s="620"/>
      <c r="I715" s="620"/>
      <c r="J715" s="620">
        <v>250</v>
      </c>
      <c r="K715" s="620">
        <v>380</v>
      </c>
      <c r="L715" s="620">
        <v>270</v>
      </c>
      <c r="M715" s="625"/>
    </row>
    <row r="716" spans="1:13" ht="15.75">
      <c r="A716" s="600"/>
      <c r="B716" s="626" t="s">
        <v>994</v>
      </c>
      <c r="C716" s="617" t="s">
        <v>469</v>
      </c>
      <c r="D716" s="617"/>
      <c r="E716" s="628"/>
      <c r="F716" s="619"/>
      <c r="G716" s="620"/>
      <c r="H716" s="620"/>
      <c r="I716" s="620"/>
      <c r="J716" s="620">
        <v>1550</v>
      </c>
      <c r="K716" s="620">
        <v>1860</v>
      </c>
      <c r="L716" s="620">
        <v>2040</v>
      </c>
      <c r="M716" s="625"/>
    </row>
    <row r="717" spans="1:13" ht="15.75">
      <c r="A717" s="600"/>
      <c r="B717" s="626" t="s">
        <v>995</v>
      </c>
      <c r="C717" s="617" t="s">
        <v>996</v>
      </c>
      <c r="D717" s="617"/>
      <c r="E717" s="628"/>
      <c r="F717" s="619"/>
      <c r="G717" s="620"/>
      <c r="H717" s="620"/>
      <c r="I717" s="620"/>
      <c r="J717" s="620">
        <v>15</v>
      </c>
      <c r="K717" s="620">
        <v>15</v>
      </c>
      <c r="L717" s="620">
        <v>20</v>
      </c>
      <c r="M717" s="625"/>
    </row>
    <row r="718" spans="1:13" ht="15.75">
      <c r="A718" s="600"/>
      <c r="B718" s="626" t="s">
        <v>997</v>
      </c>
      <c r="C718" s="617" t="s">
        <v>469</v>
      </c>
      <c r="D718" s="617"/>
      <c r="E718" s="628"/>
      <c r="F718" s="619"/>
      <c r="G718" s="620"/>
      <c r="H718" s="620"/>
      <c r="I718" s="620"/>
      <c r="J718" s="620">
        <v>48</v>
      </c>
      <c r="K718" s="620">
        <v>60</v>
      </c>
      <c r="L718" s="620">
        <v>50</v>
      </c>
      <c r="M718" s="625"/>
    </row>
    <row r="719" spans="1:13" ht="15.75">
      <c r="A719" s="600"/>
      <c r="B719" s="626" t="s">
        <v>998</v>
      </c>
      <c r="C719" s="617" t="s">
        <v>373</v>
      </c>
      <c r="D719" s="617"/>
      <c r="E719" s="628"/>
      <c r="F719" s="619"/>
      <c r="G719" s="620"/>
      <c r="H719" s="620"/>
      <c r="I719" s="620"/>
      <c r="J719" s="620">
        <v>95</v>
      </c>
      <c r="K719" s="620">
        <v>90</v>
      </c>
      <c r="L719" s="620"/>
      <c r="M719" s="625"/>
    </row>
    <row r="720" spans="1:13" ht="15.75">
      <c r="A720" s="600"/>
      <c r="B720" s="626" t="s">
        <v>999</v>
      </c>
      <c r="C720" s="617" t="s">
        <v>373</v>
      </c>
      <c r="D720" s="617"/>
      <c r="E720" s="628"/>
      <c r="F720" s="619"/>
      <c r="G720" s="620"/>
      <c r="H720" s="620"/>
      <c r="I720" s="620"/>
      <c r="J720" s="620">
        <v>550</v>
      </c>
      <c r="K720" s="620">
        <v>730</v>
      </c>
      <c r="L720" s="620">
        <v>630</v>
      </c>
      <c r="M720" s="625"/>
    </row>
    <row r="721" spans="1:13" ht="15.75">
      <c r="A721" s="600"/>
      <c r="B721" s="626" t="s">
        <v>1000</v>
      </c>
      <c r="C721" s="617"/>
      <c r="D721" s="617"/>
      <c r="E721" s="628"/>
      <c r="F721" s="619"/>
      <c r="G721" s="620"/>
      <c r="H721" s="620"/>
      <c r="I721" s="620"/>
      <c r="J721" s="620"/>
      <c r="K721" s="620"/>
      <c r="L721" s="620">
        <v>80</v>
      </c>
      <c r="M721" s="625"/>
    </row>
    <row r="722" spans="1:13" ht="15.75">
      <c r="A722" s="600"/>
      <c r="B722" s="626" t="s">
        <v>1001</v>
      </c>
      <c r="C722" s="617"/>
      <c r="D722" s="617"/>
      <c r="E722" s="628"/>
      <c r="F722" s="619"/>
      <c r="G722" s="620"/>
      <c r="H722" s="620"/>
      <c r="I722" s="620"/>
      <c r="J722" s="620"/>
      <c r="K722" s="620">
        <v>300</v>
      </c>
      <c r="L722" s="620">
        <v>85</v>
      </c>
      <c r="M722" s="625"/>
    </row>
    <row r="723" spans="1:13" ht="15.75">
      <c r="A723" s="600"/>
      <c r="B723" s="626" t="s">
        <v>1002</v>
      </c>
      <c r="C723" s="617"/>
      <c r="D723" s="617"/>
      <c r="E723" s="628"/>
      <c r="F723" s="619"/>
      <c r="G723" s="620"/>
      <c r="H723" s="620"/>
      <c r="I723" s="620"/>
      <c r="J723" s="620"/>
      <c r="K723" s="620">
        <v>530</v>
      </c>
      <c r="L723" s="620"/>
      <c r="M723" s="625"/>
    </row>
    <row r="724" spans="1:13" ht="15.75">
      <c r="A724" s="600"/>
      <c r="B724" s="626" t="s">
        <v>1003</v>
      </c>
      <c r="C724" s="617" t="s">
        <v>373</v>
      </c>
      <c r="D724" s="617"/>
      <c r="E724" s="628"/>
      <c r="F724" s="619"/>
      <c r="G724" s="620"/>
      <c r="H724" s="620"/>
      <c r="I724" s="620"/>
      <c r="J724" s="620"/>
      <c r="K724" s="620">
        <v>290</v>
      </c>
      <c r="L724" s="620">
        <v>325</v>
      </c>
      <c r="M724" s="625"/>
    </row>
    <row r="725" spans="1:13" ht="15.75">
      <c r="A725" s="600"/>
      <c r="B725" s="626" t="s">
        <v>1004</v>
      </c>
      <c r="C725" s="617" t="s">
        <v>373</v>
      </c>
      <c r="D725" s="617"/>
      <c r="E725" s="628"/>
      <c r="F725" s="619"/>
      <c r="G725" s="620"/>
      <c r="H725" s="620"/>
      <c r="I725" s="620"/>
      <c r="J725" s="620">
        <v>260</v>
      </c>
      <c r="K725" s="620">
        <v>690</v>
      </c>
      <c r="L725" s="620"/>
      <c r="M725" s="625"/>
    </row>
    <row r="726" spans="1:13" ht="15.75">
      <c r="A726" s="600"/>
      <c r="B726" s="626" t="s">
        <v>1005</v>
      </c>
      <c r="C726" s="617" t="s">
        <v>373</v>
      </c>
      <c r="D726" s="617"/>
      <c r="E726" s="628"/>
      <c r="F726" s="619"/>
      <c r="G726" s="620"/>
      <c r="H726" s="620"/>
      <c r="I726" s="620"/>
      <c r="J726" s="620">
        <v>75</v>
      </c>
      <c r="K726" s="620">
        <v>345</v>
      </c>
      <c r="L726" s="620"/>
      <c r="M726" s="625"/>
    </row>
    <row r="727" spans="1:13" ht="15.75">
      <c r="A727" s="600"/>
      <c r="B727" s="626" t="s">
        <v>1006</v>
      </c>
      <c r="C727" s="617" t="s">
        <v>373</v>
      </c>
      <c r="D727" s="617"/>
      <c r="E727" s="628"/>
      <c r="F727" s="619"/>
      <c r="G727" s="620"/>
      <c r="H727" s="620"/>
      <c r="I727" s="620"/>
      <c r="J727" s="620">
        <v>280</v>
      </c>
      <c r="K727" s="620"/>
      <c r="L727" s="620"/>
      <c r="M727" s="625"/>
    </row>
    <row r="728" spans="1:13" ht="15.75">
      <c r="A728" s="600"/>
      <c r="B728" s="626" t="s">
        <v>1007</v>
      </c>
      <c r="C728" s="617"/>
      <c r="D728" s="617"/>
      <c r="E728" s="628"/>
      <c r="F728" s="619"/>
      <c r="G728" s="620"/>
      <c r="H728" s="620"/>
      <c r="I728" s="620"/>
      <c r="J728" s="620">
        <v>280</v>
      </c>
      <c r="K728" s="620"/>
      <c r="L728" s="620"/>
      <c r="M728" s="625"/>
    </row>
    <row r="729" spans="1:13" ht="15.75">
      <c r="A729" s="600"/>
      <c r="B729" s="626" t="s">
        <v>1008</v>
      </c>
      <c r="C729" s="617" t="s">
        <v>373</v>
      </c>
      <c r="D729" s="617"/>
      <c r="E729" s="628"/>
      <c r="F729" s="619"/>
      <c r="G729" s="620"/>
      <c r="H729" s="620"/>
      <c r="I729" s="620"/>
      <c r="J729" s="620">
        <v>2500</v>
      </c>
      <c r="K729" s="620">
        <v>300</v>
      </c>
      <c r="L729" s="620">
        <v>3490</v>
      </c>
      <c r="M729" s="625"/>
    </row>
    <row r="730" spans="1:13" ht="15.75">
      <c r="A730" s="600"/>
      <c r="B730" s="626" t="s">
        <v>1009</v>
      </c>
      <c r="C730" s="619" t="s">
        <v>1010</v>
      </c>
      <c r="D730" s="619"/>
      <c r="E730" s="619"/>
      <c r="F730" s="619"/>
      <c r="G730" s="620"/>
      <c r="H730" s="620"/>
      <c r="I730" s="620"/>
      <c r="J730" s="620">
        <v>70</v>
      </c>
      <c r="K730" s="620">
        <v>75</v>
      </c>
      <c r="L730" s="620">
        <v>80</v>
      </c>
      <c r="M730" s="625"/>
    </row>
    <row r="731" spans="1:13" ht="15.75">
      <c r="A731" s="600"/>
      <c r="B731" s="626" t="s">
        <v>1011</v>
      </c>
      <c r="C731" s="619" t="s">
        <v>591</v>
      </c>
      <c r="D731" s="619"/>
      <c r="E731" s="619"/>
      <c r="F731" s="619"/>
      <c r="G731" s="620"/>
      <c r="H731" s="620"/>
      <c r="I731" s="620"/>
      <c r="J731" s="620">
        <v>95</v>
      </c>
      <c r="K731" s="620"/>
      <c r="L731" s="620"/>
      <c r="M731" s="625"/>
    </row>
    <row r="732" spans="1:13" ht="15.75">
      <c r="A732" s="600"/>
      <c r="B732" s="626" t="s">
        <v>1012</v>
      </c>
      <c r="C732" s="619" t="s">
        <v>373</v>
      </c>
      <c r="D732" s="619"/>
      <c r="E732" s="619"/>
      <c r="F732" s="619"/>
      <c r="G732" s="620"/>
      <c r="H732" s="620"/>
      <c r="I732" s="620"/>
      <c r="J732" s="620">
        <v>2500</v>
      </c>
      <c r="K732" s="620"/>
      <c r="L732" s="620"/>
      <c r="M732" s="625"/>
    </row>
    <row r="733" spans="1:13" ht="15.75">
      <c r="A733" s="600"/>
      <c r="B733" s="626" t="s">
        <v>1013</v>
      </c>
      <c r="C733" s="619" t="s">
        <v>373</v>
      </c>
      <c r="D733" s="619"/>
      <c r="E733" s="619"/>
      <c r="F733" s="619"/>
      <c r="G733" s="620"/>
      <c r="H733" s="620"/>
      <c r="I733" s="620"/>
      <c r="J733" s="620"/>
      <c r="K733" s="620"/>
      <c r="L733" s="620">
        <v>4500</v>
      </c>
      <c r="M733" s="625"/>
    </row>
    <row r="734" spans="1:13">
      <c r="A734" s="600"/>
      <c r="B734" s="625" t="s">
        <v>1014</v>
      </c>
      <c r="C734" s="619" t="s">
        <v>373</v>
      </c>
      <c r="D734" s="619"/>
      <c r="E734" s="619"/>
      <c r="F734" s="619"/>
      <c r="G734" s="620"/>
      <c r="H734" s="620"/>
      <c r="I734" s="620"/>
      <c r="J734" s="620"/>
      <c r="K734" s="620"/>
      <c r="L734" s="620">
        <v>5400</v>
      </c>
      <c r="M734" s="625"/>
    </row>
    <row r="735" spans="1:13">
      <c r="A735" s="600"/>
      <c r="B735" s="625" t="s">
        <v>1015</v>
      </c>
      <c r="C735" s="619" t="s">
        <v>16</v>
      </c>
      <c r="D735" s="619"/>
      <c r="E735" s="619"/>
      <c r="F735" s="619"/>
      <c r="G735" s="620"/>
      <c r="H735" s="620"/>
      <c r="I735" s="620"/>
      <c r="J735" s="620">
        <v>35</v>
      </c>
      <c r="K735" s="620"/>
      <c r="L735" s="620"/>
      <c r="M735" s="625"/>
    </row>
    <row r="736" spans="1:13">
      <c r="A736" s="600"/>
      <c r="B736" s="625" t="s">
        <v>1016</v>
      </c>
      <c r="C736" s="619" t="s">
        <v>21</v>
      </c>
      <c r="D736" s="619"/>
      <c r="E736" s="619"/>
      <c r="F736" s="619"/>
      <c r="G736" s="620"/>
      <c r="H736" s="620"/>
      <c r="I736" s="620"/>
      <c r="J736" s="620">
        <v>75</v>
      </c>
      <c r="K736" s="620">
        <v>95</v>
      </c>
      <c r="L736" s="620">
        <v>120</v>
      </c>
      <c r="M736" s="625"/>
    </row>
    <row r="737" spans="1:14">
      <c r="A737" s="600"/>
      <c r="B737" s="625" t="s">
        <v>1017</v>
      </c>
      <c r="C737" s="619" t="s">
        <v>605</v>
      </c>
      <c r="D737" s="619"/>
      <c r="E737" s="619"/>
      <c r="F737" s="619"/>
      <c r="G737" s="620"/>
      <c r="H737" s="620"/>
      <c r="I737" s="620"/>
      <c r="J737" s="620"/>
      <c r="K737" s="620"/>
      <c r="L737" s="620">
        <v>432</v>
      </c>
      <c r="M737" s="625"/>
    </row>
    <row r="738" spans="1:14">
      <c r="A738" s="600"/>
      <c r="B738" s="625" t="s">
        <v>1018</v>
      </c>
      <c r="C738" s="619" t="s">
        <v>350</v>
      </c>
      <c r="D738" s="619"/>
      <c r="E738" s="619"/>
      <c r="F738" s="619"/>
      <c r="G738" s="620"/>
      <c r="H738" s="620"/>
      <c r="I738" s="620"/>
      <c r="J738" s="620"/>
      <c r="K738" s="620"/>
      <c r="L738" s="620">
        <v>1180</v>
      </c>
      <c r="M738" s="625"/>
    </row>
    <row r="739" spans="1:14">
      <c r="A739" s="600"/>
      <c r="B739" s="625" t="s">
        <v>1019</v>
      </c>
      <c r="C739" s="619" t="s">
        <v>350</v>
      </c>
      <c r="D739" s="619"/>
      <c r="E739" s="619"/>
      <c r="F739" s="619"/>
      <c r="G739" s="620"/>
      <c r="H739" s="620"/>
      <c r="I739" s="620"/>
      <c r="J739" s="620"/>
      <c r="K739" s="620"/>
      <c r="L739" s="620">
        <v>880</v>
      </c>
      <c r="M739" s="625"/>
    </row>
    <row r="740" spans="1:14">
      <c r="A740" s="600"/>
      <c r="B740" s="625" t="s">
        <v>1020</v>
      </c>
      <c r="C740" s="619" t="s">
        <v>373</v>
      </c>
      <c r="D740" s="619"/>
      <c r="E740" s="619"/>
      <c r="F740" s="619"/>
      <c r="G740" s="620"/>
      <c r="H740" s="620"/>
      <c r="I740" s="620"/>
      <c r="J740" s="620"/>
      <c r="K740" s="620"/>
      <c r="L740" s="620">
        <v>350</v>
      </c>
      <c r="M740" s="625"/>
    </row>
    <row r="741" spans="1:14">
      <c r="A741" s="600"/>
      <c r="B741" s="625" t="s">
        <v>1021</v>
      </c>
      <c r="C741" s="619" t="s">
        <v>692</v>
      </c>
      <c r="D741" s="619"/>
      <c r="E741" s="619"/>
      <c r="F741" s="619"/>
      <c r="G741" s="620"/>
      <c r="H741" s="620"/>
      <c r="I741" s="620"/>
      <c r="J741" s="620"/>
      <c r="K741" s="620"/>
      <c r="L741" s="620">
        <v>1500</v>
      </c>
      <c r="M741" s="625"/>
    </row>
    <row r="742" spans="1:14">
      <c r="A742" s="600"/>
      <c r="B742" s="625" t="s">
        <v>1022</v>
      </c>
      <c r="C742" s="619" t="s">
        <v>749</v>
      </c>
      <c r="D742" s="619"/>
      <c r="E742" s="619"/>
      <c r="F742" s="619"/>
      <c r="G742" s="620"/>
      <c r="H742" s="620"/>
      <c r="I742" s="620"/>
      <c r="J742" s="620"/>
      <c r="K742" s="620"/>
      <c r="L742" s="620">
        <v>735</v>
      </c>
      <c r="M742" s="625"/>
    </row>
    <row r="743" spans="1:14">
      <c r="A743" s="600"/>
      <c r="B743" s="625" t="s">
        <v>1023</v>
      </c>
      <c r="C743" s="619" t="s">
        <v>21</v>
      </c>
      <c r="D743" s="619"/>
      <c r="E743" s="619"/>
      <c r="F743" s="619"/>
      <c r="G743" s="620"/>
      <c r="H743" s="620"/>
      <c r="I743" s="620"/>
      <c r="J743" s="620"/>
      <c r="K743" s="620"/>
      <c r="L743" s="620">
        <v>1560</v>
      </c>
      <c r="M743" s="625"/>
    </row>
    <row r="744" spans="1:14">
      <c r="A744" s="600"/>
      <c r="B744" s="625" t="s">
        <v>1024</v>
      </c>
      <c r="C744" s="619" t="s">
        <v>404</v>
      </c>
      <c r="D744" s="619"/>
      <c r="E744" s="619"/>
      <c r="F744" s="619"/>
      <c r="G744" s="620"/>
      <c r="H744" s="620"/>
      <c r="I744" s="620"/>
      <c r="J744" s="620"/>
      <c r="K744" s="620"/>
      <c r="L744" s="620">
        <v>19000</v>
      </c>
      <c r="M744" s="625"/>
    </row>
    <row r="745" spans="1:14">
      <c r="A745" s="600"/>
      <c r="B745" s="625" t="s">
        <v>1025</v>
      </c>
      <c r="C745" s="619" t="s">
        <v>1026</v>
      </c>
      <c r="D745" s="619"/>
      <c r="E745" s="619"/>
      <c r="F745" s="619"/>
      <c r="G745" s="620"/>
      <c r="H745" s="620"/>
      <c r="I745" s="620"/>
      <c r="J745" s="620"/>
      <c r="K745" s="620"/>
      <c r="L745" s="620">
        <v>550</v>
      </c>
      <c r="M745" s="625"/>
    </row>
    <row r="746" spans="1:14">
      <c r="A746" s="600"/>
      <c r="B746" s="625" t="s">
        <v>1027</v>
      </c>
      <c r="C746" s="619" t="s">
        <v>1026</v>
      </c>
      <c r="D746" s="619"/>
      <c r="E746" s="619"/>
      <c r="F746" s="619"/>
      <c r="G746" s="620"/>
      <c r="H746" s="620"/>
      <c r="I746" s="620"/>
      <c r="J746" s="620"/>
      <c r="K746" s="620"/>
      <c r="L746" s="620">
        <v>650</v>
      </c>
      <c r="M746" s="625"/>
    </row>
    <row r="747" spans="1:14" s="593" customFormat="1" ht="15.75">
      <c r="A747" s="606" t="s">
        <v>1028</v>
      </c>
      <c r="B747" s="607"/>
      <c r="C747" s="624"/>
      <c r="D747" s="624"/>
      <c r="E747" s="609"/>
      <c r="F747" s="610"/>
      <c r="G747" s="611"/>
      <c r="H747" s="611"/>
      <c r="I747" s="611"/>
      <c r="J747" s="633"/>
      <c r="K747" s="633"/>
      <c r="L747" s="634"/>
      <c r="M747" s="635"/>
    </row>
    <row r="748" spans="1:14" ht="15.75">
      <c r="A748" s="597"/>
      <c r="B748" s="626" t="s">
        <v>582</v>
      </c>
      <c r="C748" s="627" t="s">
        <v>299</v>
      </c>
      <c r="D748" s="627"/>
      <c r="E748" s="628"/>
      <c r="F748" s="619"/>
      <c r="G748" s="620"/>
      <c r="H748" s="620"/>
      <c r="I748" s="620"/>
      <c r="J748" s="620"/>
      <c r="K748" s="620">
        <v>235</v>
      </c>
      <c r="L748" s="620">
        <v>250</v>
      </c>
      <c r="M748" s="625"/>
    </row>
    <row r="749" spans="1:14" ht="15.75">
      <c r="A749" s="600"/>
      <c r="B749" s="626" t="s">
        <v>583</v>
      </c>
      <c r="C749" s="627" t="s">
        <v>238</v>
      </c>
      <c r="D749" s="627"/>
      <c r="E749" s="628"/>
      <c r="F749" s="619"/>
      <c r="G749" s="620"/>
      <c r="H749" s="620"/>
      <c r="I749" s="620"/>
      <c r="J749" s="620">
        <v>60</v>
      </c>
      <c r="K749" s="620">
        <v>70</v>
      </c>
      <c r="L749" s="620">
        <v>70</v>
      </c>
      <c r="M749" s="625"/>
    </row>
    <row r="750" spans="1:14" ht="15.75">
      <c r="A750" s="600"/>
      <c r="B750" s="626" t="s">
        <v>584</v>
      </c>
      <c r="C750" s="627" t="s">
        <v>585</v>
      </c>
      <c r="D750" s="627"/>
      <c r="E750" s="628"/>
      <c r="F750" s="619"/>
      <c r="G750" s="620"/>
      <c r="H750" s="620"/>
      <c r="I750" s="620"/>
      <c r="J750" s="620">
        <v>28</v>
      </c>
      <c r="K750" s="620">
        <v>25</v>
      </c>
      <c r="L750" s="620">
        <v>25</v>
      </c>
      <c r="M750" s="625"/>
      <c r="N750" s="646">
        <v>28</v>
      </c>
    </row>
    <row r="751" spans="1:14" ht="15.75">
      <c r="A751" s="600"/>
      <c r="B751" s="626" t="s">
        <v>586</v>
      </c>
      <c r="C751" s="627" t="s">
        <v>238</v>
      </c>
      <c r="D751" s="627"/>
      <c r="E751" s="628"/>
      <c r="F751" s="629">
        <v>75</v>
      </c>
      <c r="G751" s="620"/>
      <c r="H751" s="620"/>
      <c r="I751" s="620"/>
      <c r="J751" s="638">
        <v>60</v>
      </c>
      <c r="K751" s="620"/>
      <c r="L751" s="620"/>
      <c r="M751" s="625"/>
    </row>
    <row r="752" spans="1:14" ht="15.75">
      <c r="A752" s="600"/>
      <c r="B752" s="626" t="s">
        <v>587</v>
      </c>
      <c r="C752" s="627" t="s">
        <v>238</v>
      </c>
      <c r="D752" s="627"/>
      <c r="E752" s="628"/>
      <c r="F752" s="629">
        <v>120</v>
      </c>
      <c r="G752" s="620"/>
      <c r="H752" s="620"/>
      <c r="I752" s="620"/>
      <c r="J752" s="638">
        <v>120</v>
      </c>
      <c r="K752" s="620"/>
      <c r="L752" s="620"/>
      <c r="M752" s="625"/>
    </row>
    <row r="753" spans="1:14" ht="15.75">
      <c r="A753" s="600"/>
      <c r="B753" s="626" t="s">
        <v>588</v>
      </c>
      <c r="C753" s="627" t="s">
        <v>238</v>
      </c>
      <c r="D753" s="627"/>
      <c r="E753" s="628"/>
      <c r="F753" s="619"/>
      <c r="G753" s="620"/>
      <c r="H753" s="620"/>
      <c r="I753" s="620"/>
      <c r="J753" s="620">
        <v>120</v>
      </c>
      <c r="K753" s="620">
        <v>110</v>
      </c>
      <c r="L753" s="620">
        <v>110</v>
      </c>
      <c r="M753" s="625"/>
    </row>
    <row r="754" spans="1:14" ht="15.75">
      <c r="A754" s="600"/>
      <c r="B754" s="626" t="s">
        <v>589</v>
      </c>
      <c r="C754" s="627" t="s">
        <v>238</v>
      </c>
      <c r="D754" s="627"/>
      <c r="E754" s="628"/>
      <c r="F754" s="619"/>
      <c r="G754" s="620"/>
      <c r="H754" s="620"/>
      <c r="I754" s="620"/>
      <c r="J754" s="620">
        <v>120</v>
      </c>
      <c r="K754" s="620">
        <v>110</v>
      </c>
      <c r="L754" s="620">
        <v>110</v>
      </c>
      <c r="M754" s="625"/>
    </row>
    <row r="755" spans="1:14" ht="15.75">
      <c r="A755" s="600"/>
      <c r="B755" s="626" t="s">
        <v>590</v>
      </c>
      <c r="C755" s="627" t="s">
        <v>238</v>
      </c>
      <c r="D755" s="627"/>
      <c r="E755" s="628"/>
      <c r="F755" s="619"/>
      <c r="G755" s="620"/>
      <c r="H755" s="620"/>
      <c r="I755" s="620"/>
      <c r="J755" s="620">
        <v>75</v>
      </c>
      <c r="K755" s="620">
        <v>75</v>
      </c>
      <c r="L755" s="620">
        <v>70</v>
      </c>
      <c r="M755" s="625"/>
    </row>
    <row r="756" spans="1:14" ht="15.75">
      <c r="A756" s="600"/>
      <c r="B756" s="626" t="s">
        <v>590</v>
      </c>
      <c r="C756" s="627" t="s">
        <v>591</v>
      </c>
      <c r="D756" s="627"/>
      <c r="E756" s="628"/>
      <c r="F756" s="619"/>
      <c r="G756" s="620"/>
      <c r="H756" s="620"/>
      <c r="I756" s="620"/>
      <c r="J756" s="620">
        <v>1750</v>
      </c>
      <c r="K756" s="620">
        <v>1450</v>
      </c>
      <c r="L756" s="620">
        <v>1625</v>
      </c>
      <c r="M756" s="625"/>
    </row>
    <row r="757" spans="1:14" ht="15.75">
      <c r="A757" s="600"/>
      <c r="B757" s="626" t="s">
        <v>592</v>
      </c>
      <c r="C757" s="627" t="s">
        <v>238</v>
      </c>
      <c r="D757" s="627"/>
      <c r="E757" s="628"/>
      <c r="F757" s="619"/>
      <c r="G757" s="620"/>
      <c r="H757" s="620"/>
      <c r="I757" s="620"/>
      <c r="J757" s="620">
        <v>75</v>
      </c>
      <c r="K757" s="620">
        <v>78</v>
      </c>
      <c r="L757" s="620">
        <v>70</v>
      </c>
      <c r="M757" s="625"/>
    </row>
    <row r="758" spans="1:14" ht="15.75">
      <c r="A758" s="600"/>
      <c r="B758" s="626" t="s">
        <v>593</v>
      </c>
      <c r="C758" s="627" t="s">
        <v>238</v>
      </c>
      <c r="D758" s="627"/>
      <c r="E758" s="628"/>
      <c r="F758" s="619"/>
      <c r="G758" s="620"/>
      <c r="H758" s="620"/>
      <c r="I758" s="620"/>
      <c r="J758" s="620">
        <v>65</v>
      </c>
      <c r="K758" s="620">
        <v>75</v>
      </c>
      <c r="L758" s="620">
        <v>70</v>
      </c>
      <c r="M758" s="625"/>
    </row>
    <row r="759" spans="1:14" ht="15.75">
      <c r="A759" s="600"/>
      <c r="B759" s="626" t="s">
        <v>594</v>
      </c>
      <c r="C759" s="627" t="s">
        <v>238</v>
      </c>
      <c r="D759" s="627"/>
      <c r="E759" s="628"/>
      <c r="F759" s="619"/>
      <c r="G759" s="620"/>
      <c r="H759" s="620"/>
      <c r="I759" s="620"/>
      <c r="J759" s="620">
        <v>60</v>
      </c>
      <c r="K759" s="620">
        <v>70</v>
      </c>
      <c r="L759" s="620">
        <v>60</v>
      </c>
      <c r="M759" s="625"/>
    </row>
    <row r="760" spans="1:14" ht="15.75">
      <c r="A760" s="600"/>
      <c r="B760" s="626" t="s">
        <v>595</v>
      </c>
      <c r="C760" s="627" t="s">
        <v>591</v>
      </c>
      <c r="D760" s="627"/>
      <c r="E760" s="628"/>
      <c r="F760" s="619"/>
      <c r="G760" s="620"/>
      <c r="H760" s="620"/>
      <c r="I760" s="620"/>
      <c r="J760" s="620">
        <v>1625</v>
      </c>
      <c r="K760" s="620">
        <v>1200</v>
      </c>
      <c r="L760" s="620">
        <v>1250</v>
      </c>
      <c r="M760" s="625"/>
    </row>
    <row r="761" spans="1:14" ht="15.75">
      <c r="A761" s="600"/>
      <c r="B761" s="626" t="s">
        <v>596</v>
      </c>
      <c r="C761" s="627" t="s">
        <v>238</v>
      </c>
      <c r="D761" s="627"/>
      <c r="E761" s="628"/>
      <c r="F761" s="629">
        <v>90</v>
      </c>
      <c r="G761" s="620"/>
      <c r="H761" s="620"/>
      <c r="I761" s="620"/>
      <c r="J761" s="638">
        <v>80</v>
      </c>
      <c r="K761" s="620"/>
      <c r="L761" s="620">
        <v>90</v>
      </c>
      <c r="M761" s="625"/>
    </row>
    <row r="762" spans="1:14" ht="15.75">
      <c r="A762" s="600"/>
      <c r="B762" s="626" t="s">
        <v>597</v>
      </c>
      <c r="C762" s="627" t="s">
        <v>238</v>
      </c>
      <c r="D762" s="627"/>
      <c r="E762" s="628"/>
      <c r="F762" s="619"/>
      <c r="G762" s="620"/>
      <c r="H762" s="620"/>
      <c r="I762" s="620"/>
      <c r="J762" s="620">
        <v>85</v>
      </c>
      <c r="K762" s="620">
        <v>95</v>
      </c>
      <c r="L762" s="620">
        <v>90</v>
      </c>
      <c r="M762" s="625"/>
    </row>
    <row r="763" spans="1:14" ht="15.75">
      <c r="A763" s="600"/>
      <c r="B763" s="626" t="s">
        <v>598</v>
      </c>
      <c r="C763" s="627" t="s">
        <v>238</v>
      </c>
      <c r="D763" s="627"/>
      <c r="E763" s="628"/>
      <c r="F763" s="619"/>
      <c r="G763" s="620"/>
      <c r="H763" s="620"/>
      <c r="I763" s="620"/>
      <c r="J763" s="620">
        <v>85</v>
      </c>
      <c r="K763" s="620">
        <v>95</v>
      </c>
      <c r="L763" s="620">
        <v>90</v>
      </c>
      <c r="M763" s="625"/>
    </row>
    <row r="764" spans="1:14" ht="15.75">
      <c r="A764" s="600"/>
      <c r="B764" s="626" t="s">
        <v>599</v>
      </c>
      <c r="C764" s="627" t="s">
        <v>238</v>
      </c>
      <c r="D764" s="627"/>
      <c r="E764" s="628"/>
      <c r="F764" s="619"/>
      <c r="G764" s="620"/>
      <c r="H764" s="620"/>
      <c r="I764" s="620"/>
      <c r="J764" s="620">
        <v>85</v>
      </c>
      <c r="K764" s="620">
        <v>95</v>
      </c>
      <c r="L764" s="620">
        <v>90</v>
      </c>
      <c r="M764" s="625"/>
    </row>
    <row r="765" spans="1:14" ht="15.75">
      <c r="A765" s="600"/>
      <c r="B765" s="626" t="s">
        <v>600</v>
      </c>
      <c r="C765" s="627" t="s">
        <v>238</v>
      </c>
      <c r="D765" s="627"/>
      <c r="E765" s="628"/>
      <c r="F765" s="619"/>
      <c r="G765" s="620"/>
      <c r="H765" s="620"/>
      <c r="I765" s="620"/>
      <c r="J765" s="620">
        <v>85</v>
      </c>
      <c r="K765" s="620">
        <v>95</v>
      </c>
      <c r="L765" s="620">
        <v>90</v>
      </c>
      <c r="M765" s="625"/>
    </row>
    <row r="766" spans="1:14" ht="15.75">
      <c r="A766" s="600"/>
      <c r="B766" s="626" t="s">
        <v>601</v>
      </c>
      <c r="C766" s="627" t="s">
        <v>238</v>
      </c>
      <c r="D766" s="627"/>
      <c r="E766" s="628"/>
      <c r="F766" s="619"/>
      <c r="G766" s="620"/>
      <c r="H766" s="620"/>
      <c r="I766" s="620"/>
      <c r="J766" s="620">
        <v>85</v>
      </c>
      <c r="K766" s="620">
        <v>95</v>
      </c>
      <c r="L766" s="620">
        <v>90</v>
      </c>
      <c r="M766" s="625"/>
    </row>
    <row r="767" spans="1:14" ht="15.75">
      <c r="A767" s="600"/>
      <c r="B767" s="626" t="s">
        <v>602</v>
      </c>
      <c r="C767" s="627" t="s">
        <v>238</v>
      </c>
      <c r="D767" s="627"/>
      <c r="E767" s="628"/>
      <c r="F767" s="619"/>
      <c r="G767" s="620"/>
      <c r="H767" s="620"/>
      <c r="I767" s="620"/>
      <c r="J767" s="620">
        <v>95</v>
      </c>
      <c r="K767" s="620">
        <v>95</v>
      </c>
      <c r="L767" s="620">
        <v>120</v>
      </c>
      <c r="M767" s="625"/>
    </row>
    <row r="768" spans="1:14" ht="15.75">
      <c r="A768" s="600"/>
      <c r="B768" s="626" t="s">
        <v>603</v>
      </c>
      <c r="C768" s="627" t="s">
        <v>585</v>
      </c>
      <c r="D768" s="627"/>
      <c r="E768" s="628"/>
      <c r="F768" s="619"/>
      <c r="G768" s="620"/>
      <c r="H768" s="620"/>
      <c r="I768" s="620"/>
      <c r="J768" s="620">
        <v>40</v>
      </c>
      <c r="K768" s="620">
        <v>42</v>
      </c>
      <c r="L768" s="620">
        <v>42</v>
      </c>
      <c r="M768" s="625"/>
      <c r="N768" s="646">
        <v>46</v>
      </c>
    </row>
    <row r="769" spans="1:13" ht="15.75">
      <c r="A769" s="600"/>
      <c r="B769" s="626" t="s">
        <v>604</v>
      </c>
      <c r="C769" s="627" t="s">
        <v>605</v>
      </c>
      <c r="D769" s="627"/>
      <c r="E769" s="628"/>
      <c r="F769" s="619"/>
      <c r="G769" s="620"/>
      <c r="H769" s="620"/>
      <c r="I769" s="620"/>
      <c r="J769" s="620">
        <v>480</v>
      </c>
      <c r="K769" s="620">
        <v>450</v>
      </c>
      <c r="L769" s="620"/>
      <c r="M769" s="625"/>
    </row>
    <row r="770" spans="1:13" ht="15.75">
      <c r="A770" s="600"/>
      <c r="B770" s="626" t="s">
        <v>606</v>
      </c>
      <c r="C770" s="627" t="s">
        <v>238</v>
      </c>
      <c r="D770" s="627"/>
      <c r="E770" s="628"/>
      <c r="F770" s="619"/>
      <c r="G770" s="620"/>
      <c r="H770" s="620"/>
      <c r="I770" s="620"/>
      <c r="J770" s="620">
        <v>95</v>
      </c>
      <c r="K770" s="620">
        <v>130</v>
      </c>
      <c r="L770" s="620">
        <v>120</v>
      </c>
      <c r="M770" s="625"/>
    </row>
    <row r="771" spans="1:13" ht="15.75">
      <c r="A771" s="600"/>
      <c r="B771" s="626" t="s">
        <v>607</v>
      </c>
      <c r="C771" s="627" t="s">
        <v>373</v>
      </c>
      <c r="D771" s="627"/>
      <c r="E771" s="628"/>
      <c r="F771" s="619"/>
      <c r="G771" s="620"/>
      <c r="H771" s="620"/>
      <c r="I771" s="620"/>
      <c r="J771" s="620"/>
      <c r="K771" s="620">
        <v>245</v>
      </c>
      <c r="L771" s="620">
        <v>300</v>
      </c>
      <c r="M771" s="625"/>
    </row>
    <row r="772" spans="1:13" ht="15.75">
      <c r="A772" s="600"/>
      <c r="B772" s="626" t="s">
        <v>608</v>
      </c>
      <c r="C772" s="627" t="s">
        <v>585</v>
      </c>
      <c r="D772" s="627"/>
      <c r="E772" s="628"/>
      <c r="F772" s="619"/>
      <c r="G772" s="620"/>
      <c r="H772" s="620"/>
      <c r="I772" s="620"/>
      <c r="J772" s="620">
        <v>60</v>
      </c>
      <c r="K772" s="620">
        <v>48</v>
      </c>
      <c r="L772" s="620">
        <v>48</v>
      </c>
      <c r="M772" s="625"/>
    </row>
    <row r="773" spans="1:13" ht="15.75">
      <c r="A773" s="600"/>
      <c r="B773" s="626" t="s">
        <v>609</v>
      </c>
      <c r="C773" s="627" t="s">
        <v>605</v>
      </c>
      <c r="D773" s="627"/>
      <c r="E773" s="628"/>
      <c r="F773" s="619"/>
      <c r="G773" s="620"/>
      <c r="H773" s="620"/>
      <c r="I773" s="620"/>
      <c r="J773" s="620">
        <v>980</v>
      </c>
      <c r="K773" s="620">
        <v>890</v>
      </c>
      <c r="L773" s="620">
        <v>965</v>
      </c>
      <c r="M773" s="625"/>
    </row>
    <row r="774" spans="1:13" ht="15.75">
      <c r="A774" s="600"/>
      <c r="B774" s="626" t="s">
        <v>610</v>
      </c>
      <c r="C774" s="627" t="s">
        <v>605</v>
      </c>
      <c r="D774" s="627"/>
      <c r="E774" s="628"/>
      <c r="F774" s="629">
        <v>1250</v>
      </c>
      <c r="G774" s="620"/>
      <c r="H774" s="620"/>
      <c r="I774" s="620"/>
      <c r="J774" s="620">
        <v>1150</v>
      </c>
      <c r="K774" s="620"/>
      <c r="L774" s="620"/>
      <c r="M774" s="625"/>
    </row>
    <row r="775" spans="1:13" ht="15.75">
      <c r="A775" s="600"/>
      <c r="B775" s="626" t="s">
        <v>611</v>
      </c>
      <c r="C775" s="627" t="s">
        <v>612</v>
      </c>
      <c r="D775" s="627"/>
      <c r="E775" s="628"/>
      <c r="F775" s="629">
        <v>750</v>
      </c>
      <c r="G775" s="620"/>
      <c r="H775" s="620"/>
      <c r="I775" s="620"/>
      <c r="J775" s="620">
        <v>950</v>
      </c>
      <c r="K775" s="620">
        <v>850</v>
      </c>
      <c r="L775" s="620"/>
      <c r="M775" s="625"/>
    </row>
    <row r="776" spans="1:13" ht="15.75">
      <c r="A776" s="600"/>
      <c r="B776" s="626" t="s">
        <v>613</v>
      </c>
      <c r="C776" s="627" t="s">
        <v>605</v>
      </c>
      <c r="D776" s="627"/>
      <c r="E776" s="628"/>
      <c r="F776" s="619"/>
      <c r="G776" s="620"/>
      <c r="H776" s="620"/>
      <c r="I776" s="620"/>
      <c r="J776" s="620">
        <v>1150</v>
      </c>
      <c r="K776" s="620">
        <v>1250</v>
      </c>
      <c r="L776" s="620">
        <v>1350</v>
      </c>
      <c r="M776" s="625"/>
    </row>
    <row r="777" spans="1:13" ht="15.75">
      <c r="A777" s="600"/>
      <c r="B777" s="626" t="s">
        <v>614</v>
      </c>
      <c r="C777" s="627" t="s">
        <v>612</v>
      </c>
      <c r="D777" s="627"/>
      <c r="E777" s="628"/>
      <c r="F777" s="629">
        <v>420</v>
      </c>
      <c r="G777" s="620"/>
      <c r="H777" s="620"/>
      <c r="I777" s="620"/>
      <c r="J777" s="620">
        <v>450</v>
      </c>
      <c r="K777" s="620">
        <v>420</v>
      </c>
      <c r="L777" s="620">
        <v>450</v>
      </c>
      <c r="M777" s="625"/>
    </row>
    <row r="778" spans="1:13" ht="15.75">
      <c r="A778" s="600"/>
      <c r="B778" s="626" t="s">
        <v>615</v>
      </c>
      <c r="C778" s="627" t="s">
        <v>612</v>
      </c>
      <c r="D778" s="627"/>
      <c r="E778" s="628"/>
      <c r="F778" s="629">
        <v>1100</v>
      </c>
      <c r="G778" s="620"/>
      <c r="H778" s="620"/>
      <c r="I778" s="620"/>
      <c r="J778" s="620">
        <v>765</v>
      </c>
      <c r="K778" s="620"/>
      <c r="L778" s="620"/>
      <c r="M778" s="625"/>
    </row>
    <row r="779" spans="1:13" ht="15.75">
      <c r="A779" s="600"/>
      <c r="B779" s="626" t="s">
        <v>616</v>
      </c>
      <c r="C779" s="627" t="s">
        <v>612</v>
      </c>
      <c r="D779" s="627"/>
      <c r="E779" s="628"/>
      <c r="F779" s="629">
        <v>650</v>
      </c>
      <c r="G779" s="620"/>
      <c r="H779" s="620"/>
      <c r="I779" s="620"/>
      <c r="J779" s="620">
        <v>780</v>
      </c>
      <c r="K779" s="620">
        <v>650</v>
      </c>
      <c r="L779" s="620">
        <v>650</v>
      </c>
      <c r="M779" s="625"/>
    </row>
    <row r="780" spans="1:13" ht="15.75">
      <c r="A780" s="600"/>
      <c r="B780" s="626" t="s">
        <v>617</v>
      </c>
      <c r="C780" s="627" t="s">
        <v>605</v>
      </c>
      <c r="D780" s="627"/>
      <c r="E780" s="628"/>
      <c r="F780" s="619"/>
      <c r="G780" s="620"/>
      <c r="H780" s="620"/>
      <c r="I780" s="620"/>
      <c r="J780" s="620">
        <v>320</v>
      </c>
      <c r="K780" s="620">
        <v>360</v>
      </c>
      <c r="L780" s="620">
        <v>350</v>
      </c>
      <c r="M780" s="625"/>
    </row>
    <row r="781" spans="1:13" ht="15.75">
      <c r="A781" s="600"/>
      <c r="B781" s="626" t="s">
        <v>618</v>
      </c>
      <c r="C781" s="627" t="s">
        <v>612</v>
      </c>
      <c r="D781" s="627"/>
      <c r="E781" s="628"/>
      <c r="F781" s="629">
        <v>350</v>
      </c>
      <c r="G781" s="620"/>
      <c r="H781" s="620"/>
      <c r="I781" s="620"/>
      <c r="J781" s="620">
        <v>380</v>
      </c>
      <c r="K781" s="620">
        <v>390</v>
      </c>
      <c r="L781" s="620">
        <v>390</v>
      </c>
      <c r="M781" s="625"/>
    </row>
    <row r="782" spans="1:13" ht="15.75">
      <c r="A782" s="600"/>
      <c r="B782" s="626" t="s">
        <v>619</v>
      </c>
      <c r="C782" s="627" t="s">
        <v>373</v>
      </c>
      <c r="D782" s="627"/>
      <c r="E782" s="628"/>
      <c r="F782" s="619"/>
      <c r="G782" s="620"/>
      <c r="H782" s="620"/>
      <c r="I782" s="620"/>
      <c r="J782" s="620">
        <v>1050</v>
      </c>
      <c r="K782" s="620">
        <v>1090</v>
      </c>
      <c r="L782" s="620">
        <v>1100</v>
      </c>
      <c r="M782" s="625"/>
    </row>
    <row r="783" spans="1:13" ht="15.75">
      <c r="A783" s="600"/>
      <c r="B783" s="626" t="s">
        <v>620</v>
      </c>
      <c r="C783" s="627" t="s">
        <v>21</v>
      </c>
      <c r="D783" s="627"/>
      <c r="E783" s="628"/>
      <c r="F783" s="619"/>
      <c r="G783" s="620"/>
      <c r="H783" s="620"/>
      <c r="I783" s="620"/>
      <c r="J783" s="620">
        <v>75</v>
      </c>
      <c r="K783" s="620">
        <v>90</v>
      </c>
      <c r="L783" s="620">
        <v>90</v>
      </c>
      <c r="M783" s="625"/>
    </row>
    <row r="784" spans="1:13" ht="15.75">
      <c r="A784" s="600"/>
      <c r="B784" s="626" t="s">
        <v>621</v>
      </c>
      <c r="C784" s="627" t="s">
        <v>238</v>
      </c>
      <c r="D784" s="627"/>
      <c r="E784" s="628"/>
      <c r="F784" s="629">
        <v>120</v>
      </c>
      <c r="G784" s="620"/>
      <c r="H784" s="620"/>
      <c r="I784" s="620"/>
      <c r="J784" s="638">
        <v>95</v>
      </c>
      <c r="K784" s="620">
        <v>120</v>
      </c>
      <c r="L784" s="620">
        <v>120</v>
      </c>
      <c r="M784" s="625"/>
    </row>
    <row r="785" spans="1:29" ht="16.5">
      <c r="A785" s="674"/>
      <c r="B785" s="674" t="s">
        <v>1029</v>
      </c>
      <c r="C785" s="674" t="s">
        <v>307</v>
      </c>
      <c r="D785" s="674"/>
      <c r="E785" s="674"/>
      <c r="F785" s="674"/>
      <c r="G785" s="674"/>
      <c r="H785" s="674"/>
      <c r="I785" s="674"/>
      <c r="J785" s="674"/>
      <c r="K785" s="674"/>
      <c r="L785" s="674"/>
      <c r="M785" s="675">
        <v>3000</v>
      </c>
      <c r="N785" s="14"/>
      <c r="O785" s="854" t="s">
        <v>307</v>
      </c>
      <c r="P785" s="854"/>
      <c r="Q785" s="855">
        <v>1</v>
      </c>
      <c r="R785" s="856"/>
      <c r="S785" s="857"/>
      <c r="T785" s="858">
        <v>3000</v>
      </c>
      <c r="U785" s="859"/>
      <c r="V785" s="859"/>
      <c r="W785" s="860"/>
      <c r="X785" s="849">
        <f>T785*Q785</f>
        <v>3000</v>
      </c>
      <c r="Y785" s="850"/>
      <c r="Z785" s="850"/>
      <c r="AA785" s="850"/>
      <c r="AB785" s="850"/>
      <c r="AC785" s="851"/>
    </row>
    <row r="786" spans="1:29" s="593" customFormat="1" ht="15.75">
      <c r="A786" s="606" t="s">
        <v>1030</v>
      </c>
      <c r="B786" s="607"/>
      <c r="C786" s="624"/>
      <c r="D786" s="624"/>
      <c r="E786" s="609"/>
      <c r="F786" s="610"/>
      <c r="G786" s="611"/>
      <c r="H786" s="611"/>
      <c r="I786" s="611"/>
      <c r="J786" s="633"/>
      <c r="K786" s="633"/>
      <c r="L786" s="634"/>
      <c r="M786" s="635"/>
    </row>
    <row r="787" spans="1:29" ht="15.75">
      <c r="A787" s="597"/>
      <c r="B787" s="626"/>
      <c r="C787" s="617"/>
      <c r="D787" s="617"/>
      <c r="E787" s="603"/>
      <c r="F787" s="604"/>
      <c r="G787" s="605"/>
      <c r="H787" s="605"/>
      <c r="I787" s="605"/>
      <c r="J787" s="630"/>
      <c r="K787" s="630"/>
      <c r="L787" s="630"/>
      <c r="M787" s="632"/>
    </row>
    <row r="788" spans="1:29" ht="16.5">
      <c r="A788" s="600"/>
      <c r="B788" s="674" t="s">
        <v>1031</v>
      </c>
      <c r="C788" s="674"/>
      <c r="D788" s="619"/>
      <c r="E788" s="619"/>
      <c r="F788" s="619"/>
      <c r="G788" s="620"/>
      <c r="H788" s="620"/>
      <c r="I788" s="620"/>
      <c r="J788" s="620"/>
      <c r="K788" s="620"/>
      <c r="L788" s="620"/>
      <c r="M788" s="676">
        <v>250</v>
      </c>
      <c r="N788" s="637"/>
      <c r="O788" s="637"/>
      <c r="P788" s="637"/>
    </row>
    <row r="789" spans="1:29" ht="16.5">
      <c r="A789" s="600"/>
      <c r="B789" s="674" t="s">
        <v>1032</v>
      </c>
      <c r="C789" s="674"/>
      <c r="D789" s="619"/>
      <c r="E789" s="619"/>
      <c r="F789" s="619"/>
      <c r="G789" s="620"/>
      <c r="H789" s="620"/>
      <c r="I789" s="620"/>
      <c r="J789" s="620"/>
      <c r="K789" s="620"/>
      <c r="L789" s="620"/>
      <c r="M789" s="676">
        <v>250</v>
      </c>
      <c r="N789" s="637"/>
      <c r="O789" s="637"/>
      <c r="P789" s="637"/>
    </row>
    <row r="790" spans="1:29" ht="16.5">
      <c r="A790" s="600"/>
      <c r="B790" s="674" t="s">
        <v>1033</v>
      </c>
      <c r="C790" s="674"/>
      <c r="D790" s="619"/>
      <c r="E790" s="619"/>
      <c r="F790" s="619"/>
      <c r="G790" s="620"/>
      <c r="H790" s="620"/>
      <c r="I790" s="620"/>
      <c r="J790" s="620"/>
      <c r="K790" s="620"/>
      <c r="L790" s="620"/>
      <c r="M790" s="676">
        <v>260</v>
      </c>
      <c r="N790" s="637"/>
      <c r="O790" s="637"/>
      <c r="P790" s="637"/>
    </row>
    <row r="791" spans="1:29" ht="16.5">
      <c r="A791" s="600"/>
      <c r="B791" s="674" t="s">
        <v>1034</v>
      </c>
      <c r="C791" s="674"/>
      <c r="D791" s="619"/>
      <c r="E791" s="619"/>
      <c r="F791" s="619"/>
      <c r="G791" s="620"/>
      <c r="H791" s="620"/>
      <c r="I791" s="620"/>
      <c r="J791" s="620"/>
      <c r="K791" s="620"/>
      <c r="L791" s="620"/>
      <c r="M791" s="677">
        <v>100</v>
      </c>
      <c r="N791" s="678"/>
      <c r="O791" s="678"/>
      <c r="P791" s="679"/>
    </row>
    <row r="792" spans="1:29" ht="16.5">
      <c r="A792" s="600"/>
      <c r="B792" s="674" t="s">
        <v>1035</v>
      </c>
      <c r="C792" s="674"/>
      <c r="D792" s="619"/>
      <c r="E792" s="619"/>
      <c r="F792" s="619"/>
      <c r="G792" s="620"/>
      <c r="H792" s="620"/>
      <c r="I792" s="620"/>
      <c r="J792" s="620"/>
      <c r="K792" s="620"/>
      <c r="L792" s="620"/>
      <c r="M792" s="676">
        <v>5004.01</v>
      </c>
      <c r="N792" s="637"/>
      <c r="O792" s="637"/>
      <c r="P792" s="637"/>
    </row>
    <row r="793" spans="1:29">
      <c r="A793" s="600"/>
      <c r="B793" s="625"/>
      <c r="C793" s="619"/>
      <c r="D793" s="619"/>
      <c r="E793" s="619"/>
      <c r="F793" s="619"/>
      <c r="G793" s="620"/>
      <c r="H793" s="620"/>
      <c r="I793" s="620"/>
      <c r="J793" s="620"/>
      <c r="K793" s="620"/>
      <c r="L793" s="620"/>
      <c r="M793" s="625"/>
    </row>
  </sheetData>
  <mergeCells count="8">
    <mergeCell ref="E1:M1"/>
    <mergeCell ref="Q16:S16"/>
    <mergeCell ref="T16:W16"/>
    <mergeCell ref="X16:AC16"/>
    <mergeCell ref="O785:P785"/>
    <mergeCell ref="Q785:S785"/>
    <mergeCell ref="T785:W785"/>
    <mergeCell ref="X785:AC785"/>
  </mergeCells>
  <pageMargins left="0.7" right="0.7" top="0.75" bottom="0.75" header="0.3" footer="0.3"/>
  <pageSetup paperSize="9" orientation="portrait" horizontalDpi="360" verticalDpi="3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06"/>
  <sheetViews>
    <sheetView workbookViewId="0">
      <selection activeCell="O238" sqref="O238"/>
    </sheetView>
  </sheetViews>
  <sheetFormatPr defaultColWidth="9" defaultRowHeight="15"/>
  <cols>
    <col min="1" max="1" width="12" customWidth="1"/>
    <col min="2" max="2" width="47.42578125" customWidth="1"/>
    <col min="4" max="4" width="12" customWidth="1"/>
    <col min="5" max="5" width="5" customWidth="1"/>
    <col min="6" max="6" width="21" customWidth="1"/>
    <col min="8" max="11" width="11.5703125" customWidth="1"/>
    <col min="257" max="257" width="12" customWidth="1"/>
    <col min="258" max="258" width="39.7109375" customWidth="1"/>
    <col min="260" max="260" width="12" customWidth="1"/>
    <col min="261" max="261" width="5" customWidth="1"/>
    <col min="262" max="262" width="21" customWidth="1"/>
    <col min="264" max="267" width="11.5703125" customWidth="1"/>
    <col min="513" max="513" width="12" customWidth="1"/>
    <col min="514" max="514" width="39.7109375" customWidth="1"/>
    <col min="516" max="516" width="12" customWidth="1"/>
    <col min="517" max="517" width="5" customWidth="1"/>
    <col min="518" max="518" width="21" customWidth="1"/>
    <col min="520" max="523" width="11.5703125" customWidth="1"/>
    <col min="769" max="769" width="12" customWidth="1"/>
    <col min="770" max="770" width="39.7109375" customWidth="1"/>
    <col min="772" max="772" width="12" customWidth="1"/>
    <col min="773" max="773" width="5" customWidth="1"/>
    <col min="774" max="774" width="21" customWidth="1"/>
    <col min="776" max="779" width="11.5703125" customWidth="1"/>
    <col min="1025" max="1025" width="12" customWidth="1"/>
    <col min="1026" max="1026" width="39.7109375" customWidth="1"/>
    <col min="1028" max="1028" width="12" customWidth="1"/>
    <col min="1029" max="1029" width="5" customWidth="1"/>
    <col min="1030" max="1030" width="21" customWidth="1"/>
    <col min="1032" max="1035" width="11.5703125" customWidth="1"/>
    <col min="1281" max="1281" width="12" customWidth="1"/>
    <col min="1282" max="1282" width="39.7109375" customWidth="1"/>
    <col min="1284" max="1284" width="12" customWidth="1"/>
    <col min="1285" max="1285" width="5" customWidth="1"/>
    <col min="1286" max="1286" width="21" customWidth="1"/>
    <col min="1288" max="1291" width="11.5703125" customWidth="1"/>
    <col min="1537" max="1537" width="12" customWidth="1"/>
    <col min="1538" max="1538" width="39.7109375" customWidth="1"/>
    <col min="1540" max="1540" width="12" customWidth="1"/>
    <col min="1541" max="1541" width="5" customWidth="1"/>
    <col min="1542" max="1542" width="21" customWidth="1"/>
    <col min="1544" max="1547" width="11.5703125" customWidth="1"/>
    <col min="1793" max="1793" width="12" customWidth="1"/>
    <col min="1794" max="1794" width="39.7109375" customWidth="1"/>
    <col min="1796" max="1796" width="12" customWidth="1"/>
    <col min="1797" max="1797" width="5" customWidth="1"/>
    <col min="1798" max="1798" width="21" customWidth="1"/>
    <col min="1800" max="1803" width="11.5703125" customWidth="1"/>
    <col min="2049" max="2049" width="12" customWidth="1"/>
    <col min="2050" max="2050" width="39.7109375" customWidth="1"/>
    <col min="2052" max="2052" width="12" customWidth="1"/>
    <col min="2053" max="2053" width="5" customWidth="1"/>
    <col min="2054" max="2054" width="21" customWidth="1"/>
    <col min="2056" max="2059" width="11.5703125" customWidth="1"/>
    <col min="2305" max="2305" width="12" customWidth="1"/>
    <col min="2306" max="2306" width="39.7109375" customWidth="1"/>
    <col min="2308" max="2308" width="12" customWidth="1"/>
    <col min="2309" max="2309" width="5" customWidth="1"/>
    <col min="2310" max="2310" width="21" customWidth="1"/>
    <col min="2312" max="2315" width="11.5703125" customWidth="1"/>
    <col min="2561" max="2561" width="12" customWidth="1"/>
    <col min="2562" max="2562" width="39.7109375" customWidth="1"/>
    <col min="2564" max="2564" width="12" customWidth="1"/>
    <col min="2565" max="2565" width="5" customWidth="1"/>
    <col min="2566" max="2566" width="21" customWidth="1"/>
    <col min="2568" max="2571" width="11.5703125" customWidth="1"/>
    <col min="2817" max="2817" width="12" customWidth="1"/>
    <col min="2818" max="2818" width="39.7109375" customWidth="1"/>
    <col min="2820" max="2820" width="12" customWidth="1"/>
    <col min="2821" max="2821" width="5" customWidth="1"/>
    <col min="2822" max="2822" width="21" customWidth="1"/>
    <col min="2824" max="2827" width="11.5703125" customWidth="1"/>
    <col min="3073" max="3073" width="12" customWidth="1"/>
    <col min="3074" max="3074" width="39.7109375" customWidth="1"/>
    <col min="3076" max="3076" width="12" customWidth="1"/>
    <col min="3077" max="3077" width="5" customWidth="1"/>
    <col min="3078" max="3078" width="21" customWidth="1"/>
    <col min="3080" max="3083" width="11.5703125" customWidth="1"/>
    <col min="3329" max="3329" width="12" customWidth="1"/>
    <col min="3330" max="3330" width="39.7109375" customWidth="1"/>
    <col min="3332" max="3332" width="12" customWidth="1"/>
    <col min="3333" max="3333" width="5" customWidth="1"/>
    <col min="3334" max="3334" width="21" customWidth="1"/>
    <col min="3336" max="3339" width="11.5703125" customWidth="1"/>
    <col min="3585" max="3585" width="12" customWidth="1"/>
    <col min="3586" max="3586" width="39.7109375" customWidth="1"/>
    <col min="3588" max="3588" width="12" customWidth="1"/>
    <col min="3589" max="3589" width="5" customWidth="1"/>
    <col min="3590" max="3590" width="21" customWidth="1"/>
    <col min="3592" max="3595" width="11.5703125" customWidth="1"/>
    <col min="3841" max="3841" width="12" customWidth="1"/>
    <col min="3842" max="3842" width="39.7109375" customWidth="1"/>
    <col min="3844" max="3844" width="12" customWidth="1"/>
    <col min="3845" max="3845" width="5" customWidth="1"/>
    <col min="3846" max="3846" width="21" customWidth="1"/>
    <col min="3848" max="3851" width="11.5703125" customWidth="1"/>
    <col min="4097" max="4097" width="12" customWidth="1"/>
    <col min="4098" max="4098" width="39.7109375" customWidth="1"/>
    <col min="4100" max="4100" width="12" customWidth="1"/>
    <col min="4101" max="4101" width="5" customWidth="1"/>
    <col min="4102" max="4102" width="21" customWidth="1"/>
    <col min="4104" max="4107" width="11.5703125" customWidth="1"/>
    <col min="4353" max="4353" width="12" customWidth="1"/>
    <col min="4354" max="4354" width="39.7109375" customWidth="1"/>
    <col min="4356" max="4356" width="12" customWidth="1"/>
    <col min="4357" max="4357" width="5" customWidth="1"/>
    <col min="4358" max="4358" width="21" customWidth="1"/>
    <col min="4360" max="4363" width="11.5703125" customWidth="1"/>
    <col min="4609" max="4609" width="12" customWidth="1"/>
    <col min="4610" max="4610" width="39.7109375" customWidth="1"/>
    <col min="4612" max="4612" width="12" customWidth="1"/>
    <col min="4613" max="4613" width="5" customWidth="1"/>
    <col min="4614" max="4614" width="21" customWidth="1"/>
    <col min="4616" max="4619" width="11.5703125" customWidth="1"/>
    <col min="4865" max="4865" width="12" customWidth="1"/>
    <col min="4866" max="4866" width="39.7109375" customWidth="1"/>
    <col min="4868" max="4868" width="12" customWidth="1"/>
    <col min="4869" max="4869" width="5" customWidth="1"/>
    <col min="4870" max="4870" width="21" customWidth="1"/>
    <col min="4872" max="4875" width="11.5703125" customWidth="1"/>
    <col min="5121" max="5121" width="12" customWidth="1"/>
    <col min="5122" max="5122" width="39.7109375" customWidth="1"/>
    <col min="5124" max="5124" width="12" customWidth="1"/>
    <col min="5125" max="5125" width="5" customWidth="1"/>
    <col min="5126" max="5126" width="21" customWidth="1"/>
    <col min="5128" max="5131" width="11.5703125" customWidth="1"/>
    <col min="5377" max="5377" width="12" customWidth="1"/>
    <col min="5378" max="5378" width="39.7109375" customWidth="1"/>
    <col min="5380" max="5380" width="12" customWidth="1"/>
    <col min="5381" max="5381" width="5" customWidth="1"/>
    <col min="5382" max="5382" width="21" customWidth="1"/>
    <col min="5384" max="5387" width="11.5703125" customWidth="1"/>
    <col min="5633" max="5633" width="12" customWidth="1"/>
    <col min="5634" max="5634" width="39.7109375" customWidth="1"/>
    <col min="5636" max="5636" width="12" customWidth="1"/>
    <col min="5637" max="5637" width="5" customWidth="1"/>
    <col min="5638" max="5638" width="21" customWidth="1"/>
    <col min="5640" max="5643" width="11.5703125" customWidth="1"/>
    <col min="5889" max="5889" width="12" customWidth="1"/>
    <col min="5890" max="5890" width="39.7109375" customWidth="1"/>
    <col min="5892" max="5892" width="12" customWidth="1"/>
    <col min="5893" max="5893" width="5" customWidth="1"/>
    <col min="5894" max="5894" width="21" customWidth="1"/>
    <col min="5896" max="5899" width="11.5703125" customWidth="1"/>
    <col min="6145" max="6145" width="12" customWidth="1"/>
    <col min="6146" max="6146" width="39.7109375" customWidth="1"/>
    <col min="6148" max="6148" width="12" customWidth="1"/>
    <col min="6149" max="6149" width="5" customWidth="1"/>
    <col min="6150" max="6150" width="21" customWidth="1"/>
    <col min="6152" max="6155" width="11.5703125" customWidth="1"/>
    <col min="6401" max="6401" width="12" customWidth="1"/>
    <col min="6402" max="6402" width="39.7109375" customWidth="1"/>
    <col min="6404" max="6404" width="12" customWidth="1"/>
    <col min="6405" max="6405" width="5" customWidth="1"/>
    <col min="6406" max="6406" width="21" customWidth="1"/>
    <col min="6408" max="6411" width="11.5703125" customWidth="1"/>
    <col min="6657" max="6657" width="12" customWidth="1"/>
    <col min="6658" max="6658" width="39.7109375" customWidth="1"/>
    <col min="6660" max="6660" width="12" customWidth="1"/>
    <col min="6661" max="6661" width="5" customWidth="1"/>
    <col min="6662" max="6662" width="21" customWidth="1"/>
    <col min="6664" max="6667" width="11.5703125" customWidth="1"/>
    <col min="6913" max="6913" width="12" customWidth="1"/>
    <col min="6914" max="6914" width="39.7109375" customWidth="1"/>
    <col min="6916" max="6916" width="12" customWidth="1"/>
    <col min="6917" max="6917" width="5" customWidth="1"/>
    <col min="6918" max="6918" width="21" customWidth="1"/>
    <col min="6920" max="6923" width="11.5703125" customWidth="1"/>
    <col min="7169" max="7169" width="12" customWidth="1"/>
    <col min="7170" max="7170" width="39.7109375" customWidth="1"/>
    <col min="7172" max="7172" width="12" customWidth="1"/>
    <col min="7173" max="7173" width="5" customWidth="1"/>
    <col min="7174" max="7174" width="21" customWidth="1"/>
    <col min="7176" max="7179" width="11.5703125" customWidth="1"/>
    <col min="7425" max="7425" width="12" customWidth="1"/>
    <col min="7426" max="7426" width="39.7109375" customWidth="1"/>
    <col min="7428" max="7428" width="12" customWidth="1"/>
    <col min="7429" max="7429" width="5" customWidth="1"/>
    <col min="7430" max="7430" width="21" customWidth="1"/>
    <col min="7432" max="7435" width="11.5703125" customWidth="1"/>
    <col min="7681" max="7681" width="12" customWidth="1"/>
    <col min="7682" max="7682" width="39.7109375" customWidth="1"/>
    <col min="7684" max="7684" width="12" customWidth="1"/>
    <col min="7685" max="7685" width="5" customWidth="1"/>
    <col min="7686" max="7686" width="21" customWidth="1"/>
    <col min="7688" max="7691" width="11.5703125" customWidth="1"/>
    <col min="7937" max="7937" width="12" customWidth="1"/>
    <col min="7938" max="7938" width="39.7109375" customWidth="1"/>
    <col min="7940" max="7940" width="12" customWidth="1"/>
    <col min="7941" max="7941" width="5" customWidth="1"/>
    <col min="7942" max="7942" width="21" customWidth="1"/>
    <col min="7944" max="7947" width="11.5703125" customWidth="1"/>
    <col min="8193" max="8193" width="12" customWidth="1"/>
    <col min="8194" max="8194" width="39.7109375" customWidth="1"/>
    <col min="8196" max="8196" width="12" customWidth="1"/>
    <col min="8197" max="8197" width="5" customWidth="1"/>
    <col min="8198" max="8198" width="21" customWidth="1"/>
    <col min="8200" max="8203" width="11.5703125" customWidth="1"/>
    <col min="8449" max="8449" width="12" customWidth="1"/>
    <col min="8450" max="8450" width="39.7109375" customWidth="1"/>
    <col min="8452" max="8452" width="12" customWidth="1"/>
    <col min="8453" max="8453" width="5" customWidth="1"/>
    <col min="8454" max="8454" width="21" customWidth="1"/>
    <col min="8456" max="8459" width="11.5703125" customWidth="1"/>
    <col min="8705" max="8705" width="12" customWidth="1"/>
    <col min="8706" max="8706" width="39.7109375" customWidth="1"/>
    <col min="8708" max="8708" width="12" customWidth="1"/>
    <col min="8709" max="8709" width="5" customWidth="1"/>
    <col min="8710" max="8710" width="21" customWidth="1"/>
    <col min="8712" max="8715" width="11.5703125" customWidth="1"/>
    <col min="8961" max="8961" width="12" customWidth="1"/>
    <col min="8962" max="8962" width="39.7109375" customWidth="1"/>
    <col min="8964" max="8964" width="12" customWidth="1"/>
    <col min="8965" max="8965" width="5" customWidth="1"/>
    <col min="8966" max="8966" width="21" customWidth="1"/>
    <col min="8968" max="8971" width="11.5703125" customWidth="1"/>
    <col min="9217" max="9217" width="12" customWidth="1"/>
    <col min="9218" max="9218" width="39.7109375" customWidth="1"/>
    <col min="9220" max="9220" width="12" customWidth="1"/>
    <col min="9221" max="9221" width="5" customWidth="1"/>
    <col min="9222" max="9222" width="21" customWidth="1"/>
    <col min="9224" max="9227" width="11.5703125" customWidth="1"/>
    <col min="9473" max="9473" width="12" customWidth="1"/>
    <col min="9474" max="9474" width="39.7109375" customWidth="1"/>
    <col min="9476" max="9476" width="12" customWidth="1"/>
    <col min="9477" max="9477" width="5" customWidth="1"/>
    <col min="9478" max="9478" width="21" customWidth="1"/>
    <col min="9480" max="9483" width="11.5703125" customWidth="1"/>
    <col min="9729" max="9729" width="12" customWidth="1"/>
    <col min="9730" max="9730" width="39.7109375" customWidth="1"/>
    <col min="9732" max="9732" width="12" customWidth="1"/>
    <col min="9733" max="9733" width="5" customWidth="1"/>
    <col min="9734" max="9734" width="21" customWidth="1"/>
    <col min="9736" max="9739" width="11.5703125" customWidth="1"/>
    <col min="9985" max="9985" width="12" customWidth="1"/>
    <col min="9986" max="9986" width="39.7109375" customWidth="1"/>
    <col min="9988" max="9988" width="12" customWidth="1"/>
    <col min="9989" max="9989" width="5" customWidth="1"/>
    <col min="9990" max="9990" width="21" customWidth="1"/>
    <col min="9992" max="9995" width="11.5703125" customWidth="1"/>
    <col min="10241" max="10241" width="12" customWidth="1"/>
    <col min="10242" max="10242" width="39.7109375" customWidth="1"/>
    <col min="10244" max="10244" width="12" customWidth="1"/>
    <col min="10245" max="10245" width="5" customWidth="1"/>
    <col min="10246" max="10246" width="21" customWidth="1"/>
    <col min="10248" max="10251" width="11.5703125" customWidth="1"/>
    <col min="10497" max="10497" width="12" customWidth="1"/>
    <col min="10498" max="10498" width="39.7109375" customWidth="1"/>
    <col min="10500" max="10500" width="12" customWidth="1"/>
    <col min="10501" max="10501" width="5" customWidth="1"/>
    <col min="10502" max="10502" width="21" customWidth="1"/>
    <col min="10504" max="10507" width="11.5703125" customWidth="1"/>
    <col min="10753" max="10753" width="12" customWidth="1"/>
    <col min="10754" max="10754" width="39.7109375" customWidth="1"/>
    <col min="10756" max="10756" width="12" customWidth="1"/>
    <col min="10757" max="10757" width="5" customWidth="1"/>
    <col min="10758" max="10758" width="21" customWidth="1"/>
    <col min="10760" max="10763" width="11.5703125" customWidth="1"/>
    <col min="11009" max="11009" width="12" customWidth="1"/>
    <col min="11010" max="11010" width="39.7109375" customWidth="1"/>
    <col min="11012" max="11012" width="12" customWidth="1"/>
    <col min="11013" max="11013" width="5" customWidth="1"/>
    <col min="11014" max="11014" width="21" customWidth="1"/>
    <col min="11016" max="11019" width="11.5703125" customWidth="1"/>
    <col min="11265" max="11265" width="12" customWidth="1"/>
    <col min="11266" max="11266" width="39.7109375" customWidth="1"/>
    <col min="11268" max="11268" width="12" customWidth="1"/>
    <col min="11269" max="11269" width="5" customWidth="1"/>
    <col min="11270" max="11270" width="21" customWidth="1"/>
    <col min="11272" max="11275" width="11.5703125" customWidth="1"/>
    <col min="11521" max="11521" width="12" customWidth="1"/>
    <col min="11522" max="11522" width="39.7109375" customWidth="1"/>
    <col min="11524" max="11524" width="12" customWidth="1"/>
    <col min="11525" max="11525" width="5" customWidth="1"/>
    <col min="11526" max="11526" width="21" customWidth="1"/>
    <col min="11528" max="11531" width="11.5703125" customWidth="1"/>
    <col min="11777" max="11777" width="12" customWidth="1"/>
    <col min="11778" max="11778" width="39.7109375" customWidth="1"/>
    <col min="11780" max="11780" width="12" customWidth="1"/>
    <col min="11781" max="11781" width="5" customWidth="1"/>
    <col min="11782" max="11782" width="21" customWidth="1"/>
    <col min="11784" max="11787" width="11.5703125" customWidth="1"/>
    <col min="12033" max="12033" width="12" customWidth="1"/>
    <col min="12034" max="12034" width="39.7109375" customWidth="1"/>
    <col min="12036" max="12036" width="12" customWidth="1"/>
    <col min="12037" max="12037" width="5" customWidth="1"/>
    <col min="12038" max="12038" width="21" customWidth="1"/>
    <col min="12040" max="12043" width="11.5703125" customWidth="1"/>
    <col min="12289" max="12289" width="12" customWidth="1"/>
    <col min="12290" max="12290" width="39.7109375" customWidth="1"/>
    <col min="12292" max="12292" width="12" customWidth="1"/>
    <col min="12293" max="12293" width="5" customWidth="1"/>
    <col min="12294" max="12294" width="21" customWidth="1"/>
    <col min="12296" max="12299" width="11.5703125" customWidth="1"/>
    <col min="12545" max="12545" width="12" customWidth="1"/>
    <col min="12546" max="12546" width="39.7109375" customWidth="1"/>
    <col min="12548" max="12548" width="12" customWidth="1"/>
    <col min="12549" max="12549" width="5" customWidth="1"/>
    <col min="12550" max="12550" width="21" customWidth="1"/>
    <col min="12552" max="12555" width="11.5703125" customWidth="1"/>
    <col min="12801" max="12801" width="12" customWidth="1"/>
    <col min="12802" max="12802" width="39.7109375" customWidth="1"/>
    <col min="12804" max="12804" width="12" customWidth="1"/>
    <col min="12805" max="12805" width="5" customWidth="1"/>
    <col min="12806" max="12806" width="21" customWidth="1"/>
    <col min="12808" max="12811" width="11.5703125" customWidth="1"/>
    <col min="13057" max="13057" width="12" customWidth="1"/>
    <col min="13058" max="13058" width="39.7109375" customWidth="1"/>
    <col min="13060" max="13060" width="12" customWidth="1"/>
    <col min="13061" max="13061" width="5" customWidth="1"/>
    <col min="13062" max="13062" width="21" customWidth="1"/>
    <col min="13064" max="13067" width="11.5703125" customWidth="1"/>
    <col min="13313" max="13313" width="12" customWidth="1"/>
    <col min="13314" max="13314" width="39.7109375" customWidth="1"/>
    <col min="13316" max="13316" width="12" customWidth="1"/>
    <col min="13317" max="13317" width="5" customWidth="1"/>
    <col min="13318" max="13318" width="21" customWidth="1"/>
    <col min="13320" max="13323" width="11.5703125" customWidth="1"/>
    <col min="13569" max="13569" width="12" customWidth="1"/>
    <col min="13570" max="13570" width="39.7109375" customWidth="1"/>
    <col min="13572" max="13572" width="12" customWidth="1"/>
    <col min="13573" max="13573" width="5" customWidth="1"/>
    <col min="13574" max="13574" width="21" customWidth="1"/>
    <col min="13576" max="13579" width="11.5703125" customWidth="1"/>
    <col min="13825" max="13825" width="12" customWidth="1"/>
    <col min="13826" max="13826" width="39.7109375" customWidth="1"/>
    <col min="13828" max="13828" width="12" customWidth="1"/>
    <col min="13829" max="13829" width="5" customWidth="1"/>
    <col min="13830" max="13830" width="21" customWidth="1"/>
    <col min="13832" max="13835" width="11.5703125" customWidth="1"/>
    <col min="14081" max="14081" width="12" customWidth="1"/>
    <col min="14082" max="14082" width="39.7109375" customWidth="1"/>
    <col min="14084" max="14084" width="12" customWidth="1"/>
    <col min="14085" max="14085" width="5" customWidth="1"/>
    <col min="14086" max="14086" width="21" customWidth="1"/>
    <col min="14088" max="14091" width="11.5703125" customWidth="1"/>
    <col min="14337" max="14337" width="12" customWidth="1"/>
    <col min="14338" max="14338" width="39.7109375" customWidth="1"/>
    <col min="14340" max="14340" width="12" customWidth="1"/>
    <col min="14341" max="14341" width="5" customWidth="1"/>
    <col min="14342" max="14342" width="21" customWidth="1"/>
    <col min="14344" max="14347" width="11.5703125" customWidth="1"/>
    <col min="14593" max="14593" width="12" customWidth="1"/>
    <col min="14594" max="14594" width="39.7109375" customWidth="1"/>
    <col min="14596" max="14596" width="12" customWidth="1"/>
    <col min="14597" max="14597" width="5" customWidth="1"/>
    <col min="14598" max="14598" width="21" customWidth="1"/>
    <col min="14600" max="14603" width="11.5703125" customWidth="1"/>
    <col min="14849" max="14849" width="12" customWidth="1"/>
    <col min="14850" max="14850" width="39.7109375" customWidth="1"/>
    <col min="14852" max="14852" width="12" customWidth="1"/>
    <col min="14853" max="14853" width="5" customWidth="1"/>
    <col min="14854" max="14854" width="21" customWidth="1"/>
    <col min="14856" max="14859" width="11.5703125" customWidth="1"/>
    <col min="15105" max="15105" width="12" customWidth="1"/>
    <col min="15106" max="15106" width="39.7109375" customWidth="1"/>
    <col min="15108" max="15108" width="12" customWidth="1"/>
    <col min="15109" max="15109" width="5" customWidth="1"/>
    <col min="15110" max="15110" width="21" customWidth="1"/>
    <col min="15112" max="15115" width="11.5703125" customWidth="1"/>
    <col min="15361" max="15361" width="12" customWidth="1"/>
    <col min="15362" max="15362" width="39.7109375" customWidth="1"/>
    <col min="15364" max="15364" width="12" customWidth="1"/>
    <col min="15365" max="15365" width="5" customWidth="1"/>
    <col min="15366" max="15366" width="21" customWidth="1"/>
    <col min="15368" max="15371" width="11.5703125" customWidth="1"/>
    <col min="15617" max="15617" width="12" customWidth="1"/>
    <col min="15618" max="15618" width="39.7109375" customWidth="1"/>
    <col min="15620" max="15620" width="12" customWidth="1"/>
    <col min="15621" max="15621" width="5" customWidth="1"/>
    <col min="15622" max="15622" width="21" customWidth="1"/>
    <col min="15624" max="15627" width="11.5703125" customWidth="1"/>
    <col min="15873" max="15873" width="12" customWidth="1"/>
    <col min="15874" max="15874" width="39.7109375" customWidth="1"/>
    <col min="15876" max="15876" width="12" customWidth="1"/>
    <col min="15877" max="15877" width="5" customWidth="1"/>
    <col min="15878" max="15878" width="21" customWidth="1"/>
    <col min="15880" max="15883" width="11.5703125" customWidth="1"/>
    <col min="16129" max="16129" width="12" customWidth="1"/>
    <col min="16130" max="16130" width="39.7109375" customWidth="1"/>
    <col min="16132" max="16132" width="12" customWidth="1"/>
    <col min="16133" max="16133" width="5" customWidth="1"/>
    <col min="16134" max="16134" width="21" customWidth="1"/>
    <col min="16136" max="16139" width="11.5703125" customWidth="1"/>
  </cols>
  <sheetData>
    <row r="1" spans="1:6">
      <c r="A1" s="837" t="s">
        <v>1036</v>
      </c>
      <c r="B1" s="837"/>
      <c r="C1" s="837"/>
      <c r="D1" s="837"/>
      <c r="E1" s="837"/>
      <c r="F1" s="837"/>
    </row>
    <row r="2" spans="1:6">
      <c r="A2" s="838" t="s">
        <v>1037</v>
      </c>
      <c r="B2" s="867"/>
      <c r="C2" s="867"/>
      <c r="D2" s="867"/>
      <c r="E2" s="867"/>
      <c r="F2" s="868"/>
    </row>
    <row r="3" spans="1:6">
      <c r="A3" s="838" t="s">
        <v>1038</v>
      </c>
      <c r="B3" s="867"/>
      <c r="C3" s="867"/>
      <c r="D3" s="867"/>
      <c r="E3" s="867"/>
      <c r="F3" s="868"/>
    </row>
    <row r="4" spans="1:6">
      <c r="A4" s="869"/>
      <c r="B4" s="870"/>
      <c r="C4" s="870"/>
      <c r="D4" s="870"/>
      <c r="E4" s="870"/>
      <c r="F4" s="871"/>
    </row>
    <row r="5" spans="1:6" ht="15.75">
      <c r="A5" s="845" t="s">
        <v>1039</v>
      </c>
      <c r="B5" s="845"/>
      <c r="C5" s="845"/>
      <c r="D5" s="872"/>
      <c r="E5" s="537" t="s">
        <v>1040</v>
      </c>
      <c r="F5" s="538" t="s">
        <v>1041</v>
      </c>
    </row>
    <row r="6" spans="1:6">
      <c r="A6" s="539" t="s">
        <v>1042</v>
      </c>
      <c r="B6" s="873"/>
      <c r="C6" s="873"/>
      <c r="D6" s="874"/>
      <c r="E6" s="540"/>
      <c r="F6" s="541"/>
    </row>
    <row r="7" spans="1:6">
      <c r="A7" s="539" t="s">
        <v>1043</v>
      </c>
      <c r="B7" s="918" t="s">
        <v>1044</v>
      </c>
      <c r="C7" s="918"/>
      <c r="D7" s="919"/>
      <c r="E7" s="542" t="s">
        <v>1045</v>
      </c>
      <c r="F7" s="543"/>
    </row>
    <row r="8" spans="1:6">
      <c r="A8" s="544" t="s">
        <v>1046</v>
      </c>
      <c r="B8" s="877" t="s">
        <v>1047</v>
      </c>
      <c r="C8" s="877"/>
      <c r="D8" s="865"/>
      <c r="E8" s="545"/>
      <c r="F8" s="546"/>
    </row>
    <row r="9" spans="1:6">
      <c r="A9" s="544" t="s">
        <v>1048</v>
      </c>
      <c r="B9" s="889" t="s">
        <v>1049</v>
      </c>
      <c r="C9" s="889" t="s">
        <v>1050</v>
      </c>
      <c r="D9" s="547" t="s">
        <v>1051</v>
      </c>
      <c r="E9" s="861" t="s">
        <v>1052</v>
      </c>
      <c r="F9" s="862"/>
    </row>
    <row r="10" spans="1:6">
      <c r="A10" s="548" t="s">
        <v>1053</v>
      </c>
      <c r="B10" s="890"/>
      <c r="C10" s="890"/>
      <c r="D10" s="549" t="s">
        <v>1054</v>
      </c>
      <c r="E10" s="863"/>
      <c r="F10" s="864"/>
    </row>
    <row r="11" spans="1:6">
      <c r="A11" s="544"/>
      <c r="B11" s="550" t="s">
        <v>1055</v>
      </c>
      <c r="C11" s="544"/>
      <c r="D11" s="540">
        <v>300</v>
      </c>
      <c r="E11" s="542"/>
      <c r="F11" s="541"/>
    </row>
    <row r="12" spans="1:6">
      <c r="A12" s="551"/>
      <c r="B12" s="551"/>
      <c r="C12" s="551"/>
      <c r="D12" s="542"/>
      <c r="E12" s="542"/>
      <c r="F12" s="543"/>
    </row>
    <row r="13" spans="1:6">
      <c r="A13" s="551"/>
      <c r="B13" s="551" t="s">
        <v>1056</v>
      </c>
      <c r="C13" s="551">
        <v>8919</v>
      </c>
      <c r="D13" s="542"/>
      <c r="E13" s="542"/>
      <c r="F13" s="543"/>
    </row>
    <row r="14" spans="1:6">
      <c r="A14" s="551"/>
      <c r="B14" s="551"/>
      <c r="C14" s="551"/>
      <c r="D14" s="552"/>
      <c r="E14" s="542"/>
      <c r="F14" s="543"/>
    </row>
    <row r="15" spans="1:6">
      <c r="A15" s="551"/>
      <c r="B15" s="551"/>
      <c r="C15" s="551"/>
      <c r="D15" s="542"/>
      <c r="E15" s="542"/>
      <c r="F15" s="543"/>
    </row>
    <row r="16" spans="1:6">
      <c r="A16" s="551"/>
      <c r="B16" s="553" t="s">
        <v>1057</v>
      </c>
      <c r="C16" s="551"/>
      <c r="D16" s="542" t="s">
        <v>1058</v>
      </c>
      <c r="E16" s="542"/>
      <c r="F16" s="554"/>
    </row>
    <row r="17" spans="1:9">
      <c r="A17" s="551"/>
      <c r="B17" s="551" t="str">
        <f>'POW COVER'!X9</f>
        <v>Construction of Covered Pathway at City hall Entrance/Exit</v>
      </c>
      <c r="C17" s="551"/>
      <c r="D17" s="542"/>
      <c r="E17" s="542"/>
      <c r="F17" s="555"/>
    </row>
    <row r="18" spans="1:9">
      <c r="A18" s="551"/>
      <c r="B18" s="551" t="str">
        <f>'POW COVER'!E10</f>
        <v xml:space="preserve"> ( 29 SPAN, 3m length/span)</v>
      </c>
      <c r="C18" s="551"/>
      <c r="D18" s="542"/>
      <c r="E18" s="542"/>
      <c r="F18" s="555"/>
    </row>
    <row r="19" spans="1:9" ht="15.75">
      <c r="A19" s="551"/>
      <c r="B19" s="551" t="s">
        <v>1059</v>
      </c>
      <c r="C19" s="556"/>
      <c r="D19" s="542"/>
      <c r="E19" s="542"/>
      <c r="F19" s="554">
        <f>BOM!G191</f>
        <v>141931</v>
      </c>
    </row>
    <row r="20" spans="1:9">
      <c r="A20" s="551"/>
      <c r="B20" s="551" t="s">
        <v>1060</v>
      </c>
      <c r="C20" s="551"/>
      <c r="D20" s="542"/>
      <c r="E20" s="542"/>
      <c r="F20" s="557">
        <f>BOM!G243</f>
        <v>541064.48212799989</v>
      </c>
    </row>
    <row r="21" spans="1:9">
      <c r="A21" s="551"/>
      <c r="B21" s="558" t="s">
        <v>1061</v>
      </c>
      <c r="C21" s="551"/>
      <c r="D21" s="542"/>
      <c r="E21" s="542"/>
      <c r="F21" s="554">
        <f>BOM!G244</f>
        <v>21350</v>
      </c>
    </row>
    <row r="22" spans="1:9">
      <c r="A22" s="551"/>
      <c r="B22" s="551"/>
      <c r="C22" s="551"/>
      <c r="D22" s="542"/>
      <c r="E22" s="542"/>
      <c r="F22" s="543"/>
    </row>
    <row r="23" spans="1:9">
      <c r="A23" s="548"/>
      <c r="B23" s="548"/>
      <c r="C23" s="548"/>
      <c r="D23" s="545"/>
      <c r="E23" s="545"/>
      <c r="F23" s="546"/>
    </row>
    <row r="24" spans="1:9">
      <c r="A24" s="878" t="s">
        <v>1062</v>
      </c>
      <c r="B24" s="879"/>
      <c r="C24" s="879"/>
      <c r="D24" s="879"/>
      <c r="E24" s="559"/>
      <c r="F24" s="560">
        <f>SUM(F19:F23)</f>
        <v>704345.48212799989</v>
      </c>
      <c r="I24" t="s">
        <v>1063</v>
      </c>
    </row>
    <row r="25" spans="1:9">
      <c r="A25" s="540" t="s">
        <v>1064</v>
      </c>
      <c r="B25" s="880" t="s">
        <v>1065</v>
      </c>
      <c r="C25" s="881"/>
      <c r="D25" s="882"/>
      <c r="E25" s="882"/>
      <c r="F25" s="883"/>
    </row>
    <row r="26" spans="1:9">
      <c r="A26" s="542"/>
      <c r="B26" s="884" t="s">
        <v>1066</v>
      </c>
      <c r="C26" s="885"/>
      <c r="D26" s="886"/>
      <c r="E26" s="886"/>
      <c r="F26" s="887"/>
    </row>
    <row r="27" spans="1:9">
      <c r="A27" s="542"/>
      <c r="B27" s="886"/>
      <c r="C27" s="887"/>
      <c r="D27" s="888" t="s">
        <v>1067</v>
      </c>
      <c r="E27" s="886"/>
      <c r="F27" s="887"/>
    </row>
    <row r="28" spans="1:9">
      <c r="A28" s="542"/>
      <c r="B28" s="884" t="s">
        <v>1068</v>
      </c>
      <c r="C28" s="885"/>
      <c r="D28" s="886"/>
      <c r="E28" s="886"/>
      <c r="F28" s="887"/>
    </row>
    <row r="29" spans="1:9">
      <c r="A29" s="542"/>
      <c r="B29" s="886"/>
      <c r="C29" s="887"/>
      <c r="D29" s="886"/>
      <c r="E29" s="886"/>
      <c r="F29" s="887"/>
    </row>
    <row r="30" spans="1:9">
      <c r="A30" s="542"/>
      <c r="B30" s="886"/>
      <c r="C30" s="887"/>
      <c r="D30" s="886"/>
      <c r="E30" s="886"/>
      <c r="F30" s="887"/>
    </row>
    <row r="31" spans="1:9">
      <c r="A31" s="542" t="s">
        <v>1069</v>
      </c>
      <c r="B31" s="886"/>
      <c r="C31" s="887"/>
      <c r="D31" s="563" t="s">
        <v>1069</v>
      </c>
      <c r="E31" s="886"/>
      <c r="F31" s="887"/>
    </row>
    <row r="32" spans="1:9">
      <c r="A32" s="542" t="s">
        <v>1070</v>
      </c>
      <c r="B32" s="891" t="s">
        <v>1071</v>
      </c>
      <c r="C32" s="909"/>
      <c r="D32" s="563" t="s">
        <v>1070</v>
      </c>
      <c r="E32" s="893" t="s">
        <v>1072</v>
      </c>
      <c r="F32" s="910"/>
    </row>
    <row r="33" spans="1:6">
      <c r="A33" s="542" t="s">
        <v>1073</v>
      </c>
      <c r="B33" s="884" t="s">
        <v>1074</v>
      </c>
      <c r="C33" s="885"/>
      <c r="D33" s="563" t="s">
        <v>1073</v>
      </c>
      <c r="E33" s="886" t="s">
        <v>1075</v>
      </c>
      <c r="F33" s="887"/>
    </row>
    <row r="34" spans="1:6">
      <c r="A34" s="542"/>
      <c r="B34" s="886"/>
      <c r="C34" s="887"/>
      <c r="D34" s="563"/>
      <c r="E34" s="886"/>
      <c r="F34" s="887"/>
    </row>
    <row r="35" spans="1:6">
      <c r="A35" s="542" t="s">
        <v>1045</v>
      </c>
      <c r="B35" s="564"/>
      <c r="C35" s="562"/>
      <c r="D35" s="563" t="s">
        <v>1045</v>
      </c>
      <c r="E35" s="564"/>
      <c r="F35" s="565"/>
    </row>
    <row r="36" spans="1:6">
      <c r="A36" s="545"/>
      <c r="B36" s="895"/>
      <c r="C36" s="896"/>
      <c r="D36" s="566"/>
      <c r="E36" s="895"/>
      <c r="F36" s="896"/>
    </row>
    <row r="37" spans="1:6">
      <c r="A37" s="563"/>
      <c r="B37" s="561"/>
      <c r="C37" s="561"/>
      <c r="D37" s="563"/>
      <c r="E37" s="561"/>
      <c r="F37" s="561"/>
    </row>
    <row r="48" spans="1:6">
      <c r="A48" s="837" t="s">
        <v>1036</v>
      </c>
      <c r="B48" s="837"/>
      <c r="C48" s="837"/>
      <c r="D48" s="837"/>
      <c r="E48" s="837"/>
      <c r="F48" s="837"/>
    </row>
    <row r="49" spans="1:6">
      <c r="A49" s="838" t="s">
        <v>1037</v>
      </c>
      <c r="B49" s="867"/>
      <c r="C49" s="867"/>
      <c r="D49" s="867"/>
      <c r="E49" s="867"/>
      <c r="F49" s="868"/>
    </row>
    <row r="50" spans="1:6">
      <c r="A50" s="869" t="s">
        <v>1038</v>
      </c>
      <c r="B50" s="870"/>
      <c r="C50" s="870"/>
      <c r="D50" s="870"/>
      <c r="E50" s="870"/>
      <c r="F50" s="871"/>
    </row>
    <row r="51" spans="1:6" ht="15.75">
      <c r="A51" s="845" t="s">
        <v>1039</v>
      </c>
      <c r="B51" s="845"/>
      <c r="C51" s="845"/>
      <c r="D51" s="872"/>
      <c r="E51" s="537" t="s">
        <v>1040</v>
      </c>
      <c r="F51" s="538" t="s">
        <v>1076</v>
      </c>
    </row>
    <row r="52" spans="1:6">
      <c r="A52" s="539" t="s">
        <v>1042</v>
      </c>
      <c r="B52" s="873"/>
      <c r="C52" s="873"/>
      <c r="D52" s="874"/>
      <c r="E52" s="540"/>
      <c r="F52" s="541"/>
    </row>
    <row r="53" spans="1:6">
      <c r="A53" s="539" t="s">
        <v>1043</v>
      </c>
      <c r="B53" s="918" t="s">
        <v>1077</v>
      </c>
      <c r="C53" s="918"/>
      <c r="D53" s="919"/>
      <c r="E53" s="542" t="s">
        <v>1045</v>
      </c>
      <c r="F53" s="543"/>
    </row>
    <row r="54" spans="1:6">
      <c r="A54" s="544" t="s">
        <v>1046</v>
      </c>
      <c r="B54" s="877" t="s">
        <v>1047</v>
      </c>
      <c r="C54" s="877"/>
      <c r="D54" s="865"/>
      <c r="E54" s="545"/>
      <c r="F54" s="546"/>
    </row>
    <row r="55" spans="1:6">
      <c r="A55" s="544" t="s">
        <v>1048</v>
      </c>
      <c r="B55" s="889" t="s">
        <v>1049</v>
      </c>
      <c r="C55" s="889" t="s">
        <v>1050</v>
      </c>
      <c r="D55" s="547" t="s">
        <v>1051</v>
      </c>
      <c r="E55" s="861" t="s">
        <v>1052</v>
      </c>
      <c r="F55" s="862"/>
    </row>
    <row r="56" spans="1:6">
      <c r="A56" s="548" t="s">
        <v>1053</v>
      </c>
      <c r="B56" s="890"/>
      <c r="C56" s="890"/>
      <c r="D56" s="549" t="s">
        <v>1054</v>
      </c>
      <c r="E56" s="863"/>
      <c r="F56" s="864"/>
    </row>
    <row r="57" spans="1:6">
      <c r="A57" s="544"/>
      <c r="B57" s="550" t="s">
        <v>1055</v>
      </c>
      <c r="C57" s="544"/>
      <c r="D57" s="540">
        <v>300</v>
      </c>
      <c r="E57" s="542"/>
      <c r="F57" s="541"/>
    </row>
    <row r="58" spans="1:6">
      <c r="A58" s="551"/>
      <c r="B58" s="551"/>
      <c r="C58" s="551"/>
      <c r="D58" s="542"/>
      <c r="E58" s="542"/>
      <c r="F58" s="543"/>
    </row>
    <row r="59" spans="1:6">
      <c r="A59" s="551"/>
      <c r="B59" s="551" t="s">
        <v>1078</v>
      </c>
      <c r="C59" s="551">
        <v>3321</v>
      </c>
      <c r="D59" s="542"/>
      <c r="E59" s="542"/>
      <c r="F59" s="543"/>
    </row>
    <row r="60" spans="1:6">
      <c r="A60" s="551"/>
      <c r="B60" s="551"/>
      <c r="C60" s="551"/>
      <c r="D60" s="552"/>
      <c r="E60" s="542"/>
      <c r="F60" s="543"/>
    </row>
    <row r="61" spans="1:6">
      <c r="A61" s="551"/>
      <c r="B61" s="551"/>
      <c r="C61" s="551"/>
      <c r="D61" s="542"/>
      <c r="E61" s="542"/>
      <c r="F61" s="543"/>
    </row>
    <row r="62" spans="1:6">
      <c r="A62" s="551"/>
      <c r="B62" s="553" t="s">
        <v>1057</v>
      </c>
      <c r="C62" s="551"/>
      <c r="D62" s="542">
        <v>215</v>
      </c>
      <c r="E62" s="542"/>
      <c r="F62" s="554"/>
    </row>
    <row r="63" spans="1:6">
      <c r="A63" s="551"/>
      <c r="B63" s="551" t="s">
        <v>1059</v>
      </c>
      <c r="C63" s="551"/>
      <c r="D63" s="542"/>
      <c r="E63" s="542"/>
      <c r="F63" s="567">
        <f>+'[1]POW SEF'!F187</f>
        <v>19500</v>
      </c>
    </row>
    <row r="64" spans="1:6">
      <c r="A64" s="551"/>
      <c r="B64" s="551" t="s">
        <v>1060</v>
      </c>
      <c r="C64" s="551"/>
      <c r="D64" s="542"/>
      <c r="E64" s="542"/>
      <c r="F64" s="557">
        <f>+'[1]POW SEF'!F188+'[1]POW SEF'!F191</f>
        <v>15100</v>
      </c>
    </row>
    <row r="65" spans="1:6" ht="15.75">
      <c r="A65" s="551"/>
      <c r="B65" s="558" t="s">
        <v>1079</v>
      </c>
      <c r="C65" s="556"/>
      <c r="D65" s="542"/>
      <c r="E65" s="542"/>
      <c r="F65" s="557">
        <f>+'[1]POW SEF'!F189</f>
        <v>3600</v>
      </c>
    </row>
    <row r="66" spans="1:6">
      <c r="A66" s="551"/>
      <c r="B66" s="558" t="s">
        <v>1080</v>
      </c>
      <c r="C66" s="551"/>
      <c r="D66" s="542"/>
      <c r="E66" s="542"/>
      <c r="F66" s="554">
        <f>+'[1]POW SEF'!F190</f>
        <v>1800</v>
      </c>
    </row>
    <row r="67" spans="1:6">
      <c r="A67" s="551"/>
      <c r="B67" s="551"/>
      <c r="C67" s="551"/>
      <c r="D67" s="542"/>
      <c r="E67" s="542"/>
      <c r="F67" s="543"/>
    </row>
    <row r="68" spans="1:6">
      <c r="A68" s="551"/>
      <c r="B68" s="551"/>
      <c r="C68" s="551"/>
      <c r="D68" s="542"/>
      <c r="E68" s="542"/>
      <c r="F68" s="543"/>
    </row>
    <row r="69" spans="1:6">
      <c r="A69" s="551"/>
      <c r="B69" s="551"/>
      <c r="C69" s="551"/>
      <c r="D69" s="542"/>
      <c r="E69" s="542"/>
      <c r="F69" s="543"/>
    </row>
    <row r="70" spans="1:6">
      <c r="A70" s="548"/>
      <c r="B70" s="548"/>
      <c r="C70" s="548"/>
      <c r="D70" s="545"/>
      <c r="E70" s="545"/>
      <c r="F70" s="546"/>
    </row>
    <row r="71" spans="1:6">
      <c r="A71" s="878" t="s">
        <v>1062</v>
      </c>
      <c r="B71" s="879"/>
      <c r="C71" s="879"/>
      <c r="D71" s="879"/>
      <c r="E71" s="559"/>
      <c r="F71" s="560">
        <f>SUM(F63:F70)</f>
        <v>40000</v>
      </c>
    </row>
    <row r="72" spans="1:6">
      <c r="A72" s="540" t="s">
        <v>1064</v>
      </c>
      <c r="B72" s="880" t="s">
        <v>1065</v>
      </c>
      <c r="C72" s="881"/>
      <c r="D72" s="882"/>
      <c r="E72" s="882"/>
      <c r="F72" s="883"/>
    </row>
    <row r="73" spans="1:6">
      <c r="A73" s="542"/>
      <c r="B73" s="884" t="s">
        <v>1066</v>
      </c>
      <c r="C73" s="885"/>
      <c r="D73" s="886"/>
      <c r="E73" s="886"/>
      <c r="F73" s="887"/>
    </row>
    <row r="74" spans="1:6">
      <c r="A74" s="542"/>
      <c r="B74" s="886"/>
      <c r="C74" s="887"/>
      <c r="D74" s="888" t="s">
        <v>1067</v>
      </c>
      <c r="E74" s="886"/>
      <c r="F74" s="887"/>
    </row>
    <row r="75" spans="1:6">
      <c r="A75" s="542"/>
      <c r="B75" s="884" t="s">
        <v>1068</v>
      </c>
      <c r="C75" s="885"/>
      <c r="D75" s="886"/>
      <c r="E75" s="886"/>
      <c r="F75" s="887"/>
    </row>
    <row r="76" spans="1:6">
      <c r="A76" s="542"/>
      <c r="B76" s="886"/>
      <c r="C76" s="887"/>
      <c r="D76" s="886"/>
      <c r="E76" s="886"/>
      <c r="F76" s="887"/>
    </row>
    <row r="77" spans="1:6">
      <c r="A77" s="542"/>
      <c r="B77" s="886"/>
      <c r="C77" s="887"/>
      <c r="D77" s="886"/>
      <c r="E77" s="886"/>
      <c r="F77" s="887"/>
    </row>
    <row r="78" spans="1:6">
      <c r="A78" s="542" t="s">
        <v>1069</v>
      </c>
      <c r="B78" s="886"/>
      <c r="C78" s="887"/>
      <c r="D78" s="563" t="s">
        <v>1069</v>
      </c>
      <c r="E78" s="886"/>
      <c r="F78" s="887"/>
    </row>
    <row r="79" spans="1:6">
      <c r="A79" s="542" t="s">
        <v>1070</v>
      </c>
      <c r="B79" s="891" t="s">
        <v>1071</v>
      </c>
      <c r="C79" s="909"/>
      <c r="D79" s="563" t="s">
        <v>1070</v>
      </c>
      <c r="E79" s="893" t="s">
        <v>1072</v>
      </c>
      <c r="F79" s="910"/>
    </row>
    <row r="80" spans="1:6">
      <c r="A80" s="542" t="s">
        <v>1073</v>
      </c>
      <c r="B80" s="884" t="s">
        <v>1074</v>
      </c>
      <c r="C80" s="885"/>
      <c r="D80" s="563" t="s">
        <v>1073</v>
      </c>
      <c r="E80" s="886" t="s">
        <v>1075</v>
      </c>
      <c r="F80" s="887"/>
    </row>
    <row r="81" spans="1:6">
      <c r="A81" s="542"/>
      <c r="B81" s="886"/>
      <c r="C81" s="887"/>
      <c r="D81" s="563"/>
      <c r="E81" s="886"/>
      <c r="F81" s="887"/>
    </row>
    <row r="82" spans="1:6">
      <c r="A82" s="542" t="s">
        <v>1045</v>
      </c>
      <c r="B82" s="564"/>
      <c r="C82" s="562"/>
      <c r="D82" s="563" t="s">
        <v>1045</v>
      </c>
      <c r="E82" s="564"/>
      <c r="F82" s="565"/>
    </row>
    <row r="83" spans="1:6">
      <c r="A83" s="545"/>
      <c r="B83" s="895"/>
      <c r="C83" s="896"/>
      <c r="D83" s="566"/>
      <c r="E83" s="895"/>
      <c r="F83" s="896"/>
    </row>
    <row r="84" spans="1:6">
      <c r="A84" s="563"/>
      <c r="B84" s="561"/>
      <c r="C84" s="561"/>
      <c r="D84" s="563"/>
      <c r="E84" s="561"/>
      <c r="F84" s="561"/>
    </row>
    <row r="95" spans="1:6">
      <c r="A95" s="837" t="s">
        <v>1036</v>
      </c>
      <c r="B95" s="837"/>
      <c r="C95" s="837"/>
      <c r="D95" s="837"/>
      <c r="E95" s="837"/>
      <c r="F95" s="837"/>
    </row>
    <row r="96" spans="1:6">
      <c r="A96" s="838" t="s">
        <v>1037</v>
      </c>
      <c r="B96" s="867"/>
      <c r="C96" s="867"/>
      <c r="D96" s="867"/>
      <c r="E96" s="867"/>
      <c r="F96" s="868"/>
    </row>
    <row r="97" spans="1:6">
      <c r="A97" s="869" t="s">
        <v>1038</v>
      </c>
      <c r="B97" s="870"/>
      <c r="C97" s="870"/>
      <c r="D97" s="870"/>
      <c r="E97" s="870"/>
      <c r="F97" s="871"/>
    </row>
    <row r="98" spans="1:6" ht="15.75">
      <c r="A98" s="845" t="s">
        <v>1039</v>
      </c>
      <c r="B98" s="845"/>
      <c r="C98" s="845"/>
      <c r="D98" s="872"/>
      <c r="E98" s="537" t="s">
        <v>1040</v>
      </c>
      <c r="F98" s="538" t="s">
        <v>1076</v>
      </c>
    </row>
    <row r="99" spans="1:6">
      <c r="A99" s="539" t="s">
        <v>1042</v>
      </c>
      <c r="B99" s="873"/>
      <c r="C99" s="873"/>
      <c r="D99" s="874"/>
      <c r="E99" s="540"/>
      <c r="F99" s="541"/>
    </row>
    <row r="100" spans="1:6">
      <c r="A100" s="539" t="s">
        <v>1043</v>
      </c>
      <c r="B100" s="918" t="s">
        <v>1077</v>
      </c>
      <c r="C100" s="918"/>
      <c r="D100" s="919"/>
      <c r="E100" s="542" t="s">
        <v>1045</v>
      </c>
      <c r="F100" s="543"/>
    </row>
    <row r="101" spans="1:6">
      <c r="A101" s="544" t="s">
        <v>1046</v>
      </c>
      <c r="B101" s="877" t="s">
        <v>1047</v>
      </c>
      <c r="C101" s="877"/>
      <c r="D101" s="865"/>
      <c r="E101" s="545"/>
      <c r="F101" s="546"/>
    </row>
    <row r="102" spans="1:6">
      <c r="A102" s="544" t="s">
        <v>1048</v>
      </c>
      <c r="B102" s="889" t="s">
        <v>1049</v>
      </c>
      <c r="C102" s="889" t="s">
        <v>1050</v>
      </c>
      <c r="D102" s="547" t="s">
        <v>1051</v>
      </c>
      <c r="E102" s="861" t="s">
        <v>1052</v>
      </c>
      <c r="F102" s="862"/>
    </row>
    <row r="103" spans="1:6">
      <c r="A103" s="548" t="s">
        <v>1053</v>
      </c>
      <c r="B103" s="890"/>
      <c r="C103" s="890"/>
      <c r="D103" s="549" t="s">
        <v>1054</v>
      </c>
      <c r="E103" s="863"/>
      <c r="F103" s="864"/>
    </row>
    <row r="104" spans="1:6">
      <c r="A104" s="544"/>
      <c r="B104" s="550" t="s">
        <v>1055</v>
      </c>
      <c r="C104" s="544"/>
      <c r="D104" s="540">
        <v>300</v>
      </c>
      <c r="E104" s="542"/>
      <c r="F104" s="541"/>
    </row>
    <row r="105" spans="1:6">
      <c r="A105" s="551"/>
      <c r="B105" s="551"/>
      <c r="C105" s="551"/>
      <c r="D105" s="542"/>
      <c r="E105" s="542"/>
      <c r="F105" s="543"/>
    </row>
    <row r="106" spans="1:6">
      <c r="A106" s="551"/>
      <c r="B106" s="551" t="s">
        <v>1078</v>
      </c>
      <c r="C106" s="551">
        <v>3321</v>
      </c>
      <c r="D106" s="542"/>
      <c r="E106" s="542"/>
      <c r="F106" s="543"/>
    </row>
    <row r="107" spans="1:6">
      <c r="A107" s="551"/>
      <c r="B107" s="551"/>
      <c r="C107" s="551"/>
      <c r="D107" s="552"/>
      <c r="E107" s="542"/>
      <c r="F107" s="543"/>
    </row>
    <row r="108" spans="1:6">
      <c r="A108" s="551"/>
      <c r="B108" s="551"/>
      <c r="C108" s="551"/>
      <c r="D108" s="542"/>
      <c r="E108" s="542"/>
      <c r="F108" s="543"/>
    </row>
    <row r="109" spans="1:6">
      <c r="A109" s="551"/>
      <c r="B109" s="553" t="s">
        <v>1057</v>
      </c>
      <c r="C109" s="551"/>
      <c r="D109" s="542">
        <v>215</v>
      </c>
      <c r="E109" s="542"/>
      <c r="F109" s="554"/>
    </row>
    <row r="110" spans="1:6">
      <c r="A110" s="551"/>
      <c r="B110" s="551" t="s">
        <v>1059</v>
      </c>
      <c r="C110" s="551"/>
      <c r="D110" s="542"/>
      <c r="E110" s="542"/>
      <c r="F110" s="567" t="e">
        <f>+'[1]POW SEF'!#REF!</f>
        <v>#REF!</v>
      </c>
    </row>
    <row r="111" spans="1:6">
      <c r="A111" s="551"/>
      <c r="B111" s="551" t="s">
        <v>1060</v>
      </c>
      <c r="C111" s="551"/>
      <c r="D111" s="542"/>
      <c r="E111" s="542"/>
      <c r="F111" s="557" t="e">
        <f>+'[1]POW SEF'!#REF!+'[1]POW SEF'!#REF!</f>
        <v>#REF!</v>
      </c>
    </row>
    <row r="112" spans="1:6" ht="15.75">
      <c r="A112" s="551"/>
      <c r="B112" s="558" t="s">
        <v>1079</v>
      </c>
      <c r="C112" s="556"/>
      <c r="D112" s="542"/>
      <c r="E112" s="542"/>
      <c r="F112" s="557" t="e">
        <f>+'[1]POW SEF'!#REF!</f>
        <v>#REF!</v>
      </c>
    </row>
    <row r="113" spans="1:6">
      <c r="A113" s="551"/>
      <c r="B113" s="558"/>
      <c r="C113" s="551"/>
      <c r="D113" s="542"/>
      <c r="E113" s="542"/>
      <c r="F113" s="543"/>
    </row>
    <row r="114" spans="1:6">
      <c r="A114" s="551"/>
      <c r="B114" s="551"/>
      <c r="C114" s="551"/>
      <c r="D114" s="542"/>
      <c r="E114" s="542"/>
      <c r="F114" s="543"/>
    </row>
    <row r="115" spans="1:6">
      <c r="A115" s="551"/>
      <c r="B115" s="551"/>
      <c r="C115" s="551"/>
      <c r="D115" s="542"/>
      <c r="E115" s="542"/>
      <c r="F115" s="543"/>
    </row>
    <row r="116" spans="1:6">
      <c r="A116" s="551"/>
      <c r="B116" s="551"/>
      <c r="C116" s="551"/>
      <c r="D116" s="542"/>
      <c r="E116" s="542"/>
      <c r="F116" s="543"/>
    </row>
    <row r="117" spans="1:6">
      <c r="A117" s="548"/>
      <c r="B117" s="548"/>
      <c r="C117" s="548"/>
      <c r="D117" s="545"/>
      <c r="E117" s="545"/>
      <c r="F117" s="546"/>
    </row>
    <row r="118" spans="1:6">
      <c r="A118" s="878" t="s">
        <v>1062</v>
      </c>
      <c r="B118" s="879"/>
      <c r="C118" s="879"/>
      <c r="D118" s="879"/>
      <c r="E118" s="559"/>
      <c r="F118" s="560" t="e">
        <f>+F110+F111+F112</f>
        <v>#REF!</v>
      </c>
    </row>
    <row r="119" spans="1:6">
      <c r="A119" s="540" t="s">
        <v>1064</v>
      </c>
      <c r="B119" s="880" t="s">
        <v>1065</v>
      </c>
      <c r="C119" s="881"/>
      <c r="D119" s="882"/>
      <c r="E119" s="882"/>
      <c r="F119" s="883"/>
    </row>
    <row r="120" spans="1:6">
      <c r="A120" s="542"/>
      <c r="B120" s="884" t="s">
        <v>1066</v>
      </c>
      <c r="C120" s="885"/>
      <c r="D120" s="886"/>
      <c r="E120" s="886"/>
      <c r="F120" s="887"/>
    </row>
    <row r="121" spans="1:6">
      <c r="A121" s="542"/>
      <c r="B121" s="886"/>
      <c r="C121" s="887"/>
      <c r="D121" s="888" t="s">
        <v>1067</v>
      </c>
      <c r="E121" s="886"/>
      <c r="F121" s="887"/>
    </row>
    <row r="122" spans="1:6">
      <c r="A122" s="542"/>
      <c r="B122" s="884" t="s">
        <v>1068</v>
      </c>
      <c r="C122" s="885"/>
      <c r="D122" s="886"/>
      <c r="E122" s="886"/>
      <c r="F122" s="887"/>
    </row>
    <row r="123" spans="1:6">
      <c r="A123" s="542"/>
      <c r="B123" s="886"/>
      <c r="C123" s="887"/>
      <c r="D123" s="886"/>
      <c r="E123" s="886"/>
      <c r="F123" s="887"/>
    </row>
    <row r="124" spans="1:6">
      <c r="A124" s="542"/>
      <c r="B124" s="886"/>
      <c r="C124" s="887"/>
      <c r="D124" s="886"/>
      <c r="E124" s="886"/>
      <c r="F124" s="887"/>
    </row>
    <row r="125" spans="1:6">
      <c r="A125" s="542" t="s">
        <v>1069</v>
      </c>
      <c r="B125" s="886"/>
      <c r="C125" s="887"/>
      <c r="D125" s="563" t="s">
        <v>1069</v>
      </c>
      <c r="E125" s="886"/>
      <c r="F125" s="887"/>
    </row>
    <row r="126" spans="1:6">
      <c r="A126" s="542" t="s">
        <v>1070</v>
      </c>
      <c r="B126" s="891" t="s">
        <v>1071</v>
      </c>
      <c r="C126" s="909"/>
      <c r="D126" s="563" t="s">
        <v>1070</v>
      </c>
      <c r="E126" s="893" t="s">
        <v>1072</v>
      </c>
      <c r="F126" s="910"/>
    </row>
    <row r="127" spans="1:6">
      <c r="A127" s="542" t="s">
        <v>1073</v>
      </c>
      <c r="B127" s="884" t="s">
        <v>1074</v>
      </c>
      <c r="C127" s="885"/>
      <c r="D127" s="563" t="s">
        <v>1073</v>
      </c>
      <c r="E127" s="886" t="s">
        <v>1075</v>
      </c>
      <c r="F127" s="887"/>
    </row>
    <row r="128" spans="1:6">
      <c r="A128" s="542"/>
      <c r="B128" s="886"/>
      <c r="C128" s="887"/>
      <c r="D128" s="563"/>
      <c r="E128" s="886"/>
      <c r="F128" s="887"/>
    </row>
    <row r="129" spans="1:6">
      <c r="A129" s="542" t="s">
        <v>1045</v>
      </c>
      <c r="B129" s="564"/>
      <c r="C129" s="562"/>
      <c r="D129" s="563" t="s">
        <v>1045</v>
      </c>
      <c r="E129" s="564"/>
      <c r="F129" s="565"/>
    </row>
    <row r="130" spans="1:6">
      <c r="A130" s="545"/>
      <c r="B130" s="895"/>
      <c r="C130" s="896"/>
      <c r="D130" s="566"/>
      <c r="E130" s="895"/>
      <c r="F130" s="896"/>
    </row>
    <row r="131" spans="1:6">
      <c r="A131" s="563"/>
      <c r="B131" s="561"/>
      <c r="C131" s="561"/>
      <c r="D131" s="563"/>
      <c r="E131" s="561"/>
      <c r="F131" s="561"/>
    </row>
    <row r="142" spans="1:6">
      <c r="A142" s="837" t="s">
        <v>1036</v>
      </c>
      <c r="B142" s="837"/>
      <c r="C142" s="837"/>
      <c r="D142" s="837"/>
      <c r="E142" s="837"/>
      <c r="F142" s="837"/>
    </row>
    <row r="143" spans="1:6">
      <c r="A143" s="838" t="s">
        <v>1037</v>
      </c>
      <c r="B143" s="867"/>
      <c r="C143" s="867"/>
      <c r="D143" s="867"/>
      <c r="E143" s="867"/>
      <c r="F143" s="868"/>
    </row>
    <row r="144" spans="1:6">
      <c r="A144" s="869" t="s">
        <v>1038</v>
      </c>
      <c r="B144" s="870"/>
      <c r="C144" s="870"/>
      <c r="D144" s="870"/>
      <c r="E144" s="870"/>
      <c r="F144" s="871"/>
    </row>
    <row r="145" spans="1:6" ht="15.75">
      <c r="A145" s="845" t="s">
        <v>1039</v>
      </c>
      <c r="B145" s="845"/>
      <c r="C145" s="845"/>
      <c r="D145" s="872"/>
      <c r="E145" s="537" t="s">
        <v>1040</v>
      </c>
      <c r="F145" s="538" t="s">
        <v>1076</v>
      </c>
    </row>
    <row r="146" spans="1:6">
      <c r="A146" s="539" t="s">
        <v>1042</v>
      </c>
      <c r="B146" s="873"/>
      <c r="C146" s="873"/>
      <c r="D146" s="874"/>
      <c r="E146" s="540"/>
      <c r="F146" s="541"/>
    </row>
    <row r="147" spans="1:6">
      <c r="A147" s="539" t="s">
        <v>1043</v>
      </c>
      <c r="B147" s="918" t="s">
        <v>1077</v>
      </c>
      <c r="C147" s="918"/>
      <c r="D147" s="919"/>
      <c r="E147" s="542" t="s">
        <v>1045</v>
      </c>
      <c r="F147" s="543"/>
    </row>
    <row r="148" spans="1:6">
      <c r="A148" s="544" t="s">
        <v>1046</v>
      </c>
      <c r="B148" s="877" t="s">
        <v>1047</v>
      </c>
      <c r="C148" s="877"/>
      <c r="D148" s="865"/>
      <c r="E148" s="545"/>
      <c r="F148" s="546"/>
    </row>
    <row r="149" spans="1:6">
      <c r="A149" s="544" t="s">
        <v>1048</v>
      </c>
      <c r="B149" s="889" t="s">
        <v>1049</v>
      </c>
      <c r="C149" s="889" t="s">
        <v>1050</v>
      </c>
      <c r="D149" s="547" t="s">
        <v>1051</v>
      </c>
      <c r="E149" s="861" t="s">
        <v>1052</v>
      </c>
      <c r="F149" s="862"/>
    </row>
    <row r="150" spans="1:6">
      <c r="A150" s="548" t="s">
        <v>1053</v>
      </c>
      <c r="B150" s="890"/>
      <c r="C150" s="890"/>
      <c r="D150" s="549" t="s">
        <v>1054</v>
      </c>
      <c r="E150" s="863"/>
      <c r="F150" s="864"/>
    </row>
    <row r="151" spans="1:6">
      <c r="A151" s="544"/>
      <c r="B151" s="550" t="s">
        <v>1055</v>
      </c>
      <c r="C151" s="544"/>
      <c r="D151" s="540">
        <v>300</v>
      </c>
      <c r="E151" s="542"/>
      <c r="F151" s="541"/>
    </row>
    <row r="152" spans="1:6">
      <c r="A152" s="551"/>
      <c r="B152" s="551"/>
      <c r="C152" s="551"/>
      <c r="D152" s="542"/>
      <c r="E152" s="542"/>
      <c r="F152" s="543"/>
    </row>
    <row r="153" spans="1:6">
      <c r="A153" s="551"/>
      <c r="B153" s="551" t="s">
        <v>1078</v>
      </c>
      <c r="C153" s="551">
        <v>3321</v>
      </c>
      <c r="D153" s="542"/>
      <c r="E153" s="542"/>
      <c r="F153" s="543"/>
    </row>
    <row r="154" spans="1:6">
      <c r="A154" s="551"/>
      <c r="B154" s="551"/>
      <c r="C154" s="551"/>
      <c r="D154" s="552"/>
      <c r="E154" s="542"/>
      <c r="F154" s="543"/>
    </row>
    <row r="155" spans="1:6">
      <c r="A155" s="551"/>
      <c r="B155" s="551"/>
      <c r="C155" s="551"/>
      <c r="D155" s="542"/>
      <c r="E155" s="542"/>
      <c r="F155" s="543"/>
    </row>
    <row r="156" spans="1:6">
      <c r="A156" s="551"/>
      <c r="B156" s="553" t="s">
        <v>1057</v>
      </c>
      <c r="C156" s="551"/>
      <c r="D156" s="542">
        <v>215</v>
      </c>
      <c r="E156" s="542"/>
      <c r="F156" s="554"/>
    </row>
    <row r="157" spans="1:6">
      <c r="A157" s="551"/>
      <c r="B157" s="551" t="s">
        <v>1059</v>
      </c>
      <c r="C157" s="551"/>
      <c r="D157" s="542"/>
      <c r="E157" s="542"/>
      <c r="F157" s="567" t="e">
        <f>+'[1]POW SEF'!#REF!</f>
        <v>#REF!</v>
      </c>
    </row>
    <row r="158" spans="1:6">
      <c r="A158" s="551"/>
      <c r="B158" s="551" t="s">
        <v>1060</v>
      </c>
      <c r="C158" s="551"/>
      <c r="D158" s="542"/>
      <c r="E158" s="542"/>
      <c r="F158" s="557" t="e">
        <f>+'[1]POW SEF'!#REF!+'[1]POW SEF'!#REF!</f>
        <v>#REF!</v>
      </c>
    </row>
    <row r="159" spans="1:6" ht="15.75">
      <c r="A159" s="551"/>
      <c r="B159" s="558" t="s">
        <v>1079</v>
      </c>
      <c r="C159" s="556"/>
      <c r="D159" s="542"/>
      <c r="E159" s="542"/>
      <c r="F159" s="557" t="e">
        <f>+'[1]POW SEF'!#REF!</f>
        <v>#REF!</v>
      </c>
    </row>
    <row r="160" spans="1:6">
      <c r="A160" s="551"/>
      <c r="B160" s="558" t="s">
        <v>1080</v>
      </c>
      <c r="C160" s="551"/>
      <c r="D160" s="542"/>
      <c r="E160" s="542"/>
      <c r="F160" s="554" t="e">
        <f>+'[1]POW SEF'!#REF!</f>
        <v>#REF!</v>
      </c>
    </row>
    <row r="161" spans="1:6">
      <c r="A161" s="551"/>
      <c r="B161" s="551"/>
      <c r="C161" s="551"/>
      <c r="D161" s="542"/>
      <c r="E161" s="542"/>
      <c r="F161" s="543"/>
    </row>
    <row r="162" spans="1:6">
      <c r="A162" s="551"/>
      <c r="B162" s="551"/>
      <c r="C162" s="551"/>
      <c r="D162" s="542"/>
      <c r="E162" s="542"/>
      <c r="F162" s="543"/>
    </row>
    <row r="163" spans="1:6">
      <c r="A163" s="551"/>
      <c r="B163" s="551"/>
      <c r="C163" s="551"/>
      <c r="D163" s="542"/>
      <c r="E163" s="542"/>
      <c r="F163" s="543"/>
    </row>
    <row r="164" spans="1:6">
      <c r="A164" s="548"/>
      <c r="B164" s="548"/>
      <c r="C164" s="548"/>
      <c r="D164" s="545"/>
      <c r="E164" s="545"/>
      <c r="F164" s="546"/>
    </row>
    <row r="165" spans="1:6">
      <c r="A165" s="878" t="s">
        <v>1062</v>
      </c>
      <c r="B165" s="879"/>
      <c r="C165" s="879"/>
      <c r="D165" s="879"/>
      <c r="E165" s="559"/>
      <c r="F165" s="560" t="e">
        <f>SUM(F157:F164)</f>
        <v>#REF!</v>
      </c>
    </row>
    <row r="166" spans="1:6">
      <c r="A166" s="540" t="s">
        <v>1064</v>
      </c>
      <c r="B166" s="880" t="s">
        <v>1065</v>
      </c>
      <c r="C166" s="881"/>
      <c r="D166" s="882"/>
      <c r="E166" s="882"/>
      <c r="F166" s="883"/>
    </row>
    <row r="167" spans="1:6">
      <c r="A167" s="542"/>
      <c r="B167" s="884" t="s">
        <v>1066</v>
      </c>
      <c r="C167" s="885"/>
      <c r="D167" s="886"/>
      <c r="E167" s="886"/>
      <c r="F167" s="887"/>
    </row>
    <row r="168" spans="1:6">
      <c r="A168" s="542"/>
      <c r="B168" s="886"/>
      <c r="C168" s="887"/>
      <c r="D168" s="888" t="s">
        <v>1067</v>
      </c>
      <c r="E168" s="886"/>
      <c r="F168" s="887"/>
    </row>
    <row r="169" spans="1:6">
      <c r="A169" s="542"/>
      <c r="B169" s="884" t="s">
        <v>1068</v>
      </c>
      <c r="C169" s="885"/>
      <c r="D169" s="886"/>
      <c r="E169" s="886"/>
      <c r="F169" s="887"/>
    </row>
    <row r="170" spans="1:6">
      <c r="A170" s="542"/>
      <c r="B170" s="886"/>
      <c r="C170" s="887"/>
      <c r="D170" s="886"/>
      <c r="E170" s="886"/>
      <c r="F170" s="887"/>
    </row>
    <row r="171" spans="1:6">
      <c r="A171" s="542"/>
      <c r="B171" s="886"/>
      <c r="C171" s="887"/>
      <c r="D171" s="886"/>
      <c r="E171" s="886"/>
      <c r="F171" s="887"/>
    </row>
    <row r="172" spans="1:6">
      <c r="A172" s="542" t="s">
        <v>1069</v>
      </c>
      <c r="B172" s="886"/>
      <c r="C172" s="887"/>
      <c r="D172" s="563" t="s">
        <v>1069</v>
      </c>
      <c r="E172" s="886"/>
      <c r="F172" s="887"/>
    </row>
    <row r="173" spans="1:6">
      <c r="A173" s="542" t="s">
        <v>1070</v>
      </c>
      <c r="B173" s="891" t="s">
        <v>1071</v>
      </c>
      <c r="C173" s="909"/>
      <c r="D173" s="563" t="s">
        <v>1070</v>
      </c>
      <c r="E173" s="893" t="s">
        <v>1072</v>
      </c>
      <c r="F173" s="910"/>
    </row>
    <row r="174" spans="1:6">
      <c r="A174" s="542" t="s">
        <v>1073</v>
      </c>
      <c r="B174" s="884" t="s">
        <v>1074</v>
      </c>
      <c r="C174" s="885"/>
      <c r="D174" s="563" t="s">
        <v>1073</v>
      </c>
      <c r="E174" s="886" t="s">
        <v>1075</v>
      </c>
      <c r="F174" s="887"/>
    </row>
    <row r="175" spans="1:6">
      <c r="A175" s="542"/>
      <c r="B175" s="886"/>
      <c r="C175" s="887"/>
      <c r="D175" s="563"/>
      <c r="E175" s="886"/>
      <c r="F175" s="887"/>
    </row>
    <row r="176" spans="1:6">
      <c r="A176" s="542" t="s">
        <v>1045</v>
      </c>
      <c r="B176" s="564"/>
      <c r="C176" s="562"/>
      <c r="D176" s="563" t="s">
        <v>1045</v>
      </c>
      <c r="E176" s="564"/>
      <c r="F176" s="565"/>
    </row>
    <row r="177" spans="1:6">
      <c r="A177" s="545"/>
      <c r="B177" s="895"/>
      <c r="C177" s="896"/>
      <c r="D177" s="566"/>
      <c r="E177" s="895"/>
      <c r="F177" s="896"/>
    </row>
    <row r="178" spans="1:6">
      <c r="A178" s="563"/>
      <c r="B178" s="561"/>
      <c r="C178" s="561"/>
      <c r="D178" s="563"/>
      <c r="E178" s="561"/>
      <c r="F178" s="561"/>
    </row>
    <row r="189" spans="1:6">
      <c r="A189" s="837" t="s">
        <v>1036</v>
      </c>
      <c r="B189" s="837"/>
      <c r="C189" s="837"/>
      <c r="D189" s="837"/>
      <c r="E189" s="837"/>
      <c r="F189" s="837"/>
    </row>
    <row r="190" spans="1:6">
      <c r="A190" s="838" t="s">
        <v>1037</v>
      </c>
      <c r="B190" s="867"/>
      <c r="C190" s="867"/>
      <c r="D190" s="867"/>
      <c r="E190" s="867"/>
      <c r="F190" s="868"/>
    </row>
    <row r="191" spans="1:6">
      <c r="A191" s="869" t="s">
        <v>1038</v>
      </c>
      <c r="B191" s="870"/>
      <c r="C191" s="870"/>
      <c r="D191" s="870"/>
      <c r="E191" s="870"/>
      <c r="F191" s="871"/>
    </row>
    <row r="192" spans="1:6" ht="15.75">
      <c r="A192" s="845" t="s">
        <v>1039</v>
      </c>
      <c r="B192" s="845"/>
      <c r="C192" s="845"/>
      <c r="D192" s="872"/>
      <c r="E192" s="537" t="s">
        <v>1040</v>
      </c>
      <c r="F192" s="538" t="s">
        <v>1076</v>
      </c>
    </row>
    <row r="193" spans="1:6">
      <c r="A193" s="539" t="s">
        <v>1042</v>
      </c>
      <c r="B193" s="873"/>
      <c r="C193" s="873"/>
      <c r="D193" s="874"/>
      <c r="E193" s="540"/>
      <c r="F193" s="541"/>
    </row>
    <row r="194" spans="1:6">
      <c r="A194" s="539" t="s">
        <v>1043</v>
      </c>
      <c r="B194" s="918" t="s">
        <v>1077</v>
      </c>
      <c r="C194" s="918"/>
      <c r="D194" s="919"/>
      <c r="E194" s="542" t="s">
        <v>1045</v>
      </c>
      <c r="F194" s="543"/>
    </row>
    <row r="195" spans="1:6">
      <c r="A195" s="544" t="s">
        <v>1046</v>
      </c>
      <c r="B195" s="877" t="s">
        <v>1047</v>
      </c>
      <c r="C195" s="877"/>
      <c r="D195" s="865"/>
      <c r="E195" s="545"/>
      <c r="F195" s="546"/>
    </row>
    <row r="196" spans="1:6">
      <c r="A196" s="544" t="s">
        <v>1048</v>
      </c>
      <c r="B196" s="889" t="s">
        <v>1049</v>
      </c>
      <c r="C196" s="889" t="s">
        <v>1050</v>
      </c>
      <c r="D196" s="547" t="s">
        <v>1051</v>
      </c>
      <c r="E196" s="861" t="s">
        <v>1052</v>
      </c>
      <c r="F196" s="862"/>
    </row>
    <row r="197" spans="1:6">
      <c r="A197" s="548" t="s">
        <v>1053</v>
      </c>
      <c r="B197" s="890"/>
      <c r="C197" s="890"/>
      <c r="D197" s="549" t="s">
        <v>1054</v>
      </c>
      <c r="E197" s="863"/>
      <c r="F197" s="864"/>
    </row>
    <row r="198" spans="1:6">
      <c r="A198" s="544"/>
      <c r="B198" s="550" t="s">
        <v>1055</v>
      </c>
      <c r="C198" s="544"/>
      <c r="D198" s="540">
        <v>300</v>
      </c>
      <c r="E198" s="542"/>
      <c r="F198" s="541"/>
    </row>
    <row r="199" spans="1:6">
      <c r="A199" s="551"/>
      <c r="B199" s="551"/>
      <c r="C199" s="551"/>
      <c r="D199" s="542"/>
      <c r="E199" s="542"/>
      <c r="F199" s="543"/>
    </row>
    <row r="200" spans="1:6">
      <c r="A200" s="551"/>
      <c r="B200" s="551" t="s">
        <v>1078</v>
      </c>
      <c r="C200" s="551">
        <v>3321</v>
      </c>
      <c r="D200" s="542"/>
      <c r="E200" s="542"/>
      <c r="F200" s="543"/>
    </row>
    <row r="201" spans="1:6">
      <c r="A201" s="551"/>
      <c r="B201" s="551"/>
      <c r="C201" s="551"/>
      <c r="D201" s="552"/>
      <c r="E201" s="542"/>
      <c r="F201" s="543"/>
    </row>
    <row r="202" spans="1:6">
      <c r="A202" s="551"/>
      <c r="B202" s="551"/>
      <c r="C202" s="551"/>
      <c r="D202" s="542"/>
      <c r="E202" s="542"/>
      <c r="F202" s="543"/>
    </row>
    <row r="203" spans="1:6">
      <c r="A203" s="551"/>
      <c r="B203" s="553" t="s">
        <v>1057</v>
      </c>
      <c r="C203" s="551"/>
      <c r="D203" s="542">
        <v>215</v>
      </c>
      <c r="E203" s="542"/>
      <c r="F203" s="554"/>
    </row>
    <row r="204" spans="1:6">
      <c r="A204" s="551"/>
      <c r="B204" s="551" t="s">
        <v>1059</v>
      </c>
      <c r="C204" s="551"/>
      <c r="D204" s="542"/>
      <c r="E204" s="542"/>
      <c r="F204" s="567">
        <f>+'[1]POW SEF'!F241</f>
        <v>732070</v>
      </c>
    </row>
    <row r="205" spans="1:6">
      <c r="A205" s="551"/>
      <c r="B205" s="551" t="s">
        <v>1060</v>
      </c>
      <c r="C205" s="551"/>
      <c r="D205" s="542"/>
      <c r="E205" s="542"/>
      <c r="F205" s="557">
        <f>+'[1]POW SEF'!F242</f>
        <v>291628</v>
      </c>
    </row>
    <row r="206" spans="1:6" ht="15.75">
      <c r="A206" s="551"/>
      <c r="B206" s="558"/>
      <c r="C206" s="556"/>
      <c r="D206" s="542"/>
      <c r="E206" s="542"/>
      <c r="F206" s="557"/>
    </row>
    <row r="207" spans="1:6">
      <c r="A207" s="551"/>
      <c r="B207" s="558"/>
      <c r="C207" s="551"/>
      <c r="D207" s="542"/>
      <c r="E207" s="542"/>
      <c r="F207" s="554"/>
    </row>
    <row r="208" spans="1:6">
      <c r="A208" s="551"/>
      <c r="B208" s="551"/>
      <c r="C208" s="551"/>
      <c r="D208" s="542"/>
      <c r="E208" s="542"/>
      <c r="F208" s="543"/>
    </row>
    <row r="209" spans="1:6">
      <c r="A209" s="551"/>
      <c r="B209" s="551"/>
      <c r="C209" s="551"/>
      <c r="D209" s="542"/>
      <c r="E209" s="542"/>
      <c r="F209" s="543"/>
    </row>
    <row r="210" spans="1:6">
      <c r="A210" s="551"/>
      <c r="B210" s="551"/>
      <c r="C210" s="551"/>
      <c r="D210" s="542"/>
      <c r="E210" s="542"/>
      <c r="F210" s="543"/>
    </row>
    <row r="211" spans="1:6">
      <c r="A211" s="548"/>
      <c r="B211" s="548"/>
      <c r="C211" s="548"/>
      <c r="D211" s="545"/>
      <c r="E211" s="545"/>
      <c r="F211" s="546"/>
    </row>
    <row r="212" spans="1:6">
      <c r="A212" s="878" t="s">
        <v>1062</v>
      </c>
      <c r="B212" s="879"/>
      <c r="C212" s="879"/>
      <c r="D212" s="879"/>
      <c r="E212" s="559"/>
      <c r="F212" s="560">
        <f>SUM(F204:F211)</f>
        <v>1023698</v>
      </c>
    </row>
    <row r="213" spans="1:6">
      <c r="A213" s="540" t="s">
        <v>1064</v>
      </c>
      <c r="B213" s="880" t="s">
        <v>1065</v>
      </c>
      <c r="C213" s="881"/>
      <c r="D213" s="882"/>
      <c r="E213" s="882"/>
      <c r="F213" s="883"/>
    </row>
    <row r="214" spans="1:6">
      <c r="A214" s="542"/>
      <c r="B214" s="884" t="s">
        <v>1066</v>
      </c>
      <c r="C214" s="885"/>
      <c r="D214" s="886"/>
      <c r="E214" s="886"/>
      <c r="F214" s="887"/>
    </row>
    <row r="215" spans="1:6">
      <c r="A215" s="542"/>
      <c r="B215" s="886"/>
      <c r="C215" s="887"/>
      <c r="D215" s="888" t="s">
        <v>1067</v>
      </c>
      <c r="E215" s="886"/>
      <c r="F215" s="887"/>
    </row>
    <row r="216" spans="1:6">
      <c r="A216" s="542"/>
      <c r="B216" s="884" t="s">
        <v>1068</v>
      </c>
      <c r="C216" s="885"/>
      <c r="D216" s="886"/>
      <c r="E216" s="886"/>
      <c r="F216" s="887"/>
    </row>
    <row r="217" spans="1:6">
      <c r="A217" s="542"/>
      <c r="B217" s="886"/>
      <c r="C217" s="887"/>
      <c r="D217" s="886"/>
      <c r="E217" s="886"/>
      <c r="F217" s="887"/>
    </row>
    <row r="218" spans="1:6">
      <c r="A218" s="542"/>
      <c r="B218" s="886"/>
      <c r="C218" s="887"/>
      <c r="D218" s="886"/>
      <c r="E218" s="886"/>
      <c r="F218" s="887"/>
    </row>
    <row r="219" spans="1:6">
      <c r="A219" s="542" t="s">
        <v>1069</v>
      </c>
      <c r="B219" s="886"/>
      <c r="C219" s="887"/>
      <c r="D219" s="563" t="s">
        <v>1069</v>
      </c>
      <c r="E219" s="886"/>
      <c r="F219" s="887"/>
    </row>
    <row r="220" spans="1:6">
      <c r="A220" s="542" t="s">
        <v>1070</v>
      </c>
      <c r="B220" s="891" t="s">
        <v>1071</v>
      </c>
      <c r="C220" s="909"/>
      <c r="D220" s="563" t="s">
        <v>1070</v>
      </c>
      <c r="E220" s="893" t="s">
        <v>1072</v>
      </c>
      <c r="F220" s="910"/>
    </row>
    <row r="221" spans="1:6">
      <c r="A221" s="542" t="s">
        <v>1073</v>
      </c>
      <c r="B221" s="884" t="s">
        <v>1074</v>
      </c>
      <c r="C221" s="885"/>
      <c r="D221" s="563" t="s">
        <v>1073</v>
      </c>
      <c r="E221" s="886" t="s">
        <v>1075</v>
      </c>
      <c r="F221" s="887"/>
    </row>
    <row r="222" spans="1:6">
      <c r="A222" s="542"/>
      <c r="B222" s="886"/>
      <c r="C222" s="887"/>
      <c r="D222" s="563"/>
      <c r="E222" s="886"/>
      <c r="F222" s="887"/>
    </row>
    <row r="223" spans="1:6">
      <c r="A223" s="542" t="s">
        <v>1045</v>
      </c>
      <c r="B223" s="564"/>
      <c r="C223" s="562"/>
      <c r="D223" s="563" t="s">
        <v>1045</v>
      </c>
      <c r="E223" s="564"/>
      <c r="F223" s="565"/>
    </row>
    <row r="224" spans="1:6">
      <c r="A224" s="545"/>
      <c r="B224" s="895"/>
      <c r="C224" s="896"/>
      <c r="D224" s="566"/>
      <c r="E224" s="895"/>
      <c r="F224" s="896"/>
    </row>
    <row r="225" spans="1:6">
      <c r="A225" s="563"/>
      <c r="B225" s="561"/>
      <c r="C225" s="561"/>
      <c r="D225" s="563"/>
      <c r="E225" s="561"/>
      <c r="F225" s="561"/>
    </row>
    <row r="238" spans="1:6">
      <c r="A238" s="886" t="s">
        <v>1036</v>
      </c>
      <c r="B238" s="886"/>
      <c r="C238" s="886"/>
      <c r="D238" s="886"/>
      <c r="E238" s="886"/>
      <c r="F238" s="886"/>
    </row>
    <row r="239" spans="1:6">
      <c r="A239" s="887" t="s">
        <v>1037</v>
      </c>
      <c r="B239" s="915"/>
      <c r="C239" s="915"/>
      <c r="D239" s="915"/>
      <c r="E239" s="915"/>
      <c r="F239" s="888"/>
    </row>
    <row r="240" spans="1:6">
      <c r="A240" s="896" t="s">
        <v>1038</v>
      </c>
      <c r="B240" s="916"/>
      <c r="C240" s="916"/>
      <c r="D240" s="916"/>
      <c r="E240" s="916"/>
      <c r="F240" s="917"/>
    </row>
    <row r="241" spans="1:6" ht="15.75">
      <c r="A241" s="845" t="s">
        <v>1039</v>
      </c>
      <c r="B241" s="845"/>
      <c r="C241" s="845"/>
      <c r="D241" s="872"/>
      <c r="E241" s="537" t="s">
        <v>1040</v>
      </c>
      <c r="F241" s="538" t="s">
        <v>1081</v>
      </c>
    </row>
    <row r="242" spans="1:6">
      <c r="A242" s="539" t="s">
        <v>1042</v>
      </c>
      <c r="B242" s="873"/>
      <c r="C242" s="873"/>
      <c r="D242" s="874"/>
      <c r="E242" s="540"/>
      <c r="F242" s="541"/>
    </row>
    <row r="243" spans="1:6" ht="21">
      <c r="A243" s="539" t="s">
        <v>1043</v>
      </c>
      <c r="B243" s="913" t="s">
        <v>1082</v>
      </c>
      <c r="C243" s="913"/>
      <c r="D243" s="914"/>
      <c r="E243" s="542" t="s">
        <v>1045</v>
      </c>
      <c r="F243" s="543"/>
    </row>
    <row r="244" spans="1:6">
      <c r="A244" s="544" t="s">
        <v>1046</v>
      </c>
      <c r="B244" s="877" t="s">
        <v>1047</v>
      </c>
      <c r="C244" s="877"/>
      <c r="D244" s="865"/>
      <c r="E244" s="545"/>
      <c r="F244" s="546"/>
    </row>
    <row r="245" spans="1:6">
      <c r="A245" s="544" t="s">
        <v>1048</v>
      </c>
      <c r="B245" s="889" t="s">
        <v>1049</v>
      </c>
      <c r="C245" s="889" t="s">
        <v>1050</v>
      </c>
      <c r="D245" s="547" t="s">
        <v>1051</v>
      </c>
      <c r="E245" s="861" t="s">
        <v>1052</v>
      </c>
      <c r="F245" s="862"/>
    </row>
    <row r="246" spans="1:6">
      <c r="A246" s="548" t="s">
        <v>1053</v>
      </c>
      <c r="B246" s="890"/>
      <c r="C246" s="890"/>
      <c r="D246" s="549" t="s">
        <v>1054</v>
      </c>
      <c r="E246" s="863"/>
      <c r="F246" s="864"/>
    </row>
    <row r="247" spans="1:6">
      <c r="A247" s="544"/>
      <c r="B247" s="550" t="s">
        <v>1083</v>
      </c>
      <c r="C247" s="544"/>
      <c r="D247" s="540">
        <v>200</v>
      </c>
      <c r="E247" s="542"/>
      <c r="F247" s="541"/>
    </row>
    <row r="248" spans="1:6">
      <c r="A248" s="551"/>
      <c r="B248" s="551"/>
      <c r="C248" s="551"/>
      <c r="D248" s="542"/>
      <c r="E248" s="542"/>
      <c r="F248" s="543"/>
    </row>
    <row r="249" spans="1:6">
      <c r="A249" s="551"/>
      <c r="B249" s="551" t="s">
        <v>1078</v>
      </c>
      <c r="C249" s="551">
        <v>3321</v>
      </c>
      <c r="D249" s="542"/>
      <c r="E249" s="542"/>
      <c r="F249" s="543"/>
    </row>
    <row r="250" spans="1:6">
      <c r="A250" s="551"/>
      <c r="B250" s="551"/>
      <c r="C250" s="551"/>
      <c r="D250" s="552"/>
      <c r="E250" s="542"/>
      <c r="F250" s="543"/>
    </row>
    <row r="251" spans="1:6">
      <c r="A251" s="551"/>
      <c r="B251" s="551"/>
      <c r="C251" s="551"/>
      <c r="D251" s="542"/>
      <c r="E251" s="542"/>
      <c r="F251" s="543"/>
    </row>
    <row r="252" spans="1:6">
      <c r="A252" s="551"/>
      <c r="B252" s="568" t="s">
        <v>1084</v>
      </c>
      <c r="C252" s="551"/>
      <c r="D252" s="542">
        <v>812</v>
      </c>
      <c r="E252" s="542"/>
      <c r="F252" s="554"/>
    </row>
    <row r="253" spans="1:6">
      <c r="A253" s="551"/>
      <c r="B253" s="551" t="s">
        <v>1085</v>
      </c>
      <c r="C253" s="551"/>
      <c r="D253" s="542"/>
      <c r="E253" s="542"/>
      <c r="F253" s="554">
        <f>+'[1]POW SEF'!F355</f>
        <v>527646</v>
      </c>
    </row>
    <row r="254" spans="1:6">
      <c r="A254" s="551"/>
      <c r="B254" s="551" t="s">
        <v>1086</v>
      </c>
      <c r="C254" s="551"/>
      <c r="D254" s="542"/>
      <c r="E254" s="542"/>
      <c r="F254" s="569">
        <f>+'[1]POW SEF'!F356</f>
        <v>209858.4</v>
      </c>
    </row>
    <row r="255" spans="1:6">
      <c r="A255" s="551"/>
      <c r="B255" s="551"/>
      <c r="C255" s="551"/>
      <c r="D255" s="542"/>
      <c r="E255" s="542"/>
      <c r="F255" s="557"/>
    </row>
    <row r="256" spans="1:6">
      <c r="A256" s="551"/>
      <c r="B256" s="551"/>
      <c r="C256" s="551"/>
      <c r="D256" s="542"/>
      <c r="E256" s="542"/>
      <c r="F256" s="543"/>
    </row>
    <row r="257" spans="1:6">
      <c r="A257" s="551"/>
      <c r="B257" s="551"/>
      <c r="C257" s="551"/>
      <c r="D257" s="542"/>
      <c r="E257" s="542"/>
      <c r="F257" s="543"/>
    </row>
    <row r="258" spans="1:6">
      <c r="A258" s="551"/>
      <c r="B258" s="551"/>
      <c r="C258" s="551"/>
      <c r="D258" s="542"/>
      <c r="E258" s="542"/>
      <c r="F258" s="543"/>
    </row>
    <row r="259" spans="1:6">
      <c r="A259" s="551"/>
      <c r="B259" s="551"/>
      <c r="C259" s="551"/>
      <c r="D259" s="542"/>
      <c r="E259" s="542"/>
      <c r="F259" s="543"/>
    </row>
    <row r="260" spans="1:6">
      <c r="A260" s="551"/>
      <c r="B260" s="551"/>
      <c r="C260" s="551"/>
      <c r="D260" s="542"/>
      <c r="E260" s="542"/>
      <c r="F260" s="543"/>
    </row>
    <row r="261" spans="1:6">
      <c r="A261" s="548"/>
      <c r="B261" s="548"/>
      <c r="C261" s="548"/>
      <c r="D261" s="545"/>
      <c r="E261" s="545"/>
      <c r="F261" s="546"/>
    </row>
    <row r="262" spans="1:6">
      <c r="A262" s="878" t="s">
        <v>1062</v>
      </c>
      <c r="B262" s="879"/>
      <c r="C262" s="879"/>
      <c r="D262" s="879"/>
      <c r="E262" s="559"/>
      <c r="F262" s="560">
        <f>SUM(F253:F261)</f>
        <v>737504.4</v>
      </c>
    </row>
    <row r="263" spans="1:6">
      <c r="A263" s="540" t="s">
        <v>1064</v>
      </c>
      <c r="B263" s="880" t="s">
        <v>1065</v>
      </c>
      <c r="C263" s="881"/>
      <c r="D263" s="882"/>
      <c r="E263" s="882"/>
      <c r="F263" s="883"/>
    </row>
    <row r="264" spans="1:6">
      <c r="A264" s="542"/>
      <c r="B264" s="884" t="s">
        <v>1066</v>
      </c>
      <c r="C264" s="885"/>
      <c r="D264" s="886"/>
      <c r="E264" s="886"/>
      <c r="F264" s="887"/>
    </row>
    <row r="265" spans="1:6">
      <c r="A265" s="542"/>
      <c r="B265" s="886"/>
      <c r="C265" s="887"/>
      <c r="D265" s="888" t="s">
        <v>1067</v>
      </c>
      <c r="E265" s="886"/>
      <c r="F265" s="887"/>
    </row>
    <row r="266" spans="1:6">
      <c r="A266" s="542"/>
      <c r="B266" s="884" t="s">
        <v>1068</v>
      </c>
      <c r="C266" s="885"/>
      <c r="D266" s="886"/>
      <c r="E266" s="886"/>
      <c r="F266" s="887"/>
    </row>
    <row r="267" spans="1:6">
      <c r="A267" s="542"/>
      <c r="B267" s="886"/>
      <c r="C267" s="887"/>
      <c r="D267" s="886"/>
      <c r="E267" s="886"/>
      <c r="F267" s="887"/>
    </row>
    <row r="268" spans="1:6">
      <c r="A268" s="542"/>
      <c r="B268" s="886"/>
      <c r="C268" s="887"/>
      <c r="D268" s="886"/>
      <c r="E268" s="886"/>
      <c r="F268" s="887"/>
    </row>
    <row r="269" spans="1:6">
      <c r="A269" s="542" t="s">
        <v>1069</v>
      </c>
      <c r="B269" s="886"/>
      <c r="C269" s="887"/>
      <c r="D269" s="563" t="s">
        <v>1069</v>
      </c>
      <c r="E269" s="886"/>
      <c r="F269" s="887"/>
    </row>
    <row r="270" spans="1:6">
      <c r="A270" s="542" t="s">
        <v>1070</v>
      </c>
      <c r="B270" s="891" t="s">
        <v>1071</v>
      </c>
      <c r="C270" s="909"/>
      <c r="D270" s="563" t="s">
        <v>1070</v>
      </c>
      <c r="E270" s="893" t="s">
        <v>1072</v>
      </c>
      <c r="F270" s="910"/>
    </row>
    <row r="271" spans="1:6">
      <c r="A271" s="542" t="s">
        <v>1073</v>
      </c>
      <c r="B271" s="884" t="s">
        <v>1074</v>
      </c>
      <c r="C271" s="885"/>
      <c r="D271" s="563" t="s">
        <v>1073</v>
      </c>
      <c r="E271" s="886" t="s">
        <v>1075</v>
      </c>
      <c r="F271" s="887"/>
    </row>
    <row r="272" spans="1:6">
      <c r="A272" s="542"/>
      <c r="B272" s="886"/>
      <c r="C272" s="887"/>
      <c r="D272" s="563"/>
      <c r="E272" s="886"/>
      <c r="F272" s="887"/>
    </row>
    <row r="273" spans="1:6">
      <c r="A273" s="542" t="s">
        <v>1045</v>
      </c>
      <c r="B273" s="564"/>
      <c r="C273" s="562"/>
      <c r="D273" s="563" t="s">
        <v>1045</v>
      </c>
      <c r="E273" s="564"/>
      <c r="F273" s="565"/>
    </row>
    <row r="274" spans="1:6">
      <c r="A274" s="545"/>
      <c r="B274" s="895"/>
      <c r="C274" s="896"/>
      <c r="D274" s="566"/>
      <c r="E274" s="895"/>
      <c r="F274" s="896"/>
    </row>
    <row r="282" spans="1:6">
      <c r="A282" s="837" t="s">
        <v>1036</v>
      </c>
      <c r="B282" s="837"/>
      <c r="C282" s="837"/>
      <c r="D282" s="837"/>
      <c r="E282" s="837"/>
      <c r="F282" s="837"/>
    </row>
    <row r="283" spans="1:6">
      <c r="A283" s="838" t="s">
        <v>1037</v>
      </c>
      <c r="B283" s="867"/>
      <c r="C283" s="867"/>
      <c r="D283" s="867"/>
      <c r="E283" s="867"/>
      <c r="F283" s="868"/>
    </row>
    <row r="284" spans="1:6">
      <c r="A284" s="869" t="s">
        <v>1038</v>
      </c>
      <c r="B284" s="870"/>
      <c r="C284" s="870"/>
      <c r="D284" s="870"/>
      <c r="E284" s="870"/>
      <c r="F284" s="871"/>
    </row>
    <row r="285" spans="1:6" ht="15.75">
      <c r="A285" s="845" t="s">
        <v>1039</v>
      </c>
      <c r="B285" s="845"/>
      <c r="C285" s="845"/>
      <c r="D285" s="872"/>
      <c r="E285" s="865" t="s">
        <v>1087</v>
      </c>
      <c r="F285" s="866"/>
    </row>
    <row r="286" spans="1:6">
      <c r="A286" s="539" t="s">
        <v>1042</v>
      </c>
      <c r="B286" s="873"/>
      <c r="C286" s="873"/>
      <c r="D286" s="874"/>
      <c r="E286" s="540"/>
      <c r="F286" s="541"/>
    </row>
    <row r="287" spans="1:6" ht="18.75">
      <c r="A287" s="539" t="s">
        <v>1043</v>
      </c>
      <c r="B287" s="875" t="s">
        <v>1077</v>
      </c>
      <c r="C287" s="875"/>
      <c r="D287" s="876"/>
      <c r="E287" s="542" t="s">
        <v>1045</v>
      </c>
      <c r="F287" s="543"/>
    </row>
    <row r="288" spans="1:6">
      <c r="A288" s="544" t="s">
        <v>1046</v>
      </c>
      <c r="B288" s="877" t="s">
        <v>1047</v>
      </c>
      <c r="C288" s="877"/>
      <c r="D288" s="865"/>
      <c r="E288" s="545"/>
      <c r="F288" s="546"/>
    </row>
    <row r="289" spans="1:6">
      <c r="A289" s="544" t="s">
        <v>1048</v>
      </c>
      <c r="B289" s="889" t="s">
        <v>1049</v>
      </c>
      <c r="C289" s="889" t="s">
        <v>1050</v>
      </c>
      <c r="D289" s="547" t="s">
        <v>1051</v>
      </c>
      <c r="E289" s="861" t="s">
        <v>1052</v>
      </c>
      <c r="F289" s="862"/>
    </row>
    <row r="290" spans="1:6">
      <c r="A290" s="548" t="s">
        <v>1053</v>
      </c>
      <c r="B290" s="890"/>
      <c r="C290" s="890"/>
      <c r="D290" s="549" t="s">
        <v>1054</v>
      </c>
      <c r="E290" s="863"/>
      <c r="F290" s="864"/>
    </row>
    <row r="291" spans="1:6">
      <c r="A291" s="544"/>
      <c r="B291" s="550" t="s">
        <v>1055</v>
      </c>
      <c r="C291" s="544"/>
      <c r="D291" s="540">
        <v>300</v>
      </c>
      <c r="E291" s="542"/>
      <c r="F291" s="541"/>
    </row>
    <row r="292" spans="1:6">
      <c r="A292" s="551"/>
      <c r="B292" s="551"/>
      <c r="C292" s="551"/>
      <c r="D292" s="542"/>
      <c r="E292" s="542"/>
      <c r="F292" s="543"/>
    </row>
    <row r="293" spans="1:6">
      <c r="A293" s="551"/>
      <c r="B293" s="551" t="s">
        <v>1078</v>
      </c>
      <c r="C293" s="551">
        <v>3321</v>
      </c>
      <c r="D293" s="542"/>
      <c r="E293" s="542"/>
      <c r="F293" s="543"/>
    </row>
    <row r="294" spans="1:6">
      <c r="A294" s="551"/>
      <c r="B294" s="551"/>
      <c r="C294" s="551"/>
      <c r="D294" s="552"/>
      <c r="E294" s="542"/>
      <c r="F294" s="543"/>
    </row>
    <row r="295" spans="1:6">
      <c r="A295" s="551"/>
      <c r="B295" s="551"/>
      <c r="C295" s="551"/>
      <c r="D295" s="542"/>
      <c r="E295" s="542"/>
      <c r="F295" s="543"/>
    </row>
    <row r="296" spans="1:6">
      <c r="A296" s="551"/>
      <c r="B296" s="553" t="s">
        <v>1057</v>
      </c>
      <c r="C296" s="551"/>
      <c r="D296" s="542">
        <v>215</v>
      </c>
      <c r="E296" s="542"/>
      <c r="F296" s="554"/>
    </row>
    <row r="297" spans="1:6">
      <c r="A297" s="551"/>
      <c r="B297" s="551" t="s">
        <v>1088</v>
      </c>
      <c r="C297" s="551"/>
      <c r="D297" s="542"/>
      <c r="E297" s="542"/>
      <c r="F297" s="567">
        <v>350827</v>
      </c>
    </row>
    <row r="298" spans="1:6">
      <c r="A298" s="551"/>
      <c r="B298" s="551" t="s">
        <v>1089</v>
      </c>
      <c r="C298" s="551"/>
      <c r="D298" s="542"/>
      <c r="E298" s="542"/>
      <c r="F298" s="557">
        <f>123130.8+5315.02</f>
        <v>128445.82</v>
      </c>
    </row>
    <row r="299" spans="1:6" ht="15.75">
      <c r="A299" s="551"/>
      <c r="B299" s="558" t="s">
        <v>1079</v>
      </c>
      <c r="C299" s="556"/>
      <c r="D299" s="542"/>
      <c r="E299" s="542"/>
      <c r="F299" s="557">
        <v>13840</v>
      </c>
    </row>
    <row r="300" spans="1:6">
      <c r="A300" s="551"/>
      <c r="B300" s="558"/>
      <c r="C300" s="551"/>
      <c r="D300" s="542"/>
      <c r="E300" s="542"/>
      <c r="F300" s="554"/>
    </row>
    <row r="301" spans="1:6">
      <c r="A301" s="551"/>
      <c r="B301" s="551"/>
      <c r="C301" s="551"/>
      <c r="D301" s="542"/>
      <c r="E301" s="542"/>
      <c r="F301" s="543"/>
    </row>
    <row r="302" spans="1:6">
      <c r="A302" s="551"/>
      <c r="B302" s="551"/>
      <c r="C302" s="551"/>
      <c r="D302" s="542"/>
      <c r="E302" s="542"/>
      <c r="F302" s="543"/>
    </row>
    <row r="303" spans="1:6">
      <c r="A303" s="551"/>
      <c r="B303" s="551"/>
      <c r="C303" s="551"/>
      <c r="D303" s="542"/>
      <c r="E303" s="542"/>
      <c r="F303" s="543"/>
    </row>
    <row r="304" spans="1:6">
      <c r="A304" s="548"/>
      <c r="B304" s="548"/>
      <c r="C304" s="548"/>
      <c r="D304" s="545"/>
      <c r="E304" s="545"/>
      <c r="F304" s="546"/>
    </row>
    <row r="305" spans="1:6">
      <c r="A305" s="878" t="s">
        <v>1062</v>
      </c>
      <c r="B305" s="879"/>
      <c r="C305" s="879"/>
      <c r="D305" s="879"/>
      <c r="E305" s="559"/>
      <c r="F305" s="560">
        <f>SUM(F297:F304)</f>
        <v>493112.82</v>
      </c>
    </row>
    <row r="306" spans="1:6">
      <c r="A306" s="540" t="s">
        <v>1064</v>
      </c>
      <c r="B306" s="880" t="s">
        <v>1065</v>
      </c>
      <c r="C306" s="881"/>
      <c r="D306" s="882"/>
      <c r="E306" s="882"/>
      <c r="F306" s="883"/>
    </row>
    <row r="307" spans="1:6">
      <c r="A307" s="542"/>
      <c r="B307" s="884" t="s">
        <v>1066</v>
      </c>
      <c r="C307" s="885"/>
      <c r="D307" s="886"/>
      <c r="E307" s="886"/>
      <c r="F307" s="887"/>
    </row>
    <row r="308" spans="1:6">
      <c r="A308" s="542"/>
      <c r="B308" s="886"/>
      <c r="C308" s="887"/>
      <c r="D308" s="888" t="s">
        <v>1067</v>
      </c>
      <c r="E308" s="886"/>
      <c r="F308" s="887"/>
    </row>
    <row r="309" spans="1:6">
      <c r="A309" s="542"/>
      <c r="B309" s="884" t="s">
        <v>1068</v>
      </c>
      <c r="C309" s="885"/>
      <c r="D309" s="886"/>
      <c r="E309" s="886"/>
      <c r="F309" s="887"/>
    </row>
    <row r="310" spans="1:6">
      <c r="A310" s="542"/>
      <c r="B310" s="886"/>
      <c r="C310" s="887"/>
      <c r="D310" s="886"/>
      <c r="E310" s="886"/>
      <c r="F310" s="887"/>
    </row>
    <row r="311" spans="1:6">
      <c r="A311" s="542"/>
      <c r="B311" s="886"/>
      <c r="C311" s="887"/>
      <c r="D311" s="886"/>
      <c r="E311" s="886"/>
      <c r="F311" s="887"/>
    </row>
    <row r="312" spans="1:6">
      <c r="A312" s="542" t="s">
        <v>1069</v>
      </c>
      <c r="B312" s="886"/>
      <c r="C312" s="887"/>
      <c r="D312" s="563" t="s">
        <v>1069</v>
      </c>
      <c r="E312" s="886"/>
      <c r="F312" s="887"/>
    </row>
    <row r="313" spans="1:6">
      <c r="A313" s="542" t="s">
        <v>1070</v>
      </c>
      <c r="B313" s="891" t="s">
        <v>1071</v>
      </c>
      <c r="C313" s="909"/>
      <c r="D313" s="563" t="s">
        <v>1070</v>
      </c>
      <c r="E313" s="893" t="s">
        <v>1072</v>
      </c>
      <c r="F313" s="910"/>
    </row>
    <row r="314" spans="1:6">
      <c r="A314" s="542" t="s">
        <v>1073</v>
      </c>
      <c r="B314" s="884" t="s">
        <v>1074</v>
      </c>
      <c r="C314" s="885"/>
      <c r="D314" s="563" t="s">
        <v>1073</v>
      </c>
      <c r="E314" s="886" t="s">
        <v>1075</v>
      </c>
      <c r="F314" s="887"/>
    </row>
    <row r="315" spans="1:6">
      <c r="A315" s="542"/>
      <c r="B315" s="886"/>
      <c r="C315" s="887"/>
      <c r="D315" s="563"/>
      <c r="E315" s="886"/>
      <c r="F315" s="887"/>
    </row>
    <row r="316" spans="1:6">
      <c r="A316" s="542" t="s">
        <v>1045</v>
      </c>
      <c r="B316" s="564"/>
      <c r="C316" s="562"/>
      <c r="D316" s="563" t="s">
        <v>1045</v>
      </c>
      <c r="E316" s="564"/>
      <c r="F316" s="565"/>
    </row>
    <row r="317" spans="1:6">
      <c r="A317" s="545"/>
      <c r="B317" s="895"/>
      <c r="C317" s="896"/>
      <c r="D317" s="566"/>
      <c r="E317" s="895"/>
      <c r="F317" s="896"/>
    </row>
    <row r="318" spans="1:6">
      <c r="A318" s="563"/>
      <c r="B318" s="561"/>
      <c r="C318" s="561"/>
      <c r="D318" s="563"/>
      <c r="E318" s="561"/>
      <c r="F318" s="561"/>
    </row>
    <row r="329" spans="1:6">
      <c r="A329" s="837" t="s">
        <v>1036</v>
      </c>
      <c r="B329" s="837"/>
      <c r="C329" s="837"/>
      <c r="D329" s="837"/>
      <c r="E329" s="837"/>
      <c r="F329" s="837"/>
    </row>
    <row r="330" spans="1:6">
      <c r="A330" s="838" t="s">
        <v>1037</v>
      </c>
      <c r="B330" s="867"/>
      <c r="C330" s="867"/>
      <c r="D330" s="867"/>
      <c r="E330" s="867"/>
      <c r="F330" s="868"/>
    </row>
    <row r="331" spans="1:6">
      <c r="A331" s="869" t="s">
        <v>1038</v>
      </c>
      <c r="B331" s="870"/>
      <c r="C331" s="870"/>
      <c r="D331" s="870"/>
      <c r="E331" s="870"/>
      <c r="F331" s="871"/>
    </row>
    <row r="332" spans="1:6" ht="15.75">
      <c r="A332" s="845" t="s">
        <v>1039</v>
      </c>
      <c r="B332" s="845"/>
      <c r="C332" s="845"/>
      <c r="D332" s="872"/>
      <c r="E332" s="865" t="s">
        <v>1087</v>
      </c>
      <c r="F332" s="866"/>
    </row>
    <row r="333" spans="1:6">
      <c r="A333" s="539" t="s">
        <v>1042</v>
      </c>
      <c r="B333" s="873"/>
      <c r="C333" s="873"/>
      <c r="D333" s="874"/>
      <c r="E333" s="540"/>
      <c r="F333" s="541"/>
    </row>
    <row r="334" spans="1:6" ht="18.75">
      <c r="A334" s="539" t="s">
        <v>1043</v>
      </c>
      <c r="B334" s="875" t="s">
        <v>1077</v>
      </c>
      <c r="C334" s="875"/>
      <c r="D334" s="876"/>
      <c r="E334" s="542" t="s">
        <v>1045</v>
      </c>
      <c r="F334" s="543"/>
    </row>
    <row r="335" spans="1:6">
      <c r="A335" s="544" t="s">
        <v>1046</v>
      </c>
      <c r="B335" s="877" t="s">
        <v>1047</v>
      </c>
      <c r="C335" s="877"/>
      <c r="D335" s="865"/>
      <c r="E335" s="545"/>
      <c r="F335" s="546"/>
    </row>
    <row r="336" spans="1:6">
      <c r="A336" s="544" t="s">
        <v>1048</v>
      </c>
      <c r="B336" s="889" t="s">
        <v>1049</v>
      </c>
      <c r="C336" s="889" t="s">
        <v>1050</v>
      </c>
      <c r="D336" s="547" t="s">
        <v>1051</v>
      </c>
      <c r="E336" s="861" t="s">
        <v>1052</v>
      </c>
      <c r="F336" s="862"/>
    </row>
    <row r="337" spans="1:6">
      <c r="A337" s="548" t="s">
        <v>1053</v>
      </c>
      <c r="B337" s="890"/>
      <c r="C337" s="890"/>
      <c r="D337" s="549" t="s">
        <v>1054</v>
      </c>
      <c r="E337" s="863"/>
      <c r="F337" s="864"/>
    </row>
    <row r="338" spans="1:6">
      <c r="A338" s="544"/>
      <c r="B338" s="550" t="s">
        <v>1055</v>
      </c>
      <c r="C338" s="544"/>
      <c r="D338" s="540">
        <v>300</v>
      </c>
      <c r="E338" s="542"/>
      <c r="F338" s="541"/>
    </row>
    <row r="339" spans="1:6">
      <c r="A339" s="551"/>
      <c r="B339" s="551"/>
      <c r="C339" s="551"/>
      <c r="D339" s="542"/>
      <c r="E339" s="542"/>
      <c r="F339" s="543"/>
    </row>
    <row r="340" spans="1:6">
      <c r="A340" s="551"/>
      <c r="B340" s="551" t="s">
        <v>1078</v>
      </c>
      <c r="C340" s="551">
        <v>3321</v>
      </c>
      <c r="D340" s="542"/>
      <c r="E340" s="542"/>
      <c r="F340" s="543"/>
    </row>
    <row r="341" spans="1:6">
      <c r="A341" s="551"/>
      <c r="B341" s="899" t="s">
        <v>1090</v>
      </c>
      <c r="C341" s="551"/>
      <c r="D341" s="552"/>
      <c r="E341" s="542"/>
      <c r="F341" s="543"/>
    </row>
    <row r="342" spans="1:6">
      <c r="A342" s="551"/>
      <c r="B342" s="899"/>
      <c r="C342" s="551"/>
      <c r="D342" s="542"/>
      <c r="E342" s="542"/>
      <c r="F342" s="543"/>
    </row>
    <row r="343" spans="1:6">
      <c r="A343" s="551"/>
      <c r="B343" s="570"/>
      <c r="C343" s="551"/>
      <c r="D343" s="542"/>
      <c r="E343" s="542"/>
      <c r="F343" s="543"/>
    </row>
    <row r="344" spans="1:6">
      <c r="A344" s="551"/>
      <c r="B344" s="570"/>
      <c r="C344" s="551"/>
      <c r="D344" s="542"/>
      <c r="E344" s="542"/>
      <c r="F344" s="543"/>
    </row>
    <row r="345" spans="1:6">
      <c r="A345" s="551"/>
      <c r="B345" s="553" t="s">
        <v>1057</v>
      </c>
      <c r="C345" s="551"/>
      <c r="D345" s="542">
        <v>215</v>
      </c>
      <c r="E345" s="542"/>
      <c r="F345" s="554"/>
    </row>
    <row r="346" spans="1:6">
      <c r="A346" s="551"/>
      <c r="B346" s="551" t="s">
        <v>1088</v>
      </c>
      <c r="C346" s="551"/>
      <c r="D346" s="542"/>
      <c r="E346" s="542"/>
      <c r="F346" s="567">
        <v>340327</v>
      </c>
    </row>
    <row r="347" spans="1:6">
      <c r="A347" s="551"/>
      <c r="B347" s="551" t="s">
        <v>1089</v>
      </c>
      <c r="C347" s="551"/>
      <c r="D347" s="542"/>
      <c r="E347" s="542"/>
      <c r="F347" s="557">
        <f>118930.8+5315.02</f>
        <v>124245.82</v>
      </c>
    </row>
    <row r="348" spans="1:6" ht="15.75">
      <c r="A348" s="551"/>
      <c r="B348" s="558" t="s">
        <v>1079</v>
      </c>
      <c r="C348" s="556"/>
      <c r="D348" s="542"/>
      <c r="E348" s="542"/>
      <c r="F348" s="557">
        <v>13840</v>
      </c>
    </row>
    <row r="349" spans="1:6">
      <c r="A349" s="551"/>
      <c r="B349" s="558"/>
      <c r="C349" s="551"/>
      <c r="D349" s="542"/>
      <c r="E349" s="542"/>
      <c r="F349" s="554"/>
    </row>
    <row r="350" spans="1:6">
      <c r="A350" s="551"/>
      <c r="B350" s="551"/>
      <c r="C350" s="551"/>
      <c r="D350" s="542"/>
      <c r="E350" s="542"/>
      <c r="F350" s="543"/>
    </row>
    <row r="351" spans="1:6">
      <c r="A351" s="551"/>
      <c r="B351" s="551"/>
      <c r="C351" s="551"/>
      <c r="D351" s="542"/>
      <c r="E351" s="542"/>
      <c r="F351" s="543"/>
    </row>
    <row r="352" spans="1:6">
      <c r="A352" s="551"/>
      <c r="B352" s="551"/>
      <c r="C352" s="551"/>
      <c r="D352" s="542"/>
      <c r="E352" s="542"/>
      <c r="F352" s="543"/>
    </row>
    <row r="353" spans="1:6">
      <c r="A353" s="548"/>
      <c r="B353" s="548"/>
      <c r="C353" s="548"/>
      <c r="D353" s="545"/>
      <c r="E353" s="545"/>
      <c r="F353" s="546"/>
    </row>
    <row r="354" spans="1:6">
      <c r="A354" s="878" t="s">
        <v>1062</v>
      </c>
      <c r="B354" s="879"/>
      <c r="C354" s="879"/>
      <c r="D354" s="879"/>
      <c r="E354" s="559"/>
      <c r="F354" s="560">
        <f>SUM(F346:F353)</f>
        <v>478412.82</v>
      </c>
    </row>
    <row r="355" spans="1:6">
      <c r="A355" s="540" t="s">
        <v>1064</v>
      </c>
      <c r="B355" s="880" t="s">
        <v>1065</v>
      </c>
      <c r="C355" s="881"/>
      <c r="D355" s="882"/>
      <c r="E355" s="882"/>
      <c r="F355" s="883"/>
    </row>
    <row r="356" spans="1:6">
      <c r="A356" s="542"/>
      <c r="B356" s="884" t="s">
        <v>1066</v>
      </c>
      <c r="C356" s="885"/>
      <c r="D356" s="886"/>
      <c r="E356" s="886"/>
      <c r="F356" s="887"/>
    </row>
    <row r="357" spans="1:6">
      <c r="A357" s="542"/>
      <c r="B357" s="886"/>
      <c r="C357" s="887"/>
      <c r="D357" s="888" t="s">
        <v>1067</v>
      </c>
      <c r="E357" s="886"/>
      <c r="F357" s="887"/>
    </row>
    <row r="358" spans="1:6">
      <c r="A358" s="542"/>
      <c r="B358" s="884" t="s">
        <v>1068</v>
      </c>
      <c r="C358" s="885"/>
      <c r="D358" s="886"/>
      <c r="E358" s="886"/>
      <c r="F358" s="887"/>
    </row>
    <row r="359" spans="1:6">
      <c r="A359" s="542"/>
      <c r="B359" s="886"/>
      <c r="C359" s="887"/>
      <c r="D359" s="886"/>
      <c r="E359" s="886"/>
      <c r="F359" s="887"/>
    </row>
    <row r="360" spans="1:6">
      <c r="A360" s="542"/>
      <c r="B360" s="886"/>
      <c r="C360" s="887"/>
      <c r="D360" s="886"/>
      <c r="E360" s="886"/>
      <c r="F360" s="887"/>
    </row>
    <row r="361" spans="1:6">
      <c r="A361" s="542" t="s">
        <v>1069</v>
      </c>
      <c r="B361" s="886"/>
      <c r="C361" s="887"/>
      <c r="D361" s="563" t="s">
        <v>1069</v>
      </c>
      <c r="E361" s="886"/>
      <c r="F361" s="887"/>
    </row>
    <row r="362" spans="1:6">
      <c r="A362" s="542" t="s">
        <v>1070</v>
      </c>
      <c r="B362" s="891" t="s">
        <v>1071</v>
      </c>
      <c r="C362" s="909"/>
      <c r="D362" s="563" t="s">
        <v>1070</v>
      </c>
      <c r="E362" s="893" t="s">
        <v>1072</v>
      </c>
      <c r="F362" s="910"/>
    </row>
    <row r="363" spans="1:6">
      <c r="A363" s="542" t="s">
        <v>1073</v>
      </c>
      <c r="B363" s="884" t="s">
        <v>1074</v>
      </c>
      <c r="C363" s="885"/>
      <c r="D363" s="563" t="s">
        <v>1073</v>
      </c>
      <c r="E363" s="886" t="s">
        <v>1075</v>
      </c>
      <c r="F363" s="887"/>
    </row>
    <row r="364" spans="1:6">
      <c r="A364" s="542"/>
      <c r="B364" s="886"/>
      <c r="C364" s="887"/>
      <c r="D364" s="563"/>
      <c r="E364" s="886"/>
      <c r="F364" s="887"/>
    </row>
    <row r="365" spans="1:6">
      <c r="A365" s="542" t="s">
        <v>1045</v>
      </c>
      <c r="B365" s="564"/>
      <c r="C365" s="562"/>
      <c r="D365" s="563" t="s">
        <v>1045</v>
      </c>
      <c r="E365" s="564"/>
      <c r="F365" s="565"/>
    </row>
    <row r="366" spans="1:6">
      <c r="A366" s="545"/>
      <c r="B366" s="895"/>
      <c r="C366" s="896"/>
      <c r="D366" s="566"/>
      <c r="E366" s="895"/>
      <c r="F366" s="896"/>
    </row>
    <row r="376" spans="1:6">
      <c r="A376" s="837" t="s">
        <v>1036</v>
      </c>
      <c r="B376" s="837"/>
      <c r="C376" s="837"/>
      <c r="D376" s="837"/>
      <c r="E376" s="837"/>
      <c r="F376" s="837"/>
    </row>
    <row r="377" spans="1:6">
      <c r="A377" s="838" t="s">
        <v>1037</v>
      </c>
      <c r="B377" s="867"/>
      <c r="C377" s="867"/>
      <c r="D377" s="867"/>
      <c r="E377" s="867"/>
      <c r="F377" s="868"/>
    </row>
    <row r="378" spans="1:6">
      <c r="A378" s="869" t="s">
        <v>1038</v>
      </c>
      <c r="B378" s="870"/>
      <c r="C378" s="870"/>
      <c r="D378" s="870"/>
      <c r="E378" s="870"/>
      <c r="F378" s="871"/>
    </row>
    <row r="379" spans="1:6" ht="15.75">
      <c r="A379" s="845" t="s">
        <v>1039</v>
      </c>
      <c r="B379" s="845"/>
      <c r="C379" s="845"/>
      <c r="D379" s="872"/>
      <c r="E379" s="865" t="s">
        <v>1087</v>
      </c>
      <c r="F379" s="866"/>
    </row>
    <row r="380" spans="1:6">
      <c r="A380" s="539" t="s">
        <v>1042</v>
      </c>
      <c r="B380" s="873"/>
      <c r="C380" s="873"/>
      <c r="D380" s="874"/>
      <c r="E380" s="540"/>
      <c r="F380" s="541"/>
    </row>
    <row r="381" spans="1:6" ht="18.75">
      <c r="A381" s="539" t="s">
        <v>1043</v>
      </c>
      <c r="B381" s="875" t="s">
        <v>1077</v>
      </c>
      <c r="C381" s="875"/>
      <c r="D381" s="876"/>
      <c r="E381" s="542" t="s">
        <v>1045</v>
      </c>
      <c r="F381" s="543"/>
    </row>
    <row r="382" spans="1:6">
      <c r="A382" s="544" t="s">
        <v>1046</v>
      </c>
      <c r="B382" s="877" t="s">
        <v>1047</v>
      </c>
      <c r="C382" s="877"/>
      <c r="D382" s="865"/>
      <c r="E382" s="545"/>
      <c r="F382" s="546"/>
    </row>
    <row r="383" spans="1:6">
      <c r="A383" s="544" t="s">
        <v>1048</v>
      </c>
      <c r="B383" s="889" t="s">
        <v>1049</v>
      </c>
      <c r="C383" s="889" t="s">
        <v>1050</v>
      </c>
      <c r="D383" s="547" t="s">
        <v>1051</v>
      </c>
      <c r="E383" s="861" t="s">
        <v>1052</v>
      </c>
      <c r="F383" s="862"/>
    </row>
    <row r="384" spans="1:6">
      <c r="A384" s="548" t="s">
        <v>1053</v>
      </c>
      <c r="B384" s="890"/>
      <c r="C384" s="890"/>
      <c r="D384" s="549" t="s">
        <v>1054</v>
      </c>
      <c r="E384" s="863"/>
      <c r="F384" s="864"/>
    </row>
    <row r="385" spans="1:6">
      <c r="A385" s="544"/>
      <c r="B385" s="550" t="s">
        <v>1055</v>
      </c>
      <c r="C385" s="544"/>
      <c r="D385" s="540">
        <v>300</v>
      </c>
      <c r="E385" s="542"/>
      <c r="F385" s="541"/>
    </row>
    <row r="386" spans="1:6">
      <c r="A386" s="551"/>
      <c r="B386" s="551"/>
      <c r="C386" s="551"/>
      <c r="D386" s="542"/>
      <c r="E386" s="542"/>
      <c r="F386" s="543"/>
    </row>
    <row r="387" spans="1:6">
      <c r="A387" s="551"/>
      <c r="B387" s="551" t="s">
        <v>1078</v>
      </c>
      <c r="C387" s="551">
        <v>3321</v>
      </c>
      <c r="D387" s="542"/>
      <c r="E387" s="542"/>
      <c r="F387" s="543"/>
    </row>
    <row r="388" spans="1:6">
      <c r="A388" s="551"/>
      <c r="B388" s="899" t="s">
        <v>1091</v>
      </c>
      <c r="C388" s="551"/>
      <c r="D388" s="552"/>
      <c r="E388" s="542"/>
      <c r="F388" s="543"/>
    </row>
    <row r="389" spans="1:6">
      <c r="A389" s="551"/>
      <c r="B389" s="899"/>
      <c r="C389" s="551"/>
      <c r="D389" s="542"/>
      <c r="E389" s="542"/>
      <c r="F389" s="543"/>
    </row>
    <row r="390" spans="1:6">
      <c r="A390" s="551"/>
      <c r="B390" s="570"/>
      <c r="C390" s="551"/>
      <c r="D390" s="542"/>
      <c r="E390" s="542"/>
      <c r="F390" s="543"/>
    </row>
    <row r="391" spans="1:6">
      <c r="A391" s="551"/>
      <c r="B391" s="570"/>
      <c r="C391" s="551"/>
      <c r="D391" s="542"/>
      <c r="E391" s="542"/>
      <c r="F391" s="543"/>
    </row>
    <row r="392" spans="1:6">
      <c r="A392" s="551"/>
      <c r="B392" s="553" t="s">
        <v>1057</v>
      </c>
      <c r="C392" s="551"/>
      <c r="D392" s="542">
        <v>215</v>
      </c>
      <c r="E392" s="542"/>
      <c r="F392" s="554"/>
    </row>
    <row r="393" spans="1:6">
      <c r="A393" s="551"/>
      <c r="B393" s="551" t="s">
        <v>1088</v>
      </c>
      <c r="C393" s="551"/>
      <c r="D393" s="542"/>
      <c r="E393" s="542"/>
      <c r="F393" s="567">
        <v>264804</v>
      </c>
    </row>
    <row r="394" spans="1:6">
      <c r="A394" s="551"/>
      <c r="B394" s="551" t="s">
        <v>1089</v>
      </c>
      <c r="C394" s="551"/>
      <c r="D394" s="542"/>
      <c r="E394" s="542"/>
      <c r="F394" s="557">
        <f>103521.6+2657.51</f>
        <v>106179.11</v>
      </c>
    </row>
    <row r="395" spans="1:6" ht="15.75">
      <c r="A395" s="551"/>
      <c r="B395" s="558" t="s">
        <v>1079</v>
      </c>
      <c r="C395" s="556"/>
      <c r="D395" s="542"/>
      <c r="E395" s="542"/>
      <c r="F395" s="557">
        <v>11072</v>
      </c>
    </row>
    <row r="396" spans="1:6">
      <c r="A396" s="551"/>
      <c r="B396" s="558" t="s">
        <v>1080</v>
      </c>
      <c r="C396" s="551"/>
      <c r="D396" s="542"/>
      <c r="E396" s="542"/>
      <c r="F396" s="554">
        <v>2500</v>
      </c>
    </row>
    <row r="397" spans="1:6">
      <c r="A397" s="551"/>
      <c r="B397" s="551"/>
      <c r="C397" s="551"/>
      <c r="D397" s="542"/>
      <c r="E397" s="542"/>
      <c r="F397" s="543"/>
    </row>
    <row r="398" spans="1:6">
      <c r="A398" s="551"/>
      <c r="B398" s="551"/>
      <c r="C398" s="551"/>
      <c r="D398" s="542"/>
      <c r="E398" s="542"/>
      <c r="F398" s="543"/>
    </row>
    <row r="399" spans="1:6">
      <c r="A399" s="551"/>
      <c r="B399" s="551"/>
      <c r="C399" s="551"/>
      <c r="D399" s="542"/>
      <c r="E399" s="542"/>
      <c r="F399" s="543"/>
    </row>
    <row r="400" spans="1:6">
      <c r="A400" s="548"/>
      <c r="B400" s="548"/>
      <c r="C400" s="548"/>
      <c r="D400" s="545"/>
      <c r="E400" s="545"/>
      <c r="F400" s="546"/>
    </row>
    <row r="401" spans="1:6">
      <c r="A401" s="878" t="s">
        <v>1062</v>
      </c>
      <c r="B401" s="879"/>
      <c r="C401" s="879"/>
      <c r="D401" s="879"/>
      <c r="E401" s="559"/>
      <c r="F401" s="560">
        <f>SUM(F393:F400)</f>
        <v>384555.11</v>
      </c>
    </row>
    <row r="402" spans="1:6">
      <c r="A402" s="540" t="s">
        <v>1064</v>
      </c>
      <c r="B402" s="880" t="s">
        <v>1065</v>
      </c>
      <c r="C402" s="881"/>
      <c r="D402" s="882"/>
      <c r="E402" s="882"/>
      <c r="F402" s="883"/>
    </row>
    <row r="403" spans="1:6">
      <c r="A403" s="542"/>
      <c r="B403" s="884" t="s">
        <v>1066</v>
      </c>
      <c r="C403" s="885"/>
      <c r="D403" s="886"/>
      <c r="E403" s="886"/>
      <c r="F403" s="887"/>
    </row>
    <row r="404" spans="1:6">
      <c r="A404" s="542"/>
      <c r="B404" s="886"/>
      <c r="C404" s="887"/>
      <c r="D404" s="888" t="s">
        <v>1067</v>
      </c>
      <c r="E404" s="886"/>
      <c r="F404" s="887"/>
    </row>
    <row r="405" spans="1:6">
      <c r="A405" s="542"/>
      <c r="B405" s="884" t="s">
        <v>1068</v>
      </c>
      <c r="C405" s="885"/>
      <c r="D405" s="886"/>
      <c r="E405" s="886"/>
      <c r="F405" s="887"/>
    </row>
    <row r="406" spans="1:6">
      <c r="A406" s="542"/>
      <c r="B406" s="886"/>
      <c r="C406" s="887"/>
      <c r="D406" s="886"/>
      <c r="E406" s="886"/>
      <c r="F406" s="887"/>
    </row>
    <row r="407" spans="1:6">
      <c r="A407" s="542"/>
      <c r="B407" s="886"/>
      <c r="C407" s="887"/>
      <c r="D407" s="886"/>
      <c r="E407" s="886"/>
      <c r="F407" s="887"/>
    </row>
    <row r="408" spans="1:6">
      <c r="A408" s="542" t="s">
        <v>1069</v>
      </c>
      <c r="B408" s="886"/>
      <c r="C408" s="887"/>
      <c r="D408" s="563" t="s">
        <v>1069</v>
      </c>
      <c r="E408" s="886"/>
      <c r="F408" s="887"/>
    </row>
    <row r="409" spans="1:6">
      <c r="A409" s="542" t="s">
        <v>1070</v>
      </c>
      <c r="B409" s="891" t="s">
        <v>1071</v>
      </c>
      <c r="C409" s="909"/>
      <c r="D409" s="563" t="s">
        <v>1070</v>
      </c>
      <c r="E409" s="893" t="s">
        <v>1072</v>
      </c>
      <c r="F409" s="910"/>
    </row>
    <row r="410" spans="1:6">
      <c r="A410" s="542" t="s">
        <v>1073</v>
      </c>
      <c r="B410" s="884" t="s">
        <v>1074</v>
      </c>
      <c r="C410" s="885"/>
      <c r="D410" s="563" t="s">
        <v>1073</v>
      </c>
      <c r="E410" s="886" t="s">
        <v>1075</v>
      </c>
      <c r="F410" s="887"/>
    </row>
    <row r="411" spans="1:6">
      <c r="A411" s="542"/>
      <c r="B411" s="886"/>
      <c r="C411" s="887"/>
      <c r="D411" s="563"/>
      <c r="E411" s="886"/>
      <c r="F411" s="887"/>
    </row>
    <row r="412" spans="1:6">
      <c r="A412" s="542" t="s">
        <v>1045</v>
      </c>
      <c r="B412" s="564"/>
      <c r="C412" s="562"/>
      <c r="D412" s="563" t="s">
        <v>1045</v>
      </c>
      <c r="E412" s="564"/>
      <c r="F412" s="565"/>
    </row>
    <row r="413" spans="1:6">
      <c r="A413" s="545"/>
      <c r="B413" s="895"/>
      <c r="C413" s="896"/>
      <c r="D413" s="566"/>
      <c r="E413" s="895"/>
      <c r="F413" s="896"/>
    </row>
    <row r="423" spans="1:6">
      <c r="A423" s="837" t="s">
        <v>1036</v>
      </c>
      <c r="B423" s="837"/>
      <c r="C423" s="837"/>
      <c r="D423" s="837"/>
      <c r="E423" s="837"/>
      <c r="F423" s="837"/>
    </row>
    <row r="424" spans="1:6">
      <c r="A424" s="838" t="s">
        <v>1037</v>
      </c>
      <c r="B424" s="867"/>
      <c r="C424" s="867"/>
      <c r="D424" s="867"/>
      <c r="E424" s="867"/>
      <c r="F424" s="868"/>
    </row>
    <row r="425" spans="1:6">
      <c r="A425" s="869" t="s">
        <v>1038</v>
      </c>
      <c r="B425" s="870"/>
      <c r="C425" s="870"/>
      <c r="D425" s="870"/>
      <c r="E425" s="870"/>
      <c r="F425" s="871"/>
    </row>
    <row r="426" spans="1:6" ht="15.75">
      <c r="A426" s="845" t="s">
        <v>1039</v>
      </c>
      <c r="B426" s="845"/>
      <c r="C426" s="845"/>
      <c r="D426" s="872"/>
      <c r="E426" s="865" t="s">
        <v>1087</v>
      </c>
      <c r="F426" s="866"/>
    </row>
    <row r="427" spans="1:6">
      <c r="A427" s="539" t="s">
        <v>1042</v>
      </c>
      <c r="B427" s="873"/>
      <c r="C427" s="873"/>
      <c r="D427" s="874"/>
      <c r="E427" s="540"/>
      <c r="F427" s="541"/>
    </row>
    <row r="428" spans="1:6" ht="18.75">
      <c r="A428" s="539" t="s">
        <v>1043</v>
      </c>
      <c r="B428" s="875" t="s">
        <v>1077</v>
      </c>
      <c r="C428" s="875"/>
      <c r="D428" s="876"/>
      <c r="E428" s="542" t="s">
        <v>1045</v>
      </c>
      <c r="F428" s="543"/>
    </row>
    <row r="429" spans="1:6">
      <c r="A429" s="544" t="s">
        <v>1046</v>
      </c>
      <c r="B429" s="877" t="s">
        <v>1047</v>
      </c>
      <c r="C429" s="877"/>
      <c r="D429" s="865"/>
      <c r="E429" s="545"/>
      <c r="F429" s="546"/>
    </row>
    <row r="430" spans="1:6">
      <c r="A430" s="544" t="s">
        <v>1048</v>
      </c>
      <c r="B430" s="889" t="s">
        <v>1049</v>
      </c>
      <c r="C430" s="889" t="s">
        <v>1050</v>
      </c>
      <c r="D430" s="547" t="s">
        <v>1051</v>
      </c>
      <c r="E430" s="861" t="s">
        <v>1052</v>
      </c>
      <c r="F430" s="862"/>
    </row>
    <row r="431" spans="1:6">
      <c r="A431" s="548" t="s">
        <v>1053</v>
      </c>
      <c r="B431" s="890"/>
      <c r="C431" s="890"/>
      <c r="D431" s="549" t="s">
        <v>1054</v>
      </c>
      <c r="E431" s="863"/>
      <c r="F431" s="864"/>
    </row>
    <row r="432" spans="1:6">
      <c r="A432" s="544"/>
      <c r="B432" s="550" t="s">
        <v>1055</v>
      </c>
      <c r="C432" s="544"/>
      <c r="D432" s="540">
        <v>300</v>
      </c>
      <c r="E432" s="542"/>
      <c r="F432" s="541"/>
    </row>
    <row r="433" spans="1:6">
      <c r="A433" s="551"/>
      <c r="B433" s="551"/>
      <c r="C433" s="551"/>
      <c r="D433" s="542"/>
      <c r="E433" s="542"/>
      <c r="F433" s="543"/>
    </row>
    <row r="434" spans="1:6">
      <c r="A434" s="551"/>
      <c r="B434" s="551" t="s">
        <v>1078</v>
      </c>
      <c r="C434" s="551">
        <v>3321</v>
      </c>
      <c r="D434" s="542"/>
      <c r="E434" s="542"/>
      <c r="F434" s="543"/>
    </row>
    <row r="435" spans="1:6">
      <c r="A435" s="551"/>
      <c r="B435" s="899" t="s">
        <v>1092</v>
      </c>
      <c r="C435" s="551"/>
      <c r="D435" s="552"/>
      <c r="E435" s="542"/>
      <c r="F435" s="543"/>
    </row>
    <row r="436" spans="1:6">
      <c r="A436" s="551"/>
      <c r="B436" s="899"/>
      <c r="C436" s="551"/>
      <c r="D436" s="542"/>
      <c r="E436" s="542"/>
      <c r="F436" s="543"/>
    </row>
    <row r="437" spans="1:6">
      <c r="A437" s="551"/>
      <c r="B437" s="570"/>
      <c r="C437" s="551"/>
      <c r="D437" s="542"/>
      <c r="E437" s="542"/>
      <c r="F437" s="543"/>
    </row>
    <row r="438" spans="1:6">
      <c r="A438" s="551"/>
      <c r="B438" s="570"/>
      <c r="C438" s="551"/>
      <c r="D438" s="542"/>
      <c r="E438" s="542"/>
      <c r="F438" s="543"/>
    </row>
    <row r="439" spans="1:6">
      <c r="A439" s="551"/>
      <c r="B439" s="553" t="s">
        <v>1057</v>
      </c>
      <c r="C439" s="551"/>
      <c r="D439" s="542">
        <v>215</v>
      </c>
      <c r="E439" s="542"/>
      <c r="F439" s="554"/>
    </row>
    <row r="440" spans="1:6">
      <c r="A440" s="551"/>
      <c r="B440" s="551" t="s">
        <v>1088</v>
      </c>
      <c r="C440" s="551"/>
      <c r="D440" s="542"/>
      <c r="E440" s="542"/>
      <c r="F440" s="567">
        <v>94022</v>
      </c>
    </row>
    <row r="441" spans="1:6">
      <c r="A441" s="551"/>
      <c r="B441" s="551" t="s">
        <v>1089</v>
      </c>
      <c r="C441" s="551"/>
      <c r="D441" s="542"/>
      <c r="E441" s="542"/>
      <c r="F441" s="557">
        <v>36408.800000000003</v>
      </c>
    </row>
    <row r="442" spans="1:6">
      <c r="A442" s="551"/>
      <c r="B442" s="558" t="s">
        <v>1080</v>
      </c>
      <c r="C442" s="551"/>
      <c r="D442" s="542"/>
      <c r="E442" s="542"/>
      <c r="F442" s="554">
        <v>1500</v>
      </c>
    </row>
    <row r="443" spans="1:6">
      <c r="A443" s="551"/>
      <c r="B443" s="551"/>
      <c r="C443" s="551"/>
      <c r="D443" s="542"/>
      <c r="E443" s="542"/>
      <c r="F443" s="543"/>
    </row>
    <row r="444" spans="1:6">
      <c r="A444" s="551"/>
      <c r="B444" s="551"/>
      <c r="C444" s="551"/>
      <c r="D444" s="542"/>
      <c r="E444" s="542"/>
      <c r="F444" s="543"/>
    </row>
    <row r="445" spans="1:6">
      <c r="A445" s="551"/>
      <c r="B445" s="551"/>
      <c r="C445" s="551"/>
      <c r="D445" s="542"/>
      <c r="E445" s="542"/>
      <c r="F445" s="543"/>
    </row>
    <row r="446" spans="1:6">
      <c r="A446" s="548"/>
      <c r="B446" s="548"/>
      <c r="C446" s="548"/>
      <c r="D446" s="545"/>
      <c r="E446" s="545"/>
      <c r="F446" s="546"/>
    </row>
    <row r="447" spans="1:6">
      <c r="A447" s="878" t="s">
        <v>1062</v>
      </c>
      <c r="B447" s="879"/>
      <c r="C447" s="879"/>
      <c r="D447" s="879"/>
      <c r="E447" s="559"/>
      <c r="F447" s="560">
        <f>SUM(F440:F446)</f>
        <v>131930.79999999999</v>
      </c>
    </row>
    <row r="448" spans="1:6">
      <c r="A448" s="540" t="s">
        <v>1064</v>
      </c>
      <c r="B448" s="880" t="s">
        <v>1065</v>
      </c>
      <c r="C448" s="881"/>
      <c r="D448" s="882"/>
      <c r="E448" s="882"/>
      <c r="F448" s="883"/>
    </row>
    <row r="449" spans="1:6">
      <c r="A449" s="542"/>
      <c r="B449" s="884" t="s">
        <v>1066</v>
      </c>
      <c r="C449" s="885"/>
      <c r="D449" s="886"/>
      <c r="E449" s="886"/>
      <c r="F449" s="887"/>
    </row>
    <row r="450" spans="1:6">
      <c r="A450" s="542"/>
      <c r="B450" s="886"/>
      <c r="C450" s="887"/>
      <c r="D450" s="888" t="s">
        <v>1067</v>
      </c>
      <c r="E450" s="886"/>
      <c r="F450" s="887"/>
    </row>
    <row r="451" spans="1:6">
      <c r="A451" s="542"/>
      <c r="B451" s="884" t="s">
        <v>1068</v>
      </c>
      <c r="C451" s="885"/>
      <c r="D451" s="886"/>
      <c r="E451" s="886"/>
      <c r="F451" s="887"/>
    </row>
    <row r="452" spans="1:6">
      <c r="A452" s="542"/>
      <c r="B452" s="886"/>
      <c r="C452" s="887"/>
      <c r="D452" s="886"/>
      <c r="E452" s="886"/>
      <c r="F452" s="887"/>
    </row>
    <row r="453" spans="1:6">
      <c r="A453" s="542"/>
      <c r="B453" s="886"/>
      <c r="C453" s="887"/>
      <c r="D453" s="886"/>
      <c r="E453" s="886"/>
      <c r="F453" s="887"/>
    </row>
    <row r="454" spans="1:6">
      <c r="A454" s="542" t="s">
        <v>1069</v>
      </c>
      <c r="B454" s="886"/>
      <c r="C454" s="887"/>
      <c r="D454" s="563" t="s">
        <v>1069</v>
      </c>
      <c r="E454" s="886"/>
      <c r="F454" s="887"/>
    </row>
    <row r="455" spans="1:6">
      <c r="A455" s="542" t="s">
        <v>1070</v>
      </c>
      <c r="B455" s="891" t="s">
        <v>1071</v>
      </c>
      <c r="C455" s="909"/>
      <c r="D455" s="563" t="s">
        <v>1070</v>
      </c>
      <c r="E455" s="893" t="s">
        <v>1072</v>
      </c>
      <c r="F455" s="910"/>
    </row>
    <row r="456" spans="1:6">
      <c r="A456" s="542" t="s">
        <v>1073</v>
      </c>
      <c r="B456" s="884" t="s">
        <v>1074</v>
      </c>
      <c r="C456" s="885"/>
      <c r="D456" s="563" t="s">
        <v>1073</v>
      </c>
      <c r="E456" s="886" t="s">
        <v>1075</v>
      </c>
      <c r="F456" s="887"/>
    </row>
    <row r="457" spans="1:6">
      <c r="A457" s="542"/>
      <c r="B457" s="886"/>
      <c r="C457" s="887"/>
      <c r="D457" s="563"/>
      <c r="E457" s="886"/>
      <c r="F457" s="887"/>
    </row>
    <row r="458" spans="1:6">
      <c r="A458" s="542" t="s">
        <v>1045</v>
      </c>
      <c r="B458" s="564"/>
      <c r="C458" s="562"/>
      <c r="D458" s="563" t="s">
        <v>1045</v>
      </c>
      <c r="E458" s="564"/>
      <c r="F458" s="565"/>
    </row>
    <row r="459" spans="1:6">
      <c r="A459" s="545"/>
      <c r="B459" s="895"/>
      <c r="C459" s="896"/>
      <c r="D459" s="566"/>
      <c r="E459" s="895"/>
      <c r="F459" s="896"/>
    </row>
    <row r="471" spans="1:6">
      <c r="A471" s="837" t="s">
        <v>1036</v>
      </c>
      <c r="B471" s="837"/>
      <c r="C471" s="837"/>
      <c r="D471" s="837"/>
      <c r="E471" s="837"/>
      <c r="F471" s="837"/>
    </row>
    <row r="472" spans="1:6">
      <c r="A472" s="838" t="s">
        <v>1037</v>
      </c>
      <c r="B472" s="867"/>
      <c r="C472" s="867"/>
      <c r="D472" s="867"/>
      <c r="E472" s="867"/>
      <c r="F472" s="868"/>
    </row>
    <row r="473" spans="1:6">
      <c r="A473" s="869" t="s">
        <v>1038</v>
      </c>
      <c r="B473" s="870"/>
      <c r="C473" s="870"/>
      <c r="D473" s="870"/>
      <c r="E473" s="870"/>
      <c r="F473" s="871"/>
    </row>
    <row r="474" spans="1:6" ht="15.75">
      <c r="A474" s="845" t="s">
        <v>1039</v>
      </c>
      <c r="B474" s="845"/>
      <c r="C474" s="845"/>
      <c r="D474" s="872"/>
      <c r="E474" s="865" t="s">
        <v>1093</v>
      </c>
      <c r="F474" s="866"/>
    </row>
    <row r="475" spans="1:6">
      <c r="A475" s="539" t="s">
        <v>1042</v>
      </c>
      <c r="B475" s="873"/>
      <c r="C475" s="873"/>
      <c r="D475" s="874"/>
      <c r="E475" s="540"/>
      <c r="F475" s="541"/>
    </row>
    <row r="476" spans="1:6" ht="18.75">
      <c r="A476" s="539" t="s">
        <v>1043</v>
      </c>
      <c r="B476" s="875" t="s">
        <v>1077</v>
      </c>
      <c r="C476" s="875"/>
      <c r="D476" s="876"/>
      <c r="E476" s="542" t="s">
        <v>1045</v>
      </c>
      <c r="F476" s="543"/>
    </row>
    <row r="477" spans="1:6">
      <c r="A477" s="544" t="s">
        <v>1046</v>
      </c>
      <c r="B477" s="877" t="s">
        <v>1047</v>
      </c>
      <c r="C477" s="877"/>
      <c r="D477" s="865"/>
      <c r="E477" s="545"/>
      <c r="F477" s="546"/>
    </row>
    <row r="478" spans="1:6">
      <c r="A478" s="544" t="s">
        <v>1048</v>
      </c>
      <c r="B478" s="889" t="s">
        <v>1049</v>
      </c>
      <c r="C478" s="889" t="s">
        <v>1050</v>
      </c>
      <c r="D478" s="547" t="s">
        <v>1051</v>
      </c>
      <c r="E478" s="861" t="s">
        <v>1052</v>
      </c>
      <c r="F478" s="862"/>
    </row>
    <row r="479" spans="1:6">
      <c r="A479" s="548" t="s">
        <v>1053</v>
      </c>
      <c r="B479" s="890"/>
      <c r="C479" s="890"/>
      <c r="D479" s="549" t="s">
        <v>1054</v>
      </c>
      <c r="E479" s="863"/>
      <c r="F479" s="864"/>
    </row>
    <row r="480" spans="1:6">
      <c r="A480" s="544"/>
      <c r="B480" s="550" t="s">
        <v>1083</v>
      </c>
      <c r="C480" s="544"/>
      <c r="D480" s="540">
        <v>200</v>
      </c>
      <c r="E480" s="542"/>
      <c r="F480" s="541"/>
    </row>
    <row r="481" spans="1:6">
      <c r="A481" s="551"/>
      <c r="B481" s="551"/>
      <c r="C481" s="551"/>
      <c r="D481" s="542"/>
      <c r="E481" s="542"/>
      <c r="F481" s="543"/>
    </row>
    <row r="482" spans="1:6">
      <c r="A482" s="551"/>
      <c r="B482" s="551" t="s">
        <v>1078</v>
      </c>
      <c r="C482" s="551">
        <v>3321</v>
      </c>
      <c r="D482" s="542"/>
      <c r="E482" s="542"/>
      <c r="F482" s="543"/>
    </row>
    <row r="483" spans="1:6">
      <c r="A483" s="551"/>
      <c r="B483" s="900" t="s">
        <v>1094</v>
      </c>
      <c r="C483" s="551"/>
      <c r="D483" s="552"/>
      <c r="E483" s="542"/>
      <c r="F483" s="543"/>
    </row>
    <row r="484" spans="1:6">
      <c r="A484" s="551"/>
      <c r="B484" s="900"/>
      <c r="C484" s="551"/>
      <c r="D484" s="542"/>
      <c r="E484" s="542"/>
      <c r="F484" s="543"/>
    </row>
    <row r="485" spans="1:6">
      <c r="A485" s="551"/>
      <c r="B485" s="570"/>
      <c r="C485" s="551"/>
      <c r="D485" s="542"/>
      <c r="E485" s="542"/>
      <c r="F485" s="543"/>
    </row>
    <row r="486" spans="1:6">
      <c r="A486" s="551"/>
      <c r="B486" s="570"/>
      <c r="C486" s="551"/>
      <c r="D486" s="542"/>
      <c r="E486" s="542"/>
      <c r="F486" s="543"/>
    </row>
    <row r="487" spans="1:6">
      <c r="A487" s="551"/>
      <c r="B487" s="553" t="s">
        <v>1095</v>
      </c>
      <c r="C487" s="551"/>
      <c r="D487" s="542">
        <v>765</v>
      </c>
      <c r="E487" s="542"/>
      <c r="F487" s="554">
        <v>2860</v>
      </c>
    </row>
    <row r="488" spans="1:6">
      <c r="A488" s="551"/>
      <c r="B488" s="551"/>
      <c r="C488" s="551"/>
      <c r="D488" s="542"/>
      <c r="E488" s="542"/>
      <c r="F488" s="567"/>
    </row>
    <row r="489" spans="1:6">
      <c r="A489" s="551"/>
      <c r="B489" s="551"/>
      <c r="C489" s="551"/>
      <c r="D489" s="542"/>
      <c r="E489" s="542"/>
      <c r="F489" s="557"/>
    </row>
    <row r="490" spans="1:6">
      <c r="A490" s="551"/>
      <c r="B490" s="558"/>
      <c r="C490" s="551"/>
      <c r="D490" s="542"/>
      <c r="E490" s="542"/>
      <c r="F490" s="554"/>
    </row>
    <row r="491" spans="1:6">
      <c r="A491" s="551"/>
      <c r="B491" s="551"/>
      <c r="C491" s="551"/>
      <c r="D491" s="542"/>
      <c r="E491" s="542"/>
      <c r="F491" s="543"/>
    </row>
    <row r="492" spans="1:6">
      <c r="A492" s="551"/>
      <c r="B492" s="551"/>
      <c r="C492" s="551"/>
      <c r="D492" s="542"/>
      <c r="E492" s="542"/>
      <c r="F492" s="543"/>
    </row>
    <row r="493" spans="1:6">
      <c r="A493" s="551"/>
      <c r="B493" s="551"/>
      <c r="C493" s="551"/>
      <c r="D493" s="542"/>
      <c r="E493" s="542"/>
      <c r="F493" s="543"/>
    </row>
    <row r="494" spans="1:6">
      <c r="A494" s="548"/>
      <c r="B494" s="548"/>
      <c r="C494" s="548"/>
      <c r="D494" s="545"/>
      <c r="E494" s="545"/>
      <c r="F494" s="546"/>
    </row>
    <row r="495" spans="1:6">
      <c r="A495" s="878" t="s">
        <v>1062</v>
      </c>
      <c r="B495" s="879"/>
      <c r="C495" s="879"/>
      <c r="D495" s="879"/>
      <c r="E495" s="559"/>
      <c r="F495" s="560">
        <f>SUM(F487:F494)</f>
        <v>2860</v>
      </c>
    </row>
    <row r="496" spans="1:6">
      <c r="A496" s="540" t="s">
        <v>1064</v>
      </c>
      <c r="B496" s="880" t="s">
        <v>1065</v>
      </c>
      <c r="C496" s="881"/>
      <c r="D496" s="882"/>
      <c r="E496" s="882"/>
      <c r="F496" s="883"/>
    </row>
    <row r="497" spans="1:6">
      <c r="A497" s="542"/>
      <c r="B497" s="884" t="s">
        <v>1066</v>
      </c>
      <c r="C497" s="885"/>
      <c r="D497" s="886"/>
      <c r="E497" s="886"/>
      <c r="F497" s="887"/>
    </row>
    <row r="498" spans="1:6">
      <c r="A498" s="542"/>
      <c r="B498" s="886"/>
      <c r="C498" s="887"/>
      <c r="D498" s="888" t="s">
        <v>1067</v>
      </c>
      <c r="E498" s="886"/>
      <c r="F498" s="887"/>
    </row>
    <row r="499" spans="1:6">
      <c r="A499" s="542"/>
      <c r="B499" s="884" t="s">
        <v>1068</v>
      </c>
      <c r="C499" s="885"/>
      <c r="D499" s="886"/>
      <c r="E499" s="886"/>
      <c r="F499" s="887"/>
    </row>
    <row r="500" spans="1:6">
      <c r="A500" s="542"/>
      <c r="B500" s="886"/>
      <c r="C500" s="887"/>
      <c r="D500" s="886"/>
      <c r="E500" s="886"/>
      <c r="F500" s="887"/>
    </row>
    <row r="501" spans="1:6">
      <c r="A501" s="542"/>
      <c r="B501" s="886"/>
      <c r="C501" s="887"/>
      <c r="D501" s="886"/>
      <c r="E501" s="886"/>
      <c r="F501" s="887"/>
    </row>
    <row r="502" spans="1:6">
      <c r="A502" s="542" t="s">
        <v>1069</v>
      </c>
      <c r="B502" s="886"/>
      <c r="C502" s="887"/>
      <c r="D502" s="563" t="s">
        <v>1069</v>
      </c>
      <c r="E502" s="886"/>
      <c r="F502" s="887"/>
    </row>
    <row r="503" spans="1:6">
      <c r="A503" s="542" t="s">
        <v>1070</v>
      </c>
      <c r="B503" s="891" t="s">
        <v>1071</v>
      </c>
      <c r="C503" s="909"/>
      <c r="D503" s="563" t="s">
        <v>1070</v>
      </c>
      <c r="E503" s="893" t="s">
        <v>1072</v>
      </c>
      <c r="F503" s="910"/>
    </row>
    <row r="504" spans="1:6">
      <c r="A504" s="542" t="s">
        <v>1073</v>
      </c>
      <c r="B504" s="884" t="s">
        <v>1074</v>
      </c>
      <c r="C504" s="885"/>
      <c r="D504" s="563" t="s">
        <v>1073</v>
      </c>
      <c r="E504" s="886" t="s">
        <v>1075</v>
      </c>
      <c r="F504" s="887"/>
    </row>
    <row r="505" spans="1:6">
      <c r="A505" s="542"/>
      <c r="B505" s="886"/>
      <c r="C505" s="887"/>
      <c r="D505" s="563"/>
      <c r="E505" s="886"/>
      <c r="F505" s="887"/>
    </row>
    <row r="506" spans="1:6">
      <c r="A506" s="542" t="s">
        <v>1045</v>
      </c>
      <c r="B506" s="564"/>
      <c r="C506" s="562"/>
      <c r="D506" s="563" t="s">
        <v>1045</v>
      </c>
      <c r="E506" s="564"/>
      <c r="F506" s="565"/>
    </row>
    <row r="507" spans="1:6">
      <c r="A507" s="545"/>
      <c r="B507" s="895"/>
      <c r="C507" s="896"/>
      <c r="D507" s="566"/>
      <c r="E507" s="895"/>
      <c r="F507" s="896"/>
    </row>
    <row r="518" spans="1:6">
      <c r="A518" s="837" t="s">
        <v>1036</v>
      </c>
      <c r="B518" s="837"/>
      <c r="C518" s="837"/>
      <c r="D518" s="837"/>
      <c r="E518" s="837"/>
      <c r="F518" s="837"/>
    </row>
    <row r="519" spans="1:6">
      <c r="A519" s="838" t="s">
        <v>1037</v>
      </c>
      <c r="B519" s="838"/>
      <c r="C519" s="838"/>
      <c r="D519" s="838"/>
      <c r="E519" s="838"/>
      <c r="F519" s="838"/>
    </row>
    <row r="520" spans="1:6">
      <c r="A520" s="908" t="s">
        <v>1038</v>
      </c>
      <c r="B520" s="908"/>
      <c r="C520" s="908"/>
      <c r="D520" s="908"/>
      <c r="E520" s="908"/>
      <c r="F520" s="908"/>
    </row>
    <row r="521" spans="1:6" ht="15.75">
      <c r="A521" s="872" t="s">
        <v>1039</v>
      </c>
      <c r="B521" s="901"/>
      <c r="C521" s="901"/>
      <c r="D521" s="902"/>
      <c r="E521" s="865" t="s">
        <v>1093</v>
      </c>
      <c r="F521" s="866"/>
    </row>
    <row r="522" spans="1:6">
      <c r="A522" s="539" t="s">
        <v>1042</v>
      </c>
      <c r="B522" s="874"/>
      <c r="C522" s="897"/>
      <c r="D522" s="898"/>
      <c r="E522" s="540"/>
      <c r="F522" s="541"/>
    </row>
    <row r="523" spans="1:6" ht="18.75">
      <c r="A523" s="539" t="s">
        <v>1043</v>
      </c>
      <c r="B523" s="876" t="s">
        <v>1077</v>
      </c>
      <c r="C523" s="903"/>
      <c r="D523" s="904"/>
      <c r="E523" s="542" t="s">
        <v>1045</v>
      </c>
      <c r="F523" s="543"/>
    </row>
    <row r="524" spans="1:6">
      <c r="A524" s="544" t="s">
        <v>1046</v>
      </c>
      <c r="B524" s="865" t="s">
        <v>1047</v>
      </c>
      <c r="C524" s="905"/>
      <c r="D524" s="866"/>
      <c r="E524" s="545"/>
      <c r="F524" s="546"/>
    </row>
    <row r="525" spans="1:6">
      <c r="A525" s="544" t="s">
        <v>1048</v>
      </c>
      <c r="B525" s="889" t="s">
        <v>1049</v>
      </c>
      <c r="C525" s="889" t="s">
        <v>1050</v>
      </c>
      <c r="D525" s="547" t="s">
        <v>1051</v>
      </c>
      <c r="E525" s="861" t="s">
        <v>1052</v>
      </c>
      <c r="F525" s="862"/>
    </row>
    <row r="526" spans="1:6">
      <c r="A526" s="548" t="s">
        <v>1053</v>
      </c>
      <c r="B526" s="890"/>
      <c r="C526" s="890"/>
      <c r="D526" s="549" t="s">
        <v>1054</v>
      </c>
      <c r="E526" s="863"/>
      <c r="F526" s="864"/>
    </row>
    <row r="527" spans="1:6">
      <c r="A527" s="544"/>
      <c r="B527" s="550" t="s">
        <v>1055</v>
      </c>
      <c r="C527" s="544"/>
      <c r="D527" s="540">
        <v>300</v>
      </c>
      <c r="E527" s="542"/>
      <c r="F527" s="541"/>
    </row>
    <row r="528" spans="1:6">
      <c r="A528" s="551"/>
      <c r="B528" s="551"/>
      <c r="C528" s="551"/>
      <c r="D528" s="542"/>
      <c r="E528" s="542"/>
      <c r="F528" s="543"/>
    </row>
    <row r="529" spans="1:11">
      <c r="A529" s="551"/>
      <c r="B529" s="551" t="s">
        <v>1078</v>
      </c>
      <c r="C529" s="551">
        <v>3321</v>
      </c>
      <c r="D529" s="542"/>
      <c r="E529" s="542"/>
      <c r="F529" s="543"/>
    </row>
    <row r="530" spans="1:11" ht="15" customHeight="1">
      <c r="A530" s="551"/>
      <c r="B530" s="899" t="s">
        <v>1096</v>
      </c>
      <c r="C530" s="551"/>
      <c r="D530" s="552"/>
      <c r="E530" s="542"/>
      <c r="F530" s="543"/>
    </row>
    <row r="531" spans="1:11">
      <c r="A531" s="551"/>
      <c r="B531" s="899"/>
      <c r="C531" s="551"/>
      <c r="D531" s="542"/>
      <c r="E531" s="542"/>
      <c r="F531" s="543"/>
    </row>
    <row r="532" spans="1:11">
      <c r="A532" s="551"/>
      <c r="B532" s="570"/>
      <c r="C532" s="551"/>
      <c r="D532" s="542"/>
      <c r="E532" s="542"/>
      <c r="F532" s="543"/>
    </row>
    <row r="533" spans="1:11">
      <c r="A533" s="551"/>
      <c r="B533" s="570"/>
      <c r="C533" s="551"/>
      <c r="D533" s="542"/>
      <c r="E533" s="542"/>
      <c r="F533" s="543"/>
    </row>
    <row r="534" spans="1:11">
      <c r="A534" s="551"/>
      <c r="B534" s="553" t="s">
        <v>1057</v>
      </c>
      <c r="C534" s="551"/>
      <c r="D534" s="542">
        <v>215</v>
      </c>
      <c r="E534" s="542"/>
      <c r="F534" s="554"/>
    </row>
    <row r="535" spans="1:11">
      <c r="A535" s="551"/>
      <c r="B535" s="551" t="s">
        <v>1088</v>
      </c>
      <c r="C535" s="551"/>
      <c r="D535" s="542"/>
      <c r="E535" s="542"/>
      <c r="F535" s="567">
        <f>+H535+I535</f>
        <v>691154</v>
      </c>
      <c r="H535" s="572">
        <v>350827</v>
      </c>
      <c r="I535" s="567">
        <v>340327</v>
      </c>
    </row>
    <row r="536" spans="1:11">
      <c r="A536" s="551"/>
      <c r="B536" s="551" t="s">
        <v>1089</v>
      </c>
      <c r="C536" s="551"/>
      <c r="D536" s="542"/>
      <c r="E536" s="542"/>
      <c r="F536" s="557">
        <f>+H536+I536</f>
        <v>252691.64</v>
      </c>
      <c r="H536" s="557">
        <f>118930.8+5315.02</f>
        <v>124245.82</v>
      </c>
      <c r="I536" s="572">
        <v>128445.82</v>
      </c>
    </row>
    <row r="537" spans="1:11" ht="15.75">
      <c r="A537" s="551"/>
      <c r="B537" s="558" t="s">
        <v>1079</v>
      </c>
      <c r="C537" s="556"/>
      <c r="D537" s="542"/>
      <c r="E537" s="542"/>
      <c r="F537" s="557">
        <f>+H537+I537</f>
        <v>27680</v>
      </c>
      <c r="H537" s="557">
        <v>13840</v>
      </c>
      <c r="I537" s="572">
        <v>13840</v>
      </c>
    </row>
    <row r="538" spans="1:11">
      <c r="A538" s="551"/>
      <c r="B538" s="558"/>
      <c r="C538" s="551"/>
      <c r="D538" s="542"/>
      <c r="E538" s="542"/>
      <c r="F538" s="554"/>
      <c r="K538" s="297">
        <f>+F305+F354</f>
        <v>971525.64</v>
      </c>
    </row>
    <row r="539" spans="1:11">
      <c r="A539" s="551"/>
      <c r="B539" s="551"/>
      <c r="C539" s="551"/>
      <c r="D539" s="542"/>
      <c r="E539" s="542"/>
      <c r="F539" s="543"/>
    </row>
    <row r="540" spans="1:11">
      <c r="A540" s="551"/>
      <c r="B540" s="551"/>
      <c r="C540" s="551"/>
      <c r="D540" s="542"/>
      <c r="E540" s="542"/>
      <c r="F540" s="543"/>
    </row>
    <row r="541" spans="1:11">
      <c r="A541" s="551"/>
      <c r="B541" s="551"/>
      <c r="C541" s="551"/>
      <c r="D541" s="542"/>
      <c r="E541" s="542"/>
      <c r="F541" s="543"/>
    </row>
    <row r="542" spans="1:11">
      <c r="A542" s="548"/>
      <c r="B542" s="548"/>
      <c r="C542" s="548"/>
      <c r="D542" s="545"/>
      <c r="E542" s="545"/>
      <c r="F542" s="546"/>
    </row>
    <row r="543" spans="1:11">
      <c r="A543" s="878" t="s">
        <v>1062</v>
      </c>
      <c r="B543" s="879"/>
      <c r="C543" s="879"/>
      <c r="D543" s="906"/>
      <c r="E543" s="559"/>
      <c r="F543" s="560">
        <f>+F535+F536+F537</f>
        <v>971525.64</v>
      </c>
    </row>
    <row r="544" spans="1:11">
      <c r="A544" s="540" t="s">
        <v>1064</v>
      </c>
      <c r="B544" s="880" t="s">
        <v>1065</v>
      </c>
      <c r="C544" s="881"/>
      <c r="D544" s="907"/>
      <c r="E544" s="882"/>
      <c r="F544" s="883"/>
    </row>
    <row r="545" spans="1:6">
      <c r="A545" s="542"/>
      <c r="B545" s="884" t="s">
        <v>1066</v>
      </c>
      <c r="C545" s="885"/>
      <c r="D545" s="888"/>
      <c r="E545" s="886"/>
      <c r="F545" s="887"/>
    </row>
    <row r="546" spans="1:6">
      <c r="A546" s="542"/>
      <c r="B546" s="886"/>
      <c r="C546" s="887"/>
      <c r="D546" s="888" t="s">
        <v>1067</v>
      </c>
      <c r="E546" s="886"/>
      <c r="F546" s="887"/>
    </row>
    <row r="547" spans="1:6">
      <c r="A547" s="542"/>
      <c r="B547" s="884" t="s">
        <v>1068</v>
      </c>
      <c r="C547" s="885"/>
      <c r="D547" s="888"/>
      <c r="E547" s="886"/>
      <c r="F547" s="887"/>
    </row>
    <row r="548" spans="1:6">
      <c r="A548" s="542"/>
      <c r="B548" s="886"/>
      <c r="C548" s="887"/>
      <c r="D548" s="888"/>
      <c r="E548" s="886"/>
      <c r="F548" s="887"/>
    </row>
    <row r="549" spans="1:6">
      <c r="A549" s="542"/>
      <c r="B549" s="886"/>
      <c r="C549" s="887"/>
      <c r="D549" s="888"/>
      <c r="E549" s="886"/>
      <c r="F549" s="887"/>
    </row>
    <row r="550" spans="1:6">
      <c r="A550" s="542" t="s">
        <v>1069</v>
      </c>
      <c r="B550" s="886"/>
      <c r="C550" s="887"/>
      <c r="D550" s="563" t="s">
        <v>1069</v>
      </c>
      <c r="E550" s="886"/>
      <c r="F550" s="887"/>
    </row>
    <row r="551" spans="1:6">
      <c r="A551" s="542" t="s">
        <v>1070</v>
      </c>
      <c r="B551" s="891" t="s">
        <v>1071</v>
      </c>
      <c r="C551" s="892"/>
      <c r="D551" s="563" t="s">
        <v>1070</v>
      </c>
      <c r="E551" s="893" t="s">
        <v>1072</v>
      </c>
      <c r="F551" s="894"/>
    </row>
    <row r="552" spans="1:6">
      <c r="A552" s="542" t="s">
        <v>1073</v>
      </c>
      <c r="B552" s="884" t="s">
        <v>1074</v>
      </c>
      <c r="C552" s="885"/>
      <c r="D552" s="563" t="s">
        <v>1073</v>
      </c>
      <c r="E552" s="886" t="s">
        <v>1075</v>
      </c>
      <c r="F552" s="887"/>
    </row>
    <row r="553" spans="1:6">
      <c r="A553" s="542"/>
      <c r="B553" s="886"/>
      <c r="C553" s="887"/>
      <c r="D553" s="563"/>
      <c r="E553" s="886"/>
      <c r="F553" s="887"/>
    </row>
    <row r="554" spans="1:6">
      <c r="A554" s="542" t="s">
        <v>1045</v>
      </c>
      <c r="B554" s="564"/>
      <c r="C554" s="562"/>
      <c r="D554" s="563" t="s">
        <v>1045</v>
      </c>
      <c r="E554" s="564"/>
      <c r="F554" s="565"/>
    </row>
    <row r="555" spans="1:6">
      <c r="A555" s="545"/>
      <c r="B555" s="895"/>
      <c r="C555" s="896"/>
      <c r="D555" s="566"/>
      <c r="E555" s="897"/>
      <c r="F555" s="898"/>
    </row>
    <row r="565" spans="1:6">
      <c r="A565" s="837" t="s">
        <v>1036</v>
      </c>
      <c r="B565" s="837"/>
      <c r="C565" s="837"/>
      <c r="D565" s="837"/>
      <c r="E565" s="837"/>
      <c r="F565" s="837"/>
    </row>
    <row r="566" spans="1:6">
      <c r="A566" s="838" t="s">
        <v>1037</v>
      </c>
      <c r="B566" s="867"/>
      <c r="C566" s="867"/>
      <c r="D566" s="867"/>
      <c r="E566" s="867"/>
      <c r="F566" s="868"/>
    </row>
    <row r="567" spans="1:6">
      <c r="A567" s="869" t="s">
        <v>1038</v>
      </c>
      <c r="B567" s="870"/>
      <c r="C567" s="870"/>
      <c r="D567" s="870"/>
      <c r="E567" s="870"/>
      <c r="F567" s="871"/>
    </row>
    <row r="568" spans="1:6" ht="15.75">
      <c r="A568" s="845" t="s">
        <v>1039</v>
      </c>
      <c r="B568" s="845"/>
      <c r="C568" s="845"/>
      <c r="D568" s="872"/>
      <c r="E568" s="865" t="s">
        <v>1087</v>
      </c>
      <c r="F568" s="866"/>
    </row>
    <row r="569" spans="1:6">
      <c r="A569" s="539" t="s">
        <v>1042</v>
      </c>
      <c r="B569" s="873"/>
      <c r="C569" s="873"/>
      <c r="D569" s="874"/>
      <c r="E569" s="540"/>
      <c r="F569" s="541"/>
    </row>
    <row r="570" spans="1:6" ht="18.75">
      <c r="A570" s="539" t="s">
        <v>1043</v>
      </c>
      <c r="B570" s="875" t="s">
        <v>1077</v>
      </c>
      <c r="C570" s="875"/>
      <c r="D570" s="876"/>
      <c r="E570" s="542" t="s">
        <v>1045</v>
      </c>
      <c r="F570" s="543"/>
    </row>
    <row r="571" spans="1:6">
      <c r="A571" s="544" t="s">
        <v>1046</v>
      </c>
      <c r="B571" s="877" t="s">
        <v>1047</v>
      </c>
      <c r="C571" s="877"/>
      <c r="D571" s="865"/>
      <c r="E571" s="545"/>
      <c r="F571" s="546"/>
    </row>
    <row r="572" spans="1:6">
      <c r="A572" s="544" t="s">
        <v>1048</v>
      </c>
      <c r="B572" s="889" t="s">
        <v>1049</v>
      </c>
      <c r="C572" s="889" t="s">
        <v>1050</v>
      </c>
      <c r="D572" s="547" t="s">
        <v>1051</v>
      </c>
      <c r="E572" s="861" t="s">
        <v>1052</v>
      </c>
      <c r="F572" s="862"/>
    </row>
    <row r="573" spans="1:6">
      <c r="A573" s="548" t="s">
        <v>1053</v>
      </c>
      <c r="B573" s="890"/>
      <c r="C573" s="890"/>
      <c r="D573" s="549" t="s">
        <v>1054</v>
      </c>
      <c r="E573" s="863"/>
      <c r="F573" s="864"/>
    </row>
    <row r="574" spans="1:6">
      <c r="A574" s="544"/>
      <c r="B574" s="550" t="s">
        <v>1055</v>
      </c>
      <c r="C574" s="544"/>
      <c r="D574" s="540">
        <v>300</v>
      </c>
      <c r="E574" s="542"/>
      <c r="F574" s="541"/>
    </row>
    <row r="575" spans="1:6">
      <c r="A575" s="551"/>
      <c r="B575" s="551"/>
      <c r="C575" s="551"/>
      <c r="D575" s="542"/>
      <c r="E575" s="542"/>
      <c r="F575" s="543"/>
    </row>
    <row r="576" spans="1:6">
      <c r="A576" s="551"/>
      <c r="B576" s="551" t="s">
        <v>1078</v>
      </c>
      <c r="C576" s="551">
        <v>3321</v>
      </c>
      <c r="D576" s="542"/>
      <c r="E576" s="542"/>
      <c r="F576" s="543"/>
    </row>
    <row r="577" spans="1:6">
      <c r="A577" s="551"/>
      <c r="B577" s="899" t="s">
        <v>1091</v>
      </c>
      <c r="C577" s="551"/>
      <c r="D577" s="552"/>
      <c r="E577" s="542"/>
      <c r="F577" s="543"/>
    </row>
    <row r="578" spans="1:6">
      <c r="A578" s="551"/>
      <c r="B578" s="899"/>
      <c r="C578" s="551"/>
      <c r="D578" s="542"/>
      <c r="E578" s="542"/>
      <c r="F578" s="543"/>
    </row>
    <row r="579" spans="1:6">
      <c r="A579" s="551"/>
      <c r="B579" s="570"/>
      <c r="C579" s="551"/>
      <c r="D579" s="542"/>
      <c r="E579" s="542"/>
      <c r="F579" s="543"/>
    </row>
    <row r="580" spans="1:6">
      <c r="A580" s="551"/>
      <c r="B580" s="570"/>
      <c r="C580" s="551"/>
      <c r="D580" s="542"/>
      <c r="E580" s="542"/>
      <c r="F580" s="543"/>
    </row>
    <row r="581" spans="1:6">
      <c r="A581" s="551"/>
      <c r="B581" s="553" t="s">
        <v>1057</v>
      </c>
      <c r="C581" s="551"/>
      <c r="D581" s="542">
        <v>215</v>
      </c>
      <c r="E581" s="542"/>
      <c r="F581" s="554"/>
    </row>
    <row r="582" spans="1:6">
      <c r="A582" s="551"/>
      <c r="B582" s="551" t="s">
        <v>1088</v>
      </c>
      <c r="C582" s="551"/>
      <c r="D582" s="542"/>
      <c r="E582" s="542"/>
      <c r="F582" s="567">
        <v>264804</v>
      </c>
    </row>
    <row r="583" spans="1:6">
      <c r="A583" s="551"/>
      <c r="B583" s="551" t="s">
        <v>1089</v>
      </c>
      <c r="C583" s="551"/>
      <c r="D583" s="542"/>
      <c r="E583" s="542"/>
      <c r="F583" s="557">
        <f>103521.6+2657.51</f>
        <v>106179.11</v>
      </c>
    </row>
    <row r="584" spans="1:6" ht="15.75">
      <c r="A584" s="551"/>
      <c r="B584" s="558" t="s">
        <v>1079</v>
      </c>
      <c r="C584" s="556"/>
      <c r="D584" s="542"/>
      <c r="E584" s="542"/>
      <c r="F584" s="557">
        <v>11072</v>
      </c>
    </row>
    <row r="585" spans="1:6">
      <c r="A585" s="551"/>
      <c r="B585" s="558" t="s">
        <v>1080</v>
      </c>
      <c r="C585" s="551"/>
      <c r="D585" s="542"/>
      <c r="E585" s="542"/>
      <c r="F585" s="554">
        <v>2500</v>
      </c>
    </row>
    <row r="586" spans="1:6">
      <c r="A586" s="551"/>
      <c r="B586" s="551"/>
      <c r="C586" s="551"/>
      <c r="D586" s="542"/>
      <c r="E586" s="542"/>
      <c r="F586" s="543"/>
    </row>
    <row r="587" spans="1:6">
      <c r="A587" s="551"/>
      <c r="B587" s="551"/>
      <c r="C587" s="551"/>
      <c r="D587" s="542"/>
      <c r="E587" s="542"/>
      <c r="F587" s="543"/>
    </row>
    <row r="588" spans="1:6">
      <c r="A588" s="551"/>
      <c r="B588" s="551"/>
      <c r="C588" s="551"/>
      <c r="D588" s="542"/>
      <c r="E588" s="542"/>
      <c r="F588" s="543"/>
    </row>
    <row r="589" spans="1:6">
      <c r="A589" s="548"/>
      <c r="B589" s="548"/>
      <c r="C589" s="548"/>
      <c r="D589" s="545"/>
      <c r="E589" s="545"/>
      <c r="F589" s="546"/>
    </row>
    <row r="590" spans="1:6">
      <c r="A590" s="878" t="s">
        <v>1062</v>
      </c>
      <c r="B590" s="879"/>
      <c r="C590" s="879"/>
      <c r="D590" s="879"/>
      <c r="E590" s="559"/>
      <c r="F590" s="560">
        <f>SUM(F582:F589)</f>
        <v>384555.11</v>
      </c>
    </row>
    <row r="591" spans="1:6">
      <c r="A591" s="540" t="s">
        <v>1064</v>
      </c>
      <c r="B591" s="880" t="s">
        <v>1065</v>
      </c>
      <c r="C591" s="881"/>
      <c r="D591" s="882"/>
      <c r="E591" s="882"/>
      <c r="F591" s="883"/>
    </row>
    <row r="592" spans="1:6">
      <c r="A592" s="542"/>
      <c r="B592" s="884" t="s">
        <v>1066</v>
      </c>
      <c r="C592" s="885"/>
      <c r="D592" s="886"/>
      <c r="E592" s="886"/>
      <c r="F592" s="887"/>
    </row>
    <row r="593" spans="1:6">
      <c r="A593" s="542"/>
      <c r="B593" s="886"/>
      <c r="C593" s="887"/>
      <c r="D593" s="888" t="s">
        <v>1067</v>
      </c>
      <c r="E593" s="886"/>
      <c r="F593" s="887"/>
    </row>
    <row r="594" spans="1:6">
      <c r="A594" s="542"/>
      <c r="B594" s="884" t="s">
        <v>1068</v>
      </c>
      <c r="C594" s="885"/>
      <c r="D594" s="886"/>
      <c r="E594" s="886"/>
      <c r="F594" s="887"/>
    </row>
    <row r="595" spans="1:6">
      <c r="A595" s="542"/>
      <c r="B595" s="886"/>
      <c r="C595" s="887"/>
      <c r="D595" s="886"/>
      <c r="E595" s="886"/>
      <c r="F595" s="887"/>
    </row>
    <row r="596" spans="1:6">
      <c r="A596" s="542"/>
      <c r="B596" s="886"/>
      <c r="C596" s="887"/>
      <c r="D596" s="886"/>
      <c r="E596" s="886"/>
      <c r="F596" s="887"/>
    </row>
    <row r="597" spans="1:6">
      <c r="A597" s="542" t="s">
        <v>1069</v>
      </c>
      <c r="B597" s="886"/>
      <c r="C597" s="887"/>
      <c r="D597" s="563" t="s">
        <v>1069</v>
      </c>
      <c r="E597" s="886"/>
      <c r="F597" s="887"/>
    </row>
    <row r="598" spans="1:6">
      <c r="A598" s="542" t="s">
        <v>1070</v>
      </c>
      <c r="B598" s="891" t="s">
        <v>1071</v>
      </c>
      <c r="C598" s="909"/>
      <c r="D598" s="563" t="s">
        <v>1070</v>
      </c>
      <c r="E598" s="893" t="s">
        <v>1072</v>
      </c>
      <c r="F598" s="910"/>
    </row>
    <row r="599" spans="1:6">
      <c r="A599" s="542" t="s">
        <v>1073</v>
      </c>
      <c r="B599" s="884" t="s">
        <v>1074</v>
      </c>
      <c r="C599" s="885"/>
      <c r="D599" s="563" t="s">
        <v>1073</v>
      </c>
      <c r="E599" s="886" t="s">
        <v>1075</v>
      </c>
      <c r="F599" s="887"/>
    </row>
    <row r="600" spans="1:6">
      <c r="A600" s="542"/>
      <c r="B600" s="886"/>
      <c r="C600" s="887"/>
      <c r="D600" s="563"/>
      <c r="E600" s="886"/>
      <c r="F600" s="887"/>
    </row>
    <row r="601" spans="1:6">
      <c r="A601" s="542" t="s">
        <v>1045</v>
      </c>
      <c r="B601" s="564"/>
      <c r="C601" s="562"/>
      <c r="D601" s="563" t="s">
        <v>1045</v>
      </c>
      <c r="E601" s="564"/>
      <c r="F601" s="565"/>
    </row>
    <row r="602" spans="1:6">
      <c r="A602" s="545"/>
      <c r="B602" s="895"/>
      <c r="C602" s="896"/>
      <c r="D602" s="566"/>
      <c r="E602" s="895"/>
      <c r="F602" s="896"/>
    </row>
    <row r="613" spans="1:6">
      <c r="A613" s="837" t="s">
        <v>1036</v>
      </c>
      <c r="B613" s="837"/>
      <c r="C613" s="837"/>
      <c r="D613" s="837"/>
      <c r="E613" s="837"/>
      <c r="F613" s="837"/>
    </row>
    <row r="614" spans="1:6">
      <c r="A614" s="838" t="s">
        <v>1037</v>
      </c>
      <c r="B614" s="867"/>
      <c r="C614" s="867"/>
      <c r="D614" s="867"/>
      <c r="E614" s="867"/>
      <c r="F614" s="868"/>
    </row>
    <row r="615" spans="1:6">
      <c r="A615" s="869" t="s">
        <v>1038</v>
      </c>
      <c r="B615" s="870"/>
      <c r="C615" s="870"/>
      <c r="D615" s="870"/>
      <c r="E615" s="870"/>
      <c r="F615" s="871"/>
    </row>
    <row r="616" spans="1:6" ht="15.75">
      <c r="A616" s="845" t="s">
        <v>1039</v>
      </c>
      <c r="B616" s="845"/>
      <c r="C616" s="845"/>
      <c r="D616" s="872"/>
      <c r="E616" s="865" t="s">
        <v>1093</v>
      </c>
      <c r="F616" s="866"/>
    </row>
    <row r="617" spans="1:6">
      <c r="A617" s="539" t="s">
        <v>1042</v>
      </c>
      <c r="B617" s="873"/>
      <c r="C617" s="873"/>
      <c r="D617" s="874"/>
      <c r="E617" s="540"/>
      <c r="F617" s="541"/>
    </row>
    <row r="618" spans="1:6" ht="18.75">
      <c r="A618" s="539" t="s">
        <v>1043</v>
      </c>
      <c r="B618" s="875" t="s">
        <v>1077</v>
      </c>
      <c r="C618" s="875"/>
      <c r="D618" s="876"/>
      <c r="E618" s="542" t="s">
        <v>1045</v>
      </c>
      <c r="F618" s="543"/>
    </row>
    <row r="619" spans="1:6">
      <c r="A619" s="544" t="s">
        <v>1046</v>
      </c>
      <c r="B619" s="877" t="s">
        <v>1047</v>
      </c>
      <c r="C619" s="877"/>
      <c r="D619" s="865"/>
      <c r="E619" s="545"/>
      <c r="F619" s="546"/>
    </row>
    <row r="620" spans="1:6">
      <c r="A620" s="544" t="s">
        <v>1048</v>
      </c>
      <c r="B620" s="889" t="s">
        <v>1049</v>
      </c>
      <c r="C620" s="889" t="s">
        <v>1050</v>
      </c>
      <c r="D620" s="547" t="s">
        <v>1051</v>
      </c>
      <c r="E620" s="861" t="s">
        <v>1052</v>
      </c>
      <c r="F620" s="862"/>
    </row>
    <row r="621" spans="1:6">
      <c r="A621" s="548" t="s">
        <v>1053</v>
      </c>
      <c r="B621" s="890"/>
      <c r="C621" s="890"/>
      <c r="D621" s="549" t="s">
        <v>1054</v>
      </c>
      <c r="E621" s="863"/>
      <c r="F621" s="864"/>
    </row>
    <row r="622" spans="1:6">
      <c r="A622" s="544"/>
      <c r="B622" s="550" t="s">
        <v>1083</v>
      </c>
      <c r="C622" s="544"/>
      <c r="D622" s="540">
        <v>200</v>
      </c>
      <c r="E622" s="542"/>
      <c r="F622" s="541"/>
    </row>
    <row r="623" spans="1:6">
      <c r="A623" s="551"/>
      <c r="B623" s="551"/>
      <c r="C623" s="551"/>
      <c r="D623" s="542"/>
      <c r="E623" s="542"/>
      <c r="F623" s="543"/>
    </row>
    <row r="624" spans="1:6">
      <c r="A624" s="551"/>
      <c r="B624" s="551" t="s">
        <v>1078</v>
      </c>
      <c r="C624" s="551">
        <v>3321</v>
      </c>
      <c r="D624" s="542"/>
      <c r="E624" s="542"/>
      <c r="F624" s="543"/>
    </row>
    <row r="625" spans="1:6">
      <c r="A625" s="551"/>
      <c r="B625" s="900" t="s">
        <v>1094</v>
      </c>
      <c r="C625" s="551"/>
      <c r="D625" s="552"/>
      <c r="E625" s="542"/>
      <c r="F625" s="543"/>
    </row>
    <row r="626" spans="1:6">
      <c r="A626" s="551"/>
      <c r="B626" s="900"/>
      <c r="C626" s="551"/>
      <c r="D626" s="542"/>
      <c r="E626" s="542"/>
      <c r="F626" s="543"/>
    </row>
    <row r="627" spans="1:6">
      <c r="A627" s="551"/>
      <c r="B627" s="570"/>
      <c r="C627" s="551"/>
      <c r="D627" s="542"/>
      <c r="E627" s="542"/>
      <c r="F627" s="543"/>
    </row>
    <row r="628" spans="1:6">
      <c r="A628" s="551"/>
      <c r="B628" s="570"/>
      <c r="C628" s="551"/>
      <c r="D628" s="542"/>
      <c r="E628" s="542"/>
      <c r="F628" s="543"/>
    </row>
    <row r="629" spans="1:6">
      <c r="A629" s="551"/>
      <c r="B629" s="553" t="s">
        <v>1097</v>
      </c>
      <c r="C629" s="551"/>
      <c r="D629" s="542">
        <v>765</v>
      </c>
      <c r="E629" s="542"/>
      <c r="F629" s="554">
        <f>+'[1]PR SEF'!F740</f>
        <v>12740</v>
      </c>
    </row>
    <row r="630" spans="1:6">
      <c r="A630" s="551"/>
      <c r="B630" s="551"/>
      <c r="C630" s="551"/>
      <c r="D630" s="542"/>
      <c r="E630" s="542"/>
      <c r="F630" s="567"/>
    </row>
    <row r="631" spans="1:6">
      <c r="A631" s="551"/>
      <c r="B631" s="551"/>
      <c r="C631" s="551"/>
      <c r="D631" s="542"/>
      <c r="E631" s="542"/>
      <c r="F631" s="557"/>
    </row>
    <row r="632" spans="1:6">
      <c r="A632" s="551"/>
      <c r="B632" s="558"/>
      <c r="C632" s="551"/>
      <c r="D632" s="542"/>
      <c r="E632" s="542"/>
      <c r="F632" s="554"/>
    </row>
    <row r="633" spans="1:6">
      <c r="A633" s="551"/>
      <c r="B633" s="551"/>
      <c r="C633" s="551"/>
      <c r="D633" s="542"/>
      <c r="E633" s="542"/>
      <c r="F633" s="543"/>
    </row>
    <row r="634" spans="1:6">
      <c r="A634" s="551"/>
      <c r="B634" s="551"/>
      <c r="C634" s="551"/>
      <c r="D634" s="542"/>
      <c r="E634" s="542"/>
      <c r="F634" s="543"/>
    </row>
    <row r="635" spans="1:6">
      <c r="A635" s="551"/>
      <c r="B635" s="551"/>
      <c r="C635" s="551"/>
      <c r="D635" s="542"/>
      <c r="E635" s="542"/>
      <c r="F635" s="543"/>
    </row>
    <row r="636" spans="1:6">
      <c r="A636" s="548"/>
      <c r="B636" s="548"/>
      <c r="C636" s="548"/>
      <c r="D636" s="545"/>
      <c r="E636" s="545"/>
      <c r="F636" s="546"/>
    </row>
    <row r="637" spans="1:6">
      <c r="A637" s="878" t="s">
        <v>1062</v>
      </c>
      <c r="B637" s="879"/>
      <c r="C637" s="879"/>
      <c r="D637" s="879"/>
      <c r="E637" s="559"/>
      <c r="F637" s="560">
        <f>SUM(F629:F636)</f>
        <v>12740</v>
      </c>
    </row>
    <row r="638" spans="1:6">
      <c r="A638" s="540" t="s">
        <v>1064</v>
      </c>
      <c r="B638" s="880" t="s">
        <v>1065</v>
      </c>
      <c r="C638" s="881"/>
      <c r="D638" s="882"/>
      <c r="E638" s="882"/>
      <c r="F638" s="883"/>
    </row>
    <row r="639" spans="1:6">
      <c r="A639" s="542"/>
      <c r="B639" s="884" t="s">
        <v>1066</v>
      </c>
      <c r="C639" s="885"/>
      <c r="D639" s="886"/>
      <c r="E639" s="886"/>
      <c r="F639" s="887"/>
    </row>
    <row r="640" spans="1:6">
      <c r="A640" s="542"/>
      <c r="B640" s="886"/>
      <c r="C640" s="887"/>
      <c r="D640" s="888" t="s">
        <v>1067</v>
      </c>
      <c r="E640" s="886"/>
      <c r="F640" s="887"/>
    </row>
    <row r="641" spans="1:6">
      <c r="A641" s="542"/>
      <c r="B641" s="884" t="s">
        <v>1068</v>
      </c>
      <c r="C641" s="885"/>
      <c r="D641" s="886"/>
      <c r="E641" s="886"/>
      <c r="F641" s="887"/>
    </row>
    <row r="642" spans="1:6">
      <c r="A642" s="542"/>
      <c r="B642" s="886"/>
      <c r="C642" s="887"/>
      <c r="D642" s="886"/>
      <c r="E642" s="886"/>
      <c r="F642" s="887"/>
    </row>
    <row r="643" spans="1:6">
      <c r="A643" s="542"/>
      <c r="B643" s="886"/>
      <c r="C643" s="887"/>
      <c r="D643" s="886"/>
      <c r="E643" s="886"/>
      <c r="F643" s="887"/>
    </row>
    <row r="644" spans="1:6">
      <c r="A644" s="542" t="s">
        <v>1069</v>
      </c>
      <c r="B644" s="886"/>
      <c r="C644" s="887"/>
      <c r="D644" s="563" t="s">
        <v>1069</v>
      </c>
      <c r="E644" s="886"/>
      <c r="F644" s="887"/>
    </row>
    <row r="645" spans="1:6">
      <c r="A645" s="542" t="s">
        <v>1070</v>
      </c>
      <c r="B645" s="891" t="s">
        <v>1071</v>
      </c>
      <c r="C645" s="909"/>
      <c r="D645" s="563" t="s">
        <v>1070</v>
      </c>
      <c r="E645" s="893" t="s">
        <v>1072</v>
      </c>
      <c r="F645" s="910"/>
    </row>
    <row r="646" spans="1:6">
      <c r="A646" s="542" t="s">
        <v>1073</v>
      </c>
      <c r="B646" s="884" t="s">
        <v>1074</v>
      </c>
      <c r="C646" s="885"/>
      <c r="D646" s="563" t="s">
        <v>1073</v>
      </c>
      <c r="E646" s="886" t="s">
        <v>1075</v>
      </c>
      <c r="F646" s="887"/>
    </row>
    <row r="647" spans="1:6">
      <c r="A647" s="542"/>
      <c r="B647" s="886"/>
      <c r="C647" s="887"/>
      <c r="D647" s="563"/>
      <c r="E647" s="886"/>
      <c r="F647" s="887"/>
    </row>
    <row r="648" spans="1:6">
      <c r="A648" s="542" t="s">
        <v>1045</v>
      </c>
      <c r="B648" s="564"/>
      <c r="C648" s="562"/>
      <c r="D648" s="563" t="s">
        <v>1045</v>
      </c>
      <c r="E648" s="564"/>
      <c r="F648" s="565"/>
    </row>
    <row r="649" spans="1:6">
      <c r="A649" s="545"/>
      <c r="B649" s="895"/>
      <c r="C649" s="896"/>
      <c r="D649" s="566"/>
      <c r="E649" s="895"/>
      <c r="F649" s="896"/>
    </row>
    <row r="661" spans="1:6">
      <c r="A661" s="837" t="s">
        <v>1036</v>
      </c>
      <c r="B661" s="837"/>
      <c r="C661" s="837"/>
      <c r="D661" s="837"/>
      <c r="E661" s="837"/>
      <c r="F661" s="837"/>
    </row>
    <row r="662" spans="1:6">
      <c r="A662" s="838" t="s">
        <v>1037</v>
      </c>
      <c r="B662" s="867"/>
      <c r="C662" s="867"/>
      <c r="D662" s="867"/>
      <c r="E662" s="867"/>
      <c r="F662" s="868"/>
    </row>
    <row r="663" spans="1:6">
      <c r="A663" s="869" t="s">
        <v>1038</v>
      </c>
      <c r="B663" s="870"/>
      <c r="C663" s="870"/>
      <c r="D663" s="870"/>
      <c r="E663" s="870"/>
      <c r="F663" s="871"/>
    </row>
    <row r="664" spans="1:6" ht="15.75">
      <c r="A664" s="845" t="s">
        <v>1039</v>
      </c>
      <c r="B664" s="845"/>
      <c r="C664" s="845"/>
      <c r="D664" s="872"/>
      <c r="E664" s="865" t="s">
        <v>1098</v>
      </c>
      <c r="F664" s="866"/>
    </row>
    <row r="665" spans="1:6">
      <c r="A665" s="539" t="s">
        <v>1042</v>
      </c>
      <c r="B665" s="873"/>
      <c r="C665" s="873"/>
      <c r="D665" s="874"/>
      <c r="E665" s="540"/>
      <c r="F665" s="541"/>
    </row>
    <row r="666" spans="1:6" ht="18.75">
      <c r="A666" s="539" t="s">
        <v>1043</v>
      </c>
      <c r="B666" s="875" t="s">
        <v>1077</v>
      </c>
      <c r="C666" s="875"/>
      <c r="D666" s="876"/>
      <c r="E666" s="542" t="s">
        <v>1045</v>
      </c>
      <c r="F666" s="543"/>
    </row>
    <row r="667" spans="1:6">
      <c r="A667" s="544" t="s">
        <v>1046</v>
      </c>
      <c r="B667" s="877" t="s">
        <v>1047</v>
      </c>
      <c r="C667" s="877"/>
      <c r="D667" s="865"/>
      <c r="E667" s="545"/>
      <c r="F667" s="546"/>
    </row>
    <row r="668" spans="1:6">
      <c r="A668" s="544" t="s">
        <v>1048</v>
      </c>
      <c r="B668" s="889" t="s">
        <v>1049</v>
      </c>
      <c r="C668" s="889" t="s">
        <v>1050</v>
      </c>
      <c r="D668" s="547" t="s">
        <v>1051</v>
      </c>
      <c r="E668" s="861" t="s">
        <v>1052</v>
      </c>
      <c r="F668" s="862"/>
    </row>
    <row r="669" spans="1:6">
      <c r="A669" s="548" t="s">
        <v>1053</v>
      </c>
      <c r="B669" s="890"/>
      <c r="C669" s="890"/>
      <c r="D669" s="549" t="s">
        <v>1054</v>
      </c>
      <c r="E669" s="863"/>
      <c r="F669" s="864"/>
    </row>
    <row r="670" spans="1:6">
      <c r="A670" s="544"/>
      <c r="B670" s="550" t="s">
        <v>1055</v>
      </c>
      <c r="C670" s="544"/>
      <c r="D670" s="540">
        <v>300</v>
      </c>
      <c r="E670" s="542"/>
      <c r="F670" s="541"/>
    </row>
    <row r="671" spans="1:6">
      <c r="A671" s="551"/>
      <c r="B671" s="551"/>
      <c r="C671" s="551"/>
      <c r="D671" s="542"/>
      <c r="E671" s="542"/>
      <c r="F671" s="543"/>
    </row>
    <row r="672" spans="1:6">
      <c r="A672" s="551"/>
      <c r="B672" s="551" t="s">
        <v>1078</v>
      </c>
      <c r="C672" s="551">
        <v>3321</v>
      </c>
      <c r="D672" s="542"/>
      <c r="E672" s="542"/>
      <c r="F672" s="543"/>
    </row>
    <row r="673" spans="1:6">
      <c r="A673" s="551"/>
      <c r="B673" s="899" t="s">
        <v>1099</v>
      </c>
      <c r="C673" s="551"/>
      <c r="D673" s="552"/>
      <c r="E673" s="542"/>
      <c r="F673" s="543"/>
    </row>
    <row r="674" spans="1:6">
      <c r="A674" s="551"/>
      <c r="B674" s="899"/>
      <c r="C674" s="551"/>
      <c r="D674" s="542"/>
      <c r="E674" s="542"/>
      <c r="F674" s="543"/>
    </row>
    <row r="675" spans="1:6">
      <c r="A675" s="551"/>
      <c r="B675" s="570"/>
      <c r="C675" s="551"/>
      <c r="D675" s="542"/>
      <c r="E675" s="542"/>
      <c r="F675" s="543"/>
    </row>
    <row r="676" spans="1:6">
      <c r="A676" s="551"/>
      <c r="B676" s="570"/>
      <c r="C676" s="551"/>
      <c r="D676" s="542"/>
      <c r="E676" s="542"/>
      <c r="F676" s="543"/>
    </row>
    <row r="677" spans="1:6">
      <c r="A677" s="551"/>
      <c r="B677" s="553" t="s">
        <v>1057</v>
      </c>
      <c r="C677" s="551"/>
      <c r="D677" s="542">
        <v>215</v>
      </c>
      <c r="E677" s="542"/>
      <c r="F677" s="554"/>
    </row>
    <row r="678" spans="1:6">
      <c r="A678" s="551"/>
      <c r="B678" s="551" t="s">
        <v>1088</v>
      </c>
      <c r="C678" s="551"/>
      <c r="D678" s="542"/>
      <c r="E678" s="542"/>
      <c r="F678" s="567">
        <f>+'[1]POW SEF'!F1588</f>
        <v>4711793.8454625197</v>
      </c>
    </row>
    <row r="679" spans="1:6">
      <c r="A679" s="551"/>
      <c r="B679" s="551" t="s">
        <v>1089</v>
      </c>
      <c r="C679" s="551"/>
      <c r="D679" s="542"/>
      <c r="E679" s="542"/>
      <c r="F679" s="557">
        <f>+'[1]POW SEF'!F1589</f>
        <v>1883517.53818501</v>
      </c>
    </row>
    <row r="680" spans="1:6" ht="15.75">
      <c r="A680" s="551"/>
      <c r="B680" s="558" t="s">
        <v>1100</v>
      </c>
      <c r="C680" s="556"/>
      <c r="D680" s="542"/>
      <c r="E680" s="542"/>
      <c r="F680" s="557">
        <f>+'[1]POW SEF'!F1590</f>
        <v>1050</v>
      </c>
    </row>
    <row r="681" spans="1:6">
      <c r="A681" s="551"/>
      <c r="B681" s="558" t="s">
        <v>1080</v>
      </c>
      <c r="C681" s="551"/>
      <c r="D681" s="542"/>
      <c r="E681" s="542"/>
      <c r="F681" s="554">
        <f>+'[1]POW SEF'!F1591</f>
        <v>1500</v>
      </c>
    </row>
    <row r="682" spans="1:6">
      <c r="A682" s="551"/>
      <c r="B682" s="551"/>
      <c r="C682" s="551"/>
      <c r="D682" s="542"/>
      <c r="E682" s="542"/>
      <c r="F682" s="543"/>
    </row>
    <row r="683" spans="1:6">
      <c r="A683" s="551"/>
      <c r="B683" s="551"/>
      <c r="C683" s="551"/>
      <c r="D683" s="542"/>
      <c r="E683" s="542"/>
      <c r="F683" s="543"/>
    </row>
    <row r="684" spans="1:6">
      <c r="A684" s="551"/>
      <c r="B684" s="551"/>
      <c r="C684" s="551"/>
      <c r="D684" s="542"/>
      <c r="E684" s="542"/>
      <c r="F684" s="543"/>
    </row>
    <row r="685" spans="1:6">
      <c r="A685" s="548"/>
      <c r="B685" s="548"/>
      <c r="C685" s="548"/>
      <c r="D685" s="545"/>
      <c r="E685" s="545"/>
      <c r="F685" s="546"/>
    </row>
    <row r="686" spans="1:6">
      <c r="A686" s="878" t="s">
        <v>1062</v>
      </c>
      <c r="B686" s="879"/>
      <c r="C686" s="879"/>
      <c r="D686" s="879"/>
      <c r="E686" s="559"/>
      <c r="F686" s="560">
        <f>SUM(F678:F685)</f>
        <v>6597861.3836475294</v>
      </c>
    </row>
    <row r="687" spans="1:6">
      <c r="A687" s="540" t="s">
        <v>1064</v>
      </c>
      <c r="B687" s="880" t="s">
        <v>1065</v>
      </c>
      <c r="C687" s="881"/>
      <c r="D687" s="882"/>
      <c r="E687" s="882"/>
      <c r="F687" s="883"/>
    </row>
    <row r="688" spans="1:6">
      <c r="A688" s="542"/>
      <c r="B688" s="884" t="s">
        <v>1066</v>
      </c>
      <c r="C688" s="885"/>
      <c r="D688" s="886"/>
      <c r="E688" s="886"/>
      <c r="F688" s="887"/>
    </row>
    <row r="689" spans="1:6">
      <c r="A689" s="542"/>
      <c r="B689" s="886"/>
      <c r="C689" s="887"/>
      <c r="D689" s="888" t="s">
        <v>1067</v>
      </c>
      <c r="E689" s="886"/>
      <c r="F689" s="887"/>
    </row>
    <row r="690" spans="1:6">
      <c r="A690" s="542"/>
      <c r="B690" s="884" t="s">
        <v>1068</v>
      </c>
      <c r="C690" s="885"/>
      <c r="D690" s="886"/>
      <c r="E690" s="886"/>
      <c r="F690" s="887"/>
    </row>
    <row r="691" spans="1:6">
      <c r="A691" s="542"/>
      <c r="B691" s="886"/>
      <c r="C691" s="887"/>
      <c r="D691" s="886"/>
      <c r="E691" s="886"/>
      <c r="F691" s="887"/>
    </row>
    <row r="692" spans="1:6">
      <c r="A692" s="542"/>
      <c r="B692" s="886"/>
      <c r="C692" s="887"/>
      <c r="D692" s="886"/>
      <c r="E692" s="886"/>
      <c r="F692" s="887"/>
    </row>
    <row r="693" spans="1:6">
      <c r="A693" s="542" t="s">
        <v>1069</v>
      </c>
      <c r="B693" s="886"/>
      <c r="C693" s="887"/>
      <c r="D693" s="563" t="s">
        <v>1069</v>
      </c>
      <c r="E693" s="886"/>
      <c r="F693" s="887"/>
    </row>
    <row r="694" spans="1:6">
      <c r="A694" s="542" t="s">
        <v>1070</v>
      </c>
      <c r="B694" s="891" t="s">
        <v>1071</v>
      </c>
      <c r="C694" s="909"/>
      <c r="D694" s="563" t="s">
        <v>1070</v>
      </c>
      <c r="E694" s="893" t="s">
        <v>1072</v>
      </c>
      <c r="F694" s="910"/>
    </row>
    <row r="695" spans="1:6">
      <c r="A695" s="542" t="s">
        <v>1073</v>
      </c>
      <c r="B695" s="884" t="s">
        <v>1074</v>
      </c>
      <c r="C695" s="885"/>
      <c r="D695" s="563" t="s">
        <v>1073</v>
      </c>
      <c r="E695" s="886" t="s">
        <v>1075</v>
      </c>
      <c r="F695" s="887"/>
    </row>
    <row r="696" spans="1:6">
      <c r="A696" s="542"/>
      <c r="B696" s="886"/>
      <c r="C696" s="887"/>
      <c r="D696" s="563"/>
      <c r="E696" s="886"/>
      <c r="F696" s="887"/>
    </row>
    <row r="697" spans="1:6">
      <c r="A697" s="542" t="s">
        <v>1045</v>
      </c>
      <c r="B697" s="564"/>
      <c r="C697" s="562"/>
      <c r="D697" s="563" t="s">
        <v>1045</v>
      </c>
      <c r="E697" s="564"/>
      <c r="F697" s="565"/>
    </row>
    <row r="698" spans="1:6">
      <c r="A698" s="545"/>
      <c r="B698" s="895"/>
      <c r="C698" s="896"/>
      <c r="D698" s="566"/>
      <c r="E698" s="895"/>
      <c r="F698" s="896"/>
    </row>
    <row r="707" spans="1:6">
      <c r="A707" s="837" t="s">
        <v>1036</v>
      </c>
      <c r="B707" s="837"/>
      <c r="C707" s="837"/>
      <c r="D707" s="837"/>
      <c r="E707" s="837"/>
      <c r="F707" s="837"/>
    </row>
    <row r="708" spans="1:6">
      <c r="A708" s="838" t="s">
        <v>1037</v>
      </c>
      <c r="B708" s="867"/>
      <c r="C708" s="867"/>
      <c r="D708" s="867"/>
      <c r="E708" s="867"/>
      <c r="F708" s="868"/>
    </row>
    <row r="709" spans="1:6">
      <c r="A709" s="869" t="s">
        <v>1038</v>
      </c>
      <c r="B709" s="870"/>
      <c r="C709" s="870"/>
      <c r="D709" s="870"/>
      <c r="E709" s="870"/>
      <c r="F709" s="871"/>
    </row>
    <row r="710" spans="1:6" ht="15.75">
      <c r="A710" s="845" t="s">
        <v>1039</v>
      </c>
      <c r="B710" s="845"/>
      <c r="C710" s="845"/>
      <c r="D710" s="872"/>
      <c r="E710" s="865" t="s">
        <v>1098</v>
      </c>
      <c r="F710" s="866"/>
    </row>
    <row r="711" spans="1:6">
      <c r="A711" s="539" t="s">
        <v>1042</v>
      </c>
      <c r="B711" s="873"/>
      <c r="C711" s="873"/>
      <c r="D711" s="874"/>
      <c r="E711" s="540"/>
      <c r="F711" s="541"/>
    </row>
    <row r="712" spans="1:6" ht="18.75">
      <c r="A712" s="539" t="s">
        <v>1043</v>
      </c>
      <c r="B712" s="875" t="s">
        <v>1077</v>
      </c>
      <c r="C712" s="875"/>
      <c r="D712" s="876"/>
      <c r="E712" s="542" t="s">
        <v>1045</v>
      </c>
      <c r="F712" s="543"/>
    </row>
    <row r="713" spans="1:6">
      <c r="A713" s="544" t="s">
        <v>1046</v>
      </c>
      <c r="B713" s="877" t="s">
        <v>1047</v>
      </c>
      <c r="C713" s="877"/>
      <c r="D713" s="865"/>
      <c r="E713" s="545"/>
      <c r="F713" s="546"/>
    </row>
    <row r="714" spans="1:6">
      <c r="A714" s="544" t="s">
        <v>1048</v>
      </c>
      <c r="B714" s="889" t="s">
        <v>1049</v>
      </c>
      <c r="C714" s="889" t="s">
        <v>1050</v>
      </c>
      <c r="D714" s="547" t="s">
        <v>1051</v>
      </c>
      <c r="E714" s="861" t="s">
        <v>1052</v>
      </c>
      <c r="F714" s="862"/>
    </row>
    <row r="715" spans="1:6">
      <c r="A715" s="548" t="s">
        <v>1053</v>
      </c>
      <c r="B715" s="890"/>
      <c r="C715" s="890"/>
      <c r="D715" s="549" t="s">
        <v>1054</v>
      </c>
      <c r="E715" s="863"/>
      <c r="F715" s="864"/>
    </row>
    <row r="716" spans="1:6">
      <c r="A716" s="544"/>
      <c r="B716" s="550" t="s">
        <v>1055</v>
      </c>
      <c r="C716" s="544"/>
      <c r="D716" s="540">
        <v>300</v>
      </c>
      <c r="E716" s="542"/>
      <c r="F716" s="541"/>
    </row>
    <row r="717" spans="1:6">
      <c r="A717" s="551"/>
      <c r="B717" s="551"/>
      <c r="C717" s="551"/>
      <c r="D717" s="542"/>
      <c r="E717" s="542"/>
      <c r="F717" s="543"/>
    </row>
    <row r="718" spans="1:6">
      <c r="A718" s="551"/>
      <c r="B718" s="551" t="s">
        <v>1078</v>
      </c>
      <c r="C718" s="551">
        <v>3321</v>
      </c>
      <c r="D718" s="542"/>
      <c r="E718" s="542"/>
      <c r="F718" s="543"/>
    </row>
    <row r="719" spans="1:6">
      <c r="A719" s="551"/>
      <c r="B719" s="899" t="s">
        <v>1101</v>
      </c>
      <c r="C719" s="551"/>
      <c r="D719" s="552"/>
      <c r="E719" s="542"/>
      <c r="F719" s="543"/>
    </row>
    <row r="720" spans="1:6">
      <c r="A720" s="551"/>
      <c r="B720" s="899"/>
      <c r="C720" s="551"/>
      <c r="D720" s="542"/>
      <c r="E720" s="542"/>
      <c r="F720" s="543"/>
    </row>
    <row r="721" spans="1:6">
      <c r="A721" s="551"/>
      <c r="B721" s="570"/>
      <c r="C721" s="551"/>
      <c r="D721" s="542"/>
      <c r="E721" s="542"/>
      <c r="F721" s="543"/>
    </row>
    <row r="722" spans="1:6">
      <c r="A722" s="551"/>
      <c r="B722" s="570"/>
      <c r="C722" s="551"/>
      <c r="D722" s="542"/>
      <c r="E722" s="542"/>
      <c r="F722" s="543"/>
    </row>
    <row r="723" spans="1:6">
      <c r="A723" s="551"/>
      <c r="B723" s="553" t="s">
        <v>1057</v>
      </c>
      <c r="C723" s="551"/>
      <c r="D723" s="542">
        <v>215</v>
      </c>
      <c r="E723" s="542"/>
      <c r="F723" s="554"/>
    </row>
    <row r="724" spans="1:6">
      <c r="A724" s="551"/>
      <c r="B724" s="551" t="s">
        <v>1102</v>
      </c>
      <c r="C724" s="551"/>
      <c r="D724" s="542"/>
      <c r="E724" s="542"/>
      <c r="F724" s="567">
        <f>+'[1]POW SEF'!F1695</f>
        <v>410370.66666666698</v>
      </c>
    </row>
    <row r="725" spans="1:6">
      <c r="A725" s="551"/>
      <c r="B725" s="551" t="s">
        <v>1103</v>
      </c>
      <c r="C725" s="551"/>
      <c r="D725" s="542"/>
      <c r="E725" s="542"/>
      <c r="F725" s="557">
        <f>+'[1]POW SEF'!F1696+'[1]POW SEF'!F1697</f>
        <v>164448.26666666701</v>
      </c>
    </row>
    <row r="726" spans="1:6" ht="26.25">
      <c r="A726" s="551"/>
      <c r="B726" s="573" t="s">
        <v>1104</v>
      </c>
      <c r="C726" s="556"/>
      <c r="D726" s="542"/>
      <c r="E726" s="542"/>
      <c r="F726" s="574">
        <f>+'[1]POW SEF'!F1698+'[1]POW SEF'!F1699+'[1]POW SEF'!F1700+'[1]POW SEF'!F1702+'[1]POW SEF'!F1701</f>
        <v>25132</v>
      </c>
    </row>
    <row r="727" spans="1:6">
      <c r="A727" s="551"/>
      <c r="B727" s="558"/>
      <c r="C727" s="551"/>
      <c r="D727" s="542"/>
      <c r="E727" s="542"/>
      <c r="F727" s="554"/>
    </row>
    <row r="728" spans="1:6">
      <c r="A728" s="551"/>
      <c r="B728" s="558"/>
      <c r="C728" s="551"/>
      <c r="D728" s="542"/>
      <c r="E728" s="542"/>
      <c r="F728" s="554"/>
    </row>
    <row r="729" spans="1:6">
      <c r="A729" s="551"/>
      <c r="B729" s="558"/>
      <c r="C729" s="551"/>
      <c r="D729" s="542"/>
      <c r="E729" s="542"/>
      <c r="F729" s="554"/>
    </row>
    <row r="730" spans="1:6">
      <c r="A730" s="551"/>
      <c r="B730" s="558"/>
      <c r="C730" s="551"/>
      <c r="D730" s="542"/>
      <c r="E730" s="542"/>
      <c r="F730" s="554"/>
    </row>
    <row r="731" spans="1:6">
      <c r="A731" s="551"/>
      <c r="B731" s="558"/>
      <c r="C731" s="551"/>
      <c r="D731" s="542"/>
      <c r="E731" s="542"/>
      <c r="F731" s="543"/>
    </row>
    <row r="732" spans="1:6">
      <c r="A732" s="551"/>
      <c r="B732" s="558"/>
      <c r="C732" s="551"/>
      <c r="D732" s="542"/>
      <c r="E732" s="542"/>
      <c r="F732" s="543"/>
    </row>
    <row r="733" spans="1:6">
      <c r="A733" s="551"/>
      <c r="B733" s="558"/>
      <c r="C733" s="551"/>
      <c r="D733" s="542"/>
      <c r="E733" s="542"/>
      <c r="F733" s="543"/>
    </row>
    <row r="734" spans="1:6">
      <c r="A734" s="551"/>
      <c r="B734" s="551"/>
      <c r="C734" s="551"/>
      <c r="D734" s="542"/>
      <c r="E734" s="542"/>
      <c r="F734" s="543"/>
    </row>
    <row r="735" spans="1:6">
      <c r="A735" s="548"/>
      <c r="B735" s="548"/>
      <c r="C735" s="548"/>
      <c r="D735" s="545"/>
      <c r="E735" s="545"/>
      <c r="F735" s="546"/>
    </row>
    <row r="736" spans="1:6">
      <c r="A736" s="878" t="s">
        <v>1062</v>
      </c>
      <c r="B736" s="879"/>
      <c r="C736" s="879"/>
      <c r="D736" s="879"/>
      <c r="E736" s="559"/>
      <c r="F736" s="560">
        <f>SUM(F724:F735)</f>
        <v>599950.93333333405</v>
      </c>
    </row>
    <row r="737" spans="1:6">
      <c r="A737" s="540" t="s">
        <v>1064</v>
      </c>
      <c r="B737" s="880" t="s">
        <v>1065</v>
      </c>
      <c r="C737" s="881"/>
      <c r="D737" s="882"/>
      <c r="E737" s="882"/>
      <c r="F737" s="883"/>
    </row>
    <row r="738" spans="1:6">
      <c r="A738" s="542"/>
      <c r="B738" s="884" t="s">
        <v>1066</v>
      </c>
      <c r="C738" s="885"/>
      <c r="D738" s="886"/>
      <c r="E738" s="886"/>
      <c r="F738" s="887"/>
    </row>
    <row r="739" spans="1:6">
      <c r="A739" s="542"/>
      <c r="B739" s="886"/>
      <c r="C739" s="887"/>
      <c r="D739" s="888" t="s">
        <v>1067</v>
      </c>
      <c r="E739" s="886"/>
      <c r="F739" s="887"/>
    </row>
    <row r="740" spans="1:6">
      <c r="A740" s="542"/>
      <c r="B740" s="884" t="s">
        <v>1068</v>
      </c>
      <c r="C740" s="885"/>
      <c r="D740" s="886"/>
      <c r="E740" s="886"/>
      <c r="F740" s="887"/>
    </row>
    <row r="741" spans="1:6">
      <c r="A741" s="542"/>
      <c r="B741" s="886"/>
      <c r="C741" s="887"/>
      <c r="D741" s="886"/>
      <c r="E741" s="886"/>
      <c r="F741" s="887"/>
    </row>
    <row r="742" spans="1:6">
      <c r="A742" s="542"/>
      <c r="B742" s="886"/>
      <c r="C742" s="887"/>
      <c r="D742" s="886"/>
      <c r="E742" s="886"/>
      <c r="F742" s="887"/>
    </row>
    <row r="743" spans="1:6">
      <c r="A743" s="542" t="s">
        <v>1069</v>
      </c>
      <c r="B743" s="886"/>
      <c r="C743" s="887"/>
      <c r="D743" s="563" t="s">
        <v>1069</v>
      </c>
      <c r="E743" s="886"/>
      <c r="F743" s="887"/>
    </row>
    <row r="744" spans="1:6">
      <c r="A744" s="542" t="s">
        <v>1070</v>
      </c>
      <c r="B744" s="891" t="s">
        <v>1071</v>
      </c>
      <c r="C744" s="909"/>
      <c r="D744" s="563" t="s">
        <v>1070</v>
      </c>
      <c r="E744" s="893" t="s">
        <v>1072</v>
      </c>
      <c r="F744" s="910"/>
    </row>
    <row r="745" spans="1:6">
      <c r="A745" s="542" t="s">
        <v>1073</v>
      </c>
      <c r="B745" s="884" t="s">
        <v>1074</v>
      </c>
      <c r="C745" s="885"/>
      <c r="D745" s="563" t="s">
        <v>1073</v>
      </c>
      <c r="E745" s="886" t="s">
        <v>1075</v>
      </c>
      <c r="F745" s="887"/>
    </row>
    <row r="746" spans="1:6">
      <c r="A746" s="542"/>
      <c r="B746" s="886"/>
      <c r="C746" s="887"/>
      <c r="D746" s="563"/>
      <c r="E746" s="886"/>
      <c r="F746" s="887"/>
    </row>
    <row r="747" spans="1:6">
      <c r="A747" s="542" t="s">
        <v>1045</v>
      </c>
      <c r="B747" s="564"/>
      <c r="C747" s="562"/>
      <c r="D747" s="563" t="s">
        <v>1045</v>
      </c>
      <c r="E747" s="564"/>
      <c r="F747" s="565"/>
    </row>
    <row r="748" spans="1:6">
      <c r="A748" s="545"/>
      <c r="B748" s="895"/>
      <c r="C748" s="896"/>
      <c r="D748" s="566"/>
      <c r="E748" s="895"/>
      <c r="F748" s="896"/>
    </row>
    <row r="751" spans="1:6">
      <c r="A751" s="837" t="s">
        <v>1036</v>
      </c>
      <c r="B751" s="837"/>
      <c r="C751" s="837"/>
      <c r="D751" s="837"/>
      <c r="E751" s="837"/>
      <c r="F751" s="837"/>
    </row>
    <row r="752" spans="1:6">
      <c r="A752" s="838" t="s">
        <v>1037</v>
      </c>
      <c r="B752" s="867"/>
      <c r="C752" s="867"/>
      <c r="D752" s="867"/>
      <c r="E752" s="867"/>
      <c r="F752" s="868"/>
    </row>
    <row r="753" spans="1:6">
      <c r="A753" s="869" t="s">
        <v>1038</v>
      </c>
      <c r="B753" s="870"/>
      <c r="C753" s="870"/>
      <c r="D753" s="870"/>
      <c r="E753" s="870"/>
      <c r="F753" s="871"/>
    </row>
    <row r="754" spans="1:6" ht="15.75">
      <c r="A754" s="845" t="s">
        <v>1039</v>
      </c>
      <c r="B754" s="845"/>
      <c r="C754" s="845"/>
      <c r="D754" s="872"/>
      <c r="E754" s="865" t="s">
        <v>1098</v>
      </c>
      <c r="F754" s="866"/>
    </row>
    <row r="755" spans="1:6">
      <c r="A755" s="539" t="s">
        <v>1042</v>
      </c>
      <c r="B755" s="873"/>
      <c r="C755" s="873"/>
      <c r="D755" s="874"/>
      <c r="E755" s="540"/>
      <c r="F755" s="541"/>
    </row>
    <row r="756" spans="1:6" ht="18.75">
      <c r="A756" s="539" t="s">
        <v>1043</v>
      </c>
      <c r="B756" s="875" t="s">
        <v>1077</v>
      </c>
      <c r="C756" s="875"/>
      <c r="D756" s="876"/>
      <c r="E756" s="542" t="s">
        <v>1045</v>
      </c>
      <c r="F756" s="543"/>
    </row>
    <row r="757" spans="1:6">
      <c r="A757" s="544" t="s">
        <v>1046</v>
      </c>
      <c r="B757" s="877" t="s">
        <v>1047</v>
      </c>
      <c r="C757" s="877"/>
      <c r="D757" s="865"/>
      <c r="E757" s="545"/>
      <c r="F757" s="546"/>
    </row>
    <row r="758" spans="1:6">
      <c r="A758" s="544" t="s">
        <v>1048</v>
      </c>
      <c r="B758" s="889" t="s">
        <v>1049</v>
      </c>
      <c r="C758" s="889" t="s">
        <v>1050</v>
      </c>
      <c r="D758" s="547" t="s">
        <v>1051</v>
      </c>
      <c r="E758" s="861" t="s">
        <v>1052</v>
      </c>
      <c r="F758" s="862"/>
    </row>
    <row r="759" spans="1:6">
      <c r="A759" s="548" t="s">
        <v>1053</v>
      </c>
      <c r="B759" s="890"/>
      <c r="C759" s="890"/>
      <c r="D759" s="549" t="s">
        <v>1054</v>
      </c>
      <c r="E759" s="863"/>
      <c r="F759" s="864"/>
    </row>
    <row r="760" spans="1:6">
      <c r="A760" s="544"/>
      <c r="B760" s="550" t="s">
        <v>1055</v>
      </c>
      <c r="C760" s="544"/>
      <c r="D760" s="540">
        <v>300</v>
      </c>
      <c r="E760" s="542"/>
      <c r="F760" s="541"/>
    </row>
    <row r="761" spans="1:6">
      <c r="A761" s="551"/>
      <c r="B761" s="551"/>
      <c r="C761" s="551"/>
      <c r="D761" s="542"/>
      <c r="E761" s="542"/>
      <c r="F761" s="543"/>
    </row>
    <row r="762" spans="1:6">
      <c r="A762" s="551"/>
      <c r="B762" s="551" t="s">
        <v>1078</v>
      </c>
      <c r="C762" s="551">
        <v>3321</v>
      </c>
      <c r="D762" s="542"/>
      <c r="E762" s="542"/>
      <c r="F762" s="543"/>
    </row>
    <row r="763" spans="1:6">
      <c r="A763" s="551"/>
      <c r="B763" s="575" t="s">
        <v>1105</v>
      </c>
      <c r="C763" s="575"/>
      <c r="D763" s="552"/>
      <c r="E763" s="542"/>
      <c r="F763" s="543"/>
    </row>
    <row r="764" spans="1:6">
      <c r="A764" s="551"/>
      <c r="B764" s="576" t="s">
        <v>1106</v>
      </c>
      <c r="C764" s="575"/>
      <c r="D764" s="542"/>
      <c r="E764" s="542"/>
      <c r="F764" s="543"/>
    </row>
    <row r="765" spans="1:6">
      <c r="A765" s="551"/>
      <c r="B765" s="570"/>
      <c r="C765" s="551"/>
      <c r="D765" s="542"/>
      <c r="E765" s="542"/>
      <c r="F765" s="543"/>
    </row>
    <row r="766" spans="1:6">
      <c r="A766" s="551"/>
      <c r="B766" s="570"/>
      <c r="C766" s="551"/>
      <c r="D766" s="542"/>
      <c r="E766" s="542"/>
      <c r="F766" s="543"/>
    </row>
    <row r="767" spans="1:6">
      <c r="A767" s="551"/>
      <c r="B767" s="553" t="s">
        <v>1057</v>
      </c>
      <c r="C767" s="551"/>
      <c r="D767" s="542">
        <v>215</v>
      </c>
      <c r="E767" s="542"/>
      <c r="F767" s="554"/>
    </row>
    <row r="768" spans="1:6">
      <c r="A768" s="551"/>
      <c r="B768" s="551" t="s">
        <v>1102</v>
      </c>
      <c r="C768" s="551"/>
      <c r="D768" s="542"/>
      <c r="E768" s="542"/>
      <c r="F768" s="567">
        <v>882796</v>
      </c>
    </row>
    <row r="769" spans="1:6">
      <c r="A769" s="551"/>
      <c r="B769" s="551" t="s">
        <v>1103</v>
      </c>
      <c r="C769" s="551"/>
      <c r="D769" s="542"/>
      <c r="E769" s="542"/>
      <c r="F769" s="557">
        <v>351918.4</v>
      </c>
    </row>
    <row r="770" spans="1:6" ht="26.25">
      <c r="A770" s="551"/>
      <c r="B770" s="573" t="s">
        <v>1104</v>
      </c>
      <c r="C770" s="556"/>
      <c r="D770" s="542"/>
      <c r="E770" s="542"/>
      <c r="F770" s="574">
        <v>41520</v>
      </c>
    </row>
    <row r="771" spans="1:6">
      <c r="A771" s="551"/>
      <c r="B771" s="911" t="s">
        <v>1107</v>
      </c>
      <c r="C771" s="912"/>
      <c r="D771" s="542"/>
      <c r="E771" s="542"/>
      <c r="F771" s="554">
        <v>87979.6</v>
      </c>
    </row>
    <row r="772" spans="1:6">
      <c r="A772" s="551"/>
      <c r="B772" s="558"/>
      <c r="C772" s="551"/>
      <c r="D772" s="542"/>
      <c r="E772" s="542"/>
      <c r="F772" s="554"/>
    </row>
    <row r="773" spans="1:6">
      <c r="A773" s="551"/>
      <c r="B773" s="558"/>
      <c r="C773" s="551"/>
      <c r="D773" s="542"/>
      <c r="E773" s="542"/>
      <c r="F773" s="554"/>
    </row>
    <row r="774" spans="1:6">
      <c r="A774" s="551"/>
      <c r="B774" s="558"/>
      <c r="C774" s="551"/>
      <c r="D774" s="542"/>
      <c r="E774" s="542"/>
      <c r="F774" s="554"/>
    </row>
    <row r="775" spans="1:6">
      <c r="A775" s="551"/>
      <c r="B775" s="558"/>
      <c r="C775" s="551"/>
      <c r="D775" s="542"/>
      <c r="E775" s="542"/>
      <c r="F775" s="543"/>
    </row>
    <row r="776" spans="1:6">
      <c r="A776" s="551"/>
      <c r="B776" s="558"/>
      <c r="C776" s="551"/>
      <c r="D776" s="542"/>
      <c r="E776" s="542"/>
      <c r="F776" s="543"/>
    </row>
    <row r="777" spans="1:6">
      <c r="A777" s="551"/>
      <c r="B777" s="558"/>
      <c r="C777" s="551"/>
      <c r="D777" s="542"/>
      <c r="E777" s="542"/>
      <c r="F777" s="543"/>
    </row>
    <row r="778" spans="1:6">
      <c r="A778" s="551"/>
      <c r="B778" s="551"/>
      <c r="C778" s="551"/>
      <c r="D778" s="542"/>
      <c r="E778" s="542"/>
      <c r="F778" s="543"/>
    </row>
    <row r="779" spans="1:6">
      <c r="A779" s="548"/>
      <c r="B779" s="548"/>
      <c r="C779" s="548"/>
      <c r="D779" s="545"/>
      <c r="E779" s="545"/>
      <c r="F779" s="546"/>
    </row>
    <row r="780" spans="1:6">
      <c r="A780" s="878" t="s">
        <v>1062</v>
      </c>
      <c r="B780" s="879"/>
      <c r="C780" s="879"/>
      <c r="D780" s="879"/>
      <c r="E780" s="559"/>
      <c r="F780" s="560">
        <f>SUM(F768:F779)</f>
        <v>1364214</v>
      </c>
    </row>
    <row r="781" spans="1:6">
      <c r="A781" s="540" t="s">
        <v>1064</v>
      </c>
      <c r="B781" s="880" t="s">
        <v>1065</v>
      </c>
      <c r="C781" s="881"/>
      <c r="D781" s="882"/>
      <c r="E781" s="882"/>
      <c r="F781" s="883"/>
    </row>
    <row r="782" spans="1:6">
      <c r="A782" s="542"/>
      <c r="B782" s="884" t="s">
        <v>1066</v>
      </c>
      <c r="C782" s="885"/>
      <c r="D782" s="886"/>
      <c r="E782" s="886"/>
      <c r="F782" s="887"/>
    </row>
    <row r="783" spans="1:6">
      <c r="A783" s="542"/>
      <c r="B783" s="886"/>
      <c r="C783" s="887"/>
      <c r="D783" s="888" t="s">
        <v>1067</v>
      </c>
      <c r="E783" s="886"/>
      <c r="F783" s="887"/>
    </row>
    <row r="784" spans="1:6">
      <c r="A784" s="542"/>
      <c r="B784" s="884" t="s">
        <v>1068</v>
      </c>
      <c r="C784" s="885"/>
      <c r="D784" s="886"/>
      <c r="E784" s="886"/>
      <c r="F784" s="887"/>
    </row>
    <row r="785" spans="1:6">
      <c r="A785" s="542"/>
      <c r="B785" s="886"/>
      <c r="C785" s="887"/>
      <c r="D785" s="886"/>
      <c r="E785" s="886"/>
      <c r="F785" s="887"/>
    </row>
    <row r="786" spans="1:6">
      <c r="A786" s="542"/>
      <c r="B786" s="886"/>
      <c r="C786" s="887"/>
      <c r="D786" s="886"/>
      <c r="E786" s="886"/>
      <c r="F786" s="887"/>
    </row>
    <row r="787" spans="1:6">
      <c r="A787" s="542" t="s">
        <v>1069</v>
      </c>
      <c r="B787" s="886"/>
      <c r="C787" s="887"/>
      <c r="D787" s="563" t="s">
        <v>1069</v>
      </c>
      <c r="E787" s="886"/>
      <c r="F787" s="887"/>
    </row>
    <row r="788" spans="1:6">
      <c r="A788" s="542" t="s">
        <v>1070</v>
      </c>
      <c r="B788" s="891" t="s">
        <v>1071</v>
      </c>
      <c r="C788" s="909"/>
      <c r="D788" s="563" t="s">
        <v>1070</v>
      </c>
      <c r="E788" s="893" t="s">
        <v>1072</v>
      </c>
      <c r="F788" s="910"/>
    </row>
    <row r="789" spans="1:6">
      <c r="A789" s="542" t="s">
        <v>1073</v>
      </c>
      <c r="B789" s="884" t="s">
        <v>1074</v>
      </c>
      <c r="C789" s="885"/>
      <c r="D789" s="563" t="s">
        <v>1073</v>
      </c>
      <c r="E789" s="886" t="s">
        <v>1075</v>
      </c>
      <c r="F789" s="887"/>
    </row>
    <row r="790" spans="1:6">
      <c r="A790" s="542"/>
      <c r="B790" s="886"/>
      <c r="C790" s="887"/>
      <c r="D790" s="563"/>
      <c r="E790" s="886"/>
      <c r="F790" s="887"/>
    </row>
    <row r="791" spans="1:6">
      <c r="A791" s="542" t="s">
        <v>1045</v>
      </c>
      <c r="B791" s="564"/>
      <c r="C791" s="562"/>
      <c r="D791" s="563" t="s">
        <v>1045</v>
      </c>
      <c r="E791" s="564"/>
      <c r="F791" s="565"/>
    </row>
    <row r="792" spans="1:6">
      <c r="A792" s="545"/>
      <c r="B792" s="895"/>
      <c r="C792" s="896"/>
      <c r="D792" s="566"/>
      <c r="E792" s="895"/>
      <c r="F792" s="896"/>
    </row>
    <row r="796" spans="1:6">
      <c r="A796" s="837" t="s">
        <v>1036</v>
      </c>
      <c r="B796" s="837"/>
      <c r="C796" s="837"/>
      <c r="D796" s="837"/>
      <c r="E796" s="837"/>
      <c r="F796" s="837"/>
    </row>
    <row r="797" spans="1:6">
      <c r="A797" s="838" t="s">
        <v>1037</v>
      </c>
      <c r="B797" s="867"/>
      <c r="C797" s="867"/>
      <c r="D797" s="867"/>
      <c r="E797" s="867"/>
      <c r="F797" s="868"/>
    </row>
    <row r="798" spans="1:6">
      <c r="A798" s="869" t="s">
        <v>1038</v>
      </c>
      <c r="B798" s="870"/>
      <c r="C798" s="870"/>
      <c r="D798" s="870"/>
      <c r="E798" s="870"/>
      <c r="F798" s="871"/>
    </row>
    <row r="799" spans="1:6" ht="15.75">
      <c r="A799" s="845" t="s">
        <v>1039</v>
      </c>
      <c r="B799" s="845"/>
      <c r="C799" s="845"/>
      <c r="D799" s="872"/>
      <c r="E799" s="865" t="s">
        <v>1108</v>
      </c>
      <c r="F799" s="866"/>
    </row>
    <row r="800" spans="1:6">
      <c r="A800" s="539" t="s">
        <v>1042</v>
      </c>
      <c r="B800" s="873"/>
      <c r="C800" s="873"/>
      <c r="D800" s="874"/>
      <c r="E800" s="540"/>
      <c r="F800" s="541"/>
    </row>
    <row r="801" spans="1:11" ht="18.75">
      <c r="A801" s="539" t="s">
        <v>1043</v>
      </c>
      <c r="B801" s="875" t="s">
        <v>1077</v>
      </c>
      <c r="C801" s="875"/>
      <c r="D801" s="876"/>
      <c r="E801" s="542" t="s">
        <v>1045</v>
      </c>
      <c r="F801" s="543"/>
    </row>
    <row r="802" spans="1:11">
      <c r="A802" s="544" t="s">
        <v>1046</v>
      </c>
      <c r="B802" s="877" t="s">
        <v>1047</v>
      </c>
      <c r="C802" s="877"/>
      <c r="D802" s="865"/>
      <c r="E802" s="545"/>
      <c r="F802" s="546"/>
    </row>
    <row r="803" spans="1:11">
      <c r="A803" s="544" t="s">
        <v>1048</v>
      </c>
      <c r="B803" s="889" t="s">
        <v>1049</v>
      </c>
      <c r="C803" s="889" t="s">
        <v>1050</v>
      </c>
      <c r="D803" s="547" t="s">
        <v>1051</v>
      </c>
      <c r="E803" s="861" t="s">
        <v>1052</v>
      </c>
      <c r="F803" s="862"/>
    </row>
    <row r="804" spans="1:11">
      <c r="A804" s="548" t="s">
        <v>1053</v>
      </c>
      <c r="B804" s="890"/>
      <c r="C804" s="890"/>
      <c r="D804" s="549" t="s">
        <v>1054</v>
      </c>
      <c r="E804" s="863"/>
      <c r="F804" s="864"/>
    </row>
    <row r="805" spans="1:11">
      <c r="A805" s="544"/>
      <c r="B805" s="578" t="s">
        <v>1055</v>
      </c>
      <c r="C805" s="544"/>
      <c r="D805" s="544">
        <v>300</v>
      </c>
      <c r="E805" s="540"/>
      <c r="F805" s="541"/>
    </row>
    <row r="806" spans="1:11">
      <c r="A806" s="551"/>
      <c r="B806" s="542"/>
      <c r="C806" s="551"/>
      <c r="D806" s="551"/>
      <c r="E806" s="542"/>
      <c r="F806" s="543"/>
    </row>
    <row r="807" spans="1:11">
      <c r="A807" s="551"/>
      <c r="B807" s="542" t="s">
        <v>1078</v>
      </c>
      <c r="C807" s="551">
        <v>3321</v>
      </c>
      <c r="D807" s="551"/>
      <c r="E807" s="542"/>
      <c r="F807" s="543"/>
    </row>
    <row r="808" spans="1:11">
      <c r="A808" s="551"/>
      <c r="B808" s="579" t="s">
        <v>1109</v>
      </c>
      <c r="C808" s="580"/>
      <c r="D808" s="553"/>
      <c r="E808" s="542"/>
      <c r="F808" s="543"/>
    </row>
    <row r="809" spans="1:11">
      <c r="A809" s="551"/>
      <c r="B809" s="581" t="s">
        <v>1110</v>
      </c>
      <c r="C809" s="580"/>
      <c r="D809" s="551"/>
      <c r="E809" s="542"/>
      <c r="F809" s="543"/>
    </row>
    <row r="810" spans="1:11">
      <c r="A810" s="551"/>
      <c r="B810" s="582" t="s">
        <v>1111</v>
      </c>
      <c r="C810" s="551"/>
      <c r="D810" s="551"/>
      <c r="E810" s="542"/>
      <c r="F810" s="543"/>
    </row>
    <row r="811" spans="1:11">
      <c r="A811" s="551"/>
      <c r="B811" s="582"/>
      <c r="C811" s="551"/>
      <c r="D811" s="551"/>
      <c r="E811" s="542"/>
      <c r="F811" s="543"/>
    </row>
    <row r="812" spans="1:11">
      <c r="A812" s="551"/>
      <c r="B812" s="552" t="s">
        <v>1057</v>
      </c>
      <c r="C812" s="551"/>
      <c r="D812" s="551">
        <v>215</v>
      </c>
      <c r="E812" s="542"/>
      <c r="F812" s="554"/>
    </row>
    <row r="813" spans="1:11">
      <c r="A813" s="551"/>
      <c r="B813" s="542" t="s">
        <v>1102</v>
      </c>
      <c r="C813" s="551"/>
      <c r="D813" s="551"/>
      <c r="E813" s="542"/>
      <c r="F813" s="567">
        <v>272438</v>
      </c>
    </row>
    <row r="814" spans="1:11">
      <c r="A814" s="551"/>
      <c r="B814" s="542" t="s">
        <v>1103</v>
      </c>
      <c r="C814" s="551"/>
      <c r="D814" s="551"/>
      <c r="E814" s="542"/>
      <c r="F814" s="583">
        <v>113163.96</v>
      </c>
    </row>
    <row r="815" spans="1:11" ht="26.25">
      <c r="A815" s="551"/>
      <c r="B815" s="573" t="s">
        <v>1112</v>
      </c>
      <c r="C815" s="556"/>
      <c r="D815" s="551"/>
      <c r="E815" s="542"/>
      <c r="F815" s="574">
        <v>14304</v>
      </c>
    </row>
    <row r="816" spans="1:11">
      <c r="A816" s="551"/>
      <c r="B816" s="577"/>
      <c r="C816" s="584"/>
      <c r="D816" s="551"/>
      <c r="E816" s="542"/>
      <c r="F816" s="554"/>
      <c r="K816" t="s">
        <v>1113</v>
      </c>
    </row>
    <row r="817" spans="1:6">
      <c r="A817" s="551"/>
      <c r="B817" s="558"/>
      <c r="C817" s="551"/>
      <c r="D817" s="551"/>
      <c r="E817" s="542"/>
      <c r="F817" s="554"/>
    </row>
    <row r="818" spans="1:6">
      <c r="A818" s="551"/>
      <c r="B818" s="558"/>
      <c r="C818" s="551"/>
      <c r="D818" s="551"/>
      <c r="E818" s="542"/>
      <c r="F818" s="554"/>
    </row>
    <row r="819" spans="1:6">
      <c r="A819" s="551"/>
      <c r="B819" s="558"/>
      <c r="C819" s="551"/>
      <c r="D819" s="551"/>
      <c r="E819" s="542"/>
      <c r="F819" s="554"/>
    </row>
    <row r="820" spans="1:6">
      <c r="A820" s="551"/>
      <c r="B820" s="558"/>
      <c r="C820" s="551"/>
      <c r="D820" s="551"/>
      <c r="E820" s="542"/>
      <c r="F820" s="543"/>
    </row>
    <row r="821" spans="1:6">
      <c r="A821" s="551"/>
      <c r="B821" s="558"/>
      <c r="C821" s="551"/>
      <c r="D821" s="551"/>
      <c r="E821" s="542"/>
      <c r="F821" s="543"/>
    </row>
    <row r="822" spans="1:6">
      <c r="A822" s="551"/>
      <c r="B822" s="558"/>
      <c r="C822" s="551"/>
      <c r="D822" s="551"/>
      <c r="E822" s="542"/>
      <c r="F822" s="543"/>
    </row>
    <row r="823" spans="1:6">
      <c r="A823" s="551"/>
      <c r="B823" s="542"/>
      <c r="C823" s="551"/>
      <c r="D823" s="551"/>
      <c r="E823" s="542"/>
      <c r="F823" s="543"/>
    </row>
    <row r="824" spans="1:6">
      <c r="A824" s="548"/>
      <c r="B824" s="545"/>
      <c r="C824" s="548"/>
      <c r="D824" s="548"/>
      <c r="E824" s="545"/>
      <c r="F824" s="546"/>
    </row>
    <row r="825" spans="1:6">
      <c r="A825" s="878" t="s">
        <v>1062</v>
      </c>
      <c r="B825" s="879"/>
      <c r="C825" s="879"/>
      <c r="D825" s="879"/>
      <c r="E825" s="559"/>
      <c r="F825" t="s">
        <v>1114</v>
      </c>
    </row>
    <row r="826" spans="1:6">
      <c r="A826" s="540" t="s">
        <v>1064</v>
      </c>
      <c r="B826" s="880" t="s">
        <v>1065</v>
      </c>
      <c r="C826" s="881"/>
      <c r="D826" s="882"/>
      <c r="E826" s="882"/>
      <c r="F826" s="883"/>
    </row>
    <row r="827" spans="1:6">
      <c r="A827" s="542"/>
      <c r="B827" s="884" t="s">
        <v>1066</v>
      </c>
      <c r="C827" s="885"/>
      <c r="D827" s="886"/>
      <c r="E827" s="886"/>
      <c r="F827" s="887"/>
    </row>
    <row r="828" spans="1:6">
      <c r="A828" s="542"/>
      <c r="B828" s="886"/>
      <c r="C828" s="887"/>
      <c r="D828" s="888" t="s">
        <v>1067</v>
      </c>
      <c r="E828" s="886"/>
      <c r="F828" s="887"/>
    </row>
    <row r="829" spans="1:6">
      <c r="A829" s="542"/>
      <c r="B829" s="884" t="s">
        <v>1068</v>
      </c>
      <c r="C829" s="885"/>
      <c r="D829" s="886"/>
      <c r="E829" s="886"/>
      <c r="F829" s="887"/>
    </row>
    <row r="830" spans="1:6">
      <c r="A830" s="542"/>
      <c r="B830" s="886"/>
      <c r="C830" s="887"/>
      <c r="D830" s="886"/>
      <c r="E830" s="886"/>
      <c r="F830" s="887"/>
    </row>
    <row r="831" spans="1:6">
      <c r="A831" s="542"/>
      <c r="B831" s="886"/>
      <c r="C831" s="887"/>
      <c r="D831" s="886"/>
      <c r="E831" s="886"/>
      <c r="F831" s="887"/>
    </row>
    <row r="832" spans="1:6">
      <c r="A832" s="542" t="s">
        <v>1069</v>
      </c>
      <c r="B832" s="886"/>
      <c r="C832" s="887"/>
      <c r="D832" s="563" t="s">
        <v>1069</v>
      </c>
      <c r="E832" s="886"/>
      <c r="F832" s="887"/>
    </row>
    <row r="833" spans="1:6">
      <c r="A833" s="542" t="s">
        <v>1070</v>
      </c>
      <c r="B833" s="891" t="s">
        <v>1071</v>
      </c>
      <c r="C833" s="909"/>
      <c r="D833" s="563" t="s">
        <v>1070</v>
      </c>
      <c r="E833" s="893" t="s">
        <v>1072</v>
      </c>
      <c r="F833" s="910"/>
    </row>
    <row r="834" spans="1:6">
      <c r="A834" s="542" t="s">
        <v>1073</v>
      </c>
      <c r="B834" s="884" t="s">
        <v>1074</v>
      </c>
      <c r="C834" s="885"/>
      <c r="D834" s="563" t="s">
        <v>1073</v>
      </c>
      <c r="E834" s="886" t="s">
        <v>1075</v>
      </c>
      <c r="F834" s="887"/>
    </row>
    <row r="835" spans="1:6">
      <c r="A835" s="542"/>
      <c r="B835" s="886"/>
      <c r="C835" s="887"/>
      <c r="D835" s="563"/>
      <c r="E835" s="886"/>
      <c r="F835" s="887"/>
    </row>
    <row r="836" spans="1:6">
      <c r="A836" s="542" t="s">
        <v>1045</v>
      </c>
      <c r="B836" s="564"/>
      <c r="C836" s="562"/>
      <c r="D836" s="563" t="s">
        <v>1045</v>
      </c>
      <c r="E836" s="564"/>
      <c r="F836" s="565"/>
    </row>
    <row r="837" spans="1:6">
      <c r="A837" s="545"/>
      <c r="B837" s="895"/>
      <c r="C837" s="896"/>
      <c r="D837" s="566"/>
      <c r="E837" s="895"/>
      <c r="F837" s="896"/>
    </row>
    <row r="841" spans="1:6">
      <c r="A841" s="837" t="s">
        <v>1036</v>
      </c>
      <c r="B841" s="837"/>
      <c r="C841" s="837"/>
      <c r="D841" s="837"/>
      <c r="E841" s="837"/>
      <c r="F841" s="837"/>
    </row>
    <row r="842" spans="1:6">
      <c r="A842" s="838" t="s">
        <v>1037</v>
      </c>
      <c r="B842" s="867"/>
      <c r="C842" s="867"/>
      <c r="D842" s="867"/>
      <c r="E842" s="867"/>
      <c r="F842" s="868"/>
    </row>
    <row r="843" spans="1:6">
      <c r="A843" s="869" t="s">
        <v>1038</v>
      </c>
      <c r="B843" s="870"/>
      <c r="C843" s="870"/>
      <c r="D843" s="870"/>
      <c r="E843" s="870"/>
      <c r="F843" s="871"/>
    </row>
    <row r="844" spans="1:6" ht="15.75">
      <c r="A844" s="845" t="s">
        <v>1039</v>
      </c>
      <c r="B844" s="845"/>
      <c r="C844" s="845"/>
      <c r="D844" s="872"/>
      <c r="E844" s="865" t="s">
        <v>1115</v>
      </c>
      <c r="F844" s="866"/>
    </row>
    <row r="845" spans="1:6">
      <c r="A845" s="539" t="s">
        <v>1042</v>
      </c>
      <c r="B845" s="873"/>
      <c r="C845" s="873"/>
      <c r="D845" s="874"/>
      <c r="E845" s="540"/>
      <c r="F845" s="541"/>
    </row>
    <row r="846" spans="1:6" ht="18.75">
      <c r="A846" s="539" t="s">
        <v>1043</v>
      </c>
      <c r="B846" s="875" t="s">
        <v>1077</v>
      </c>
      <c r="C846" s="875"/>
      <c r="D846" s="876"/>
      <c r="E846" s="542" t="s">
        <v>1045</v>
      </c>
      <c r="F846" s="543"/>
    </row>
    <row r="847" spans="1:6">
      <c r="A847" s="544" t="s">
        <v>1046</v>
      </c>
      <c r="B847" s="877" t="s">
        <v>1047</v>
      </c>
      <c r="C847" s="877"/>
      <c r="D847" s="865"/>
      <c r="E847" s="545"/>
      <c r="F847" s="546"/>
    </row>
    <row r="848" spans="1:6">
      <c r="A848" s="544" t="s">
        <v>1048</v>
      </c>
      <c r="B848" s="889" t="s">
        <v>1049</v>
      </c>
      <c r="C848" s="889" t="s">
        <v>1050</v>
      </c>
      <c r="D848" s="547" t="s">
        <v>1051</v>
      </c>
      <c r="E848" s="861" t="s">
        <v>1052</v>
      </c>
      <c r="F848" s="862"/>
    </row>
    <row r="849" spans="1:6">
      <c r="A849" s="548" t="s">
        <v>1053</v>
      </c>
      <c r="B849" s="890"/>
      <c r="C849" s="890"/>
      <c r="D849" s="549" t="s">
        <v>1054</v>
      </c>
      <c r="E849" s="863"/>
      <c r="F849" s="864"/>
    </row>
    <row r="850" spans="1:6">
      <c r="A850" s="544"/>
      <c r="B850" s="578" t="s">
        <v>1055</v>
      </c>
      <c r="C850" s="544"/>
      <c r="D850" s="544">
        <v>300</v>
      </c>
      <c r="E850" s="540"/>
      <c r="F850" s="541"/>
    </row>
    <row r="851" spans="1:6">
      <c r="A851" s="551"/>
      <c r="B851" s="542"/>
      <c r="C851" s="551"/>
      <c r="D851" s="551"/>
      <c r="E851" s="542"/>
      <c r="F851" s="543"/>
    </row>
    <row r="852" spans="1:6">
      <c r="A852" s="551"/>
      <c r="B852" s="542" t="s">
        <v>1078</v>
      </c>
      <c r="C852" s="551">
        <v>3321</v>
      </c>
      <c r="D852" s="551"/>
      <c r="E852" s="542"/>
      <c r="F852" s="543"/>
    </row>
    <row r="853" spans="1:6">
      <c r="A853" s="551"/>
      <c r="B853" s="542" t="s">
        <v>1116</v>
      </c>
      <c r="C853" s="580"/>
      <c r="D853" s="553"/>
      <c r="E853" s="542"/>
      <c r="F853" s="543"/>
    </row>
    <row r="854" spans="1:6">
      <c r="A854" s="551"/>
      <c r="B854" s="542" t="s">
        <v>1117</v>
      </c>
      <c r="C854" s="580"/>
      <c r="D854" s="551"/>
      <c r="E854" s="542"/>
      <c r="F854" s="543"/>
    </row>
    <row r="855" spans="1:6">
      <c r="A855" s="551"/>
      <c r="B855" s="582" t="s">
        <v>1118</v>
      </c>
      <c r="C855" s="551"/>
      <c r="D855" s="551"/>
      <c r="E855" s="542"/>
      <c r="F855" s="543"/>
    </row>
    <row r="856" spans="1:6">
      <c r="A856" s="551"/>
      <c r="B856" s="582"/>
      <c r="C856" s="551"/>
      <c r="D856" s="551"/>
      <c r="E856" s="542"/>
      <c r="F856" s="543"/>
    </row>
    <row r="857" spans="1:6">
      <c r="A857" s="551"/>
      <c r="B857" s="552" t="s">
        <v>1057</v>
      </c>
      <c r="C857" s="551"/>
      <c r="D857" s="551">
        <v>215</v>
      </c>
      <c r="E857" s="542"/>
      <c r="F857" s="554"/>
    </row>
    <row r="858" spans="1:6">
      <c r="A858" s="551"/>
      <c r="B858" s="542" t="s">
        <v>1102</v>
      </c>
      <c r="C858" s="551"/>
      <c r="D858" s="551"/>
      <c r="E858" s="542"/>
      <c r="F858" s="567">
        <v>795920</v>
      </c>
    </row>
    <row r="859" spans="1:6">
      <c r="A859" s="551"/>
      <c r="B859" s="542" t="s">
        <v>1103</v>
      </c>
      <c r="C859" s="551"/>
      <c r="D859" s="551"/>
      <c r="E859" s="542"/>
      <c r="F859" s="583">
        <v>404045.8</v>
      </c>
    </row>
    <row r="860" spans="1:6" ht="15.75">
      <c r="A860" s="551"/>
      <c r="B860" s="573"/>
      <c r="C860" s="556"/>
      <c r="D860" s="551"/>
      <c r="E860" s="542"/>
      <c r="F860" s="574"/>
    </row>
    <row r="861" spans="1:6">
      <c r="A861" s="551"/>
      <c r="B861" s="577"/>
      <c r="C861" s="584"/>
      <c r="D861" s="551"/>
      <c r="E861" s="542"/>
      <c r="F861" s="554"/>
    </row>
    <row r="862" spans="1:6">
      <c r="A862" s="551"/>
      <c r="B862" s="558"/>
      <c r="C862" s="551"/>
      <c r="D862" s="551"/>
      <c r="E862" s="542"/>
      <c r="F862" s="554"/>
    </row>
    <row r="863" spans="1:6">
      <c r="A863" s="551"/>
      <c r="B863" s="558"/>
      <c r="C863" s="551"/>
      <c r="D863" s="551"/>
      <c r="E863" s="542"/>
      <c r="F863" s="554"/>
    </row>
    <row r="864" spans="1:6">
      <c r="A864" s="551"/>
      <c r="B864" s="558"/>
      <c r="C864" s="551"/>
      <c r="D864" s="551"/>
      <c r="E864" s="542"/>
      <c r="F864" s="554"/>
    </row>
    <row r="865" spans="1:6">
      <c r="A865" s="551"/>
      <c r="B865" s="558"/>
      <c r="C865" s="551"/>
      <c r="D865" s="551"/>
      <c r="E865" s="542"/>
      <c r="F865" s="543"/>
    </row>
    <row r="866" spans="1:6">
      <c r="A866" s="551"/>
      <c r="B866" s="558"/>
      <c r="C866" s="551"/>
      <c r="D866" s="551"/>
      <c r="E866" s="542"/>
      <c r="F866" s="543"/>
    </row>
    <row r="867" spans="1:6">
      <c r="A867" s="551"/>
      <c r="B867" s="558"/>
      <c r="C867" s="551"/>
      <c r="D867" s="551"/>
      <c r="E867" s="542"/>
      <c r="F867" s="543"/>
    </row>
    <row r="868" spans="1:6">
      <c r="A868" s="551"/>
      <c r="B868" s="542"/>
      <c r="C868" s="551"/>
      <c r="D868" s="551"/>
      <c r="E868" s="542"/>
      <c r="F868" s="543"/>
    </row>
    <row r="869" spans="1:6">
      <c r="A869" s="548"/>
      <c r="B869" s="545"/>
      <c r="C869" s="548"/>
      <c r="D869" s="548"/>
      <c r="E869" s="545"/>
      <c r="F869" s="546"/>
    </row>
    <row r="870" spans="1:6">
      <c r="A870" s="878" t="s">
        <v>1062</v>
      </c>
      <c r="B870" s="879"/>
      <c r="C870" s="879"/>
      <c r="D870" s="879"/>
      <c r="E870" s="559"/>
      <c r="F870" s="560">
        <f>SUM(F858:F869)</f>
        <v>1199965.8</v>
      </c>
    </row>
    <row r="871" spans="1:6">
      <c r="A871" s="540" t="s">
        <v>1064</v>
      </c>
      <c r="B871" s="880" t="s">
        <v>1065</v>
      </c>
      <c r="C871" s="881"/>
      <c r="D871" s="882"/>
      <c r="E871" s="882"/>
      <c r="F871" s="883"/>
    </row>
    <row r="872" spans="1:6">
      <c r="A872" s="542"/>
      <c r="B872" s="884" t="s">
        <v>1066</v>
      </c>
      <c r="C872" s="885"/>
      <c r="D872" s="886"/>
      <c r="E872" s="886"/>
      <c r="F872" s="887"/>
    </row>
    <row r="873" spans="1:6">
      <c r="A873" s="542"/>
      <c r="B873" s="886"/>
      <c r="C873" s="887"/>
      <c r="D873" s="888" t="s">
        <v>1067</v>
      </c>
      <c r="E873" s="886"/>
      <c r="F873" s="887"/>
    </row>
    <row r="874" spans="1:6">
      <c r="A874" s="542"/>
      <c r="B874" s="884" t="s">
        <v>1068</v>
      </c>
      <c r="C874" s="885"/>
      <c r="D874" s="886"/>
      <c r="E874" s="886"/>
      <c r="F874" s="887"/>
    </row>
    <row r="875" spans="1:6">
      <c r="A875" s="542"/>
      <c r="B875" s="886"/>
      <c r="C875" s="887"/>
      <c r="D875" s="886"/>
      <c r="E875" s="886"/>
      <c r="F875" s="887"/>
    </row>
    <row r="876" spans="1:6">
      <c r="A876" s="542"/>
      <c r="B876" s="886"/>
      <c r="C876" s="887"/>
      <c r="D876" s="886"/>
      <c r="E876" s="886"/>
      <c r="F876" s="887"/>
    </row>
    <row r="877" spans="1:6">
      <c r="A877" s="542" t="s">
        <v>1069</v>
      </c>
      <c r="B877" s="886"/>
      <c r="C877" s="887"/>
      <c r="D877" s="563" t="s">
        <v>1069</v>
      </c>
      <c r="E877" s="886"/>
      <c r="F877" s="887"/>
    </row>
    <row r="878" spans="1:6">
      <c r="A878" s="542" t="s">
        <v>1070</v>
      </c>
      <c r="B878" s="891" t="s">
        <v>1071</v>
      </c>
      <c r="C878" s="909"/>
      <c r="D878" s="563" t="s">
        <v>1070</v>
      </c>
      <c r="E878" s="893" t="s">
        <v>1072</v>
      </c>
      <c r="F878" s="910"/>
    </row>
    <row r="879" spans="1:6">
      <c r="A879" s="542" t="s">
        <v>1073</v>
      </c>
      <c r="B879" s="884" t="s">
        <v>1074</v>
      </c>
      <c r="C879" s="885"/>
      <c r="D879" s="563" t="s">
        <v>1073</v>
      </c>
      <c r="E879" s="886" t="s">
        <v>1075</v>
      </c>
      <c r="F879" s="887"/>
    </row>
    <row r="880" spans="1:6">
      <c r="A880" s="542"/>
      <c r="B880" s="886"/>
      <c r="C880" s="887"/>
      <c r="D880" s="563"/>
      <c r="E880" s="886"/>
      <c r="F880" s="887"/>
    </row>
    <row r="881" spans="1:6">
      <c r="A881" s="542" t="s">
        <v>1045</v>
      </c>
      <c r="B881" s="564"/>
      <c r="C881" s="562"/>
      <c r="D881" s="563" t="s">
        <v>1045</v>
      </c>
      <c r="E881" s="564"/>
      <c r="F881" s="565"/>
    </row>
    <row r="882" spans="1:6">
      <c r="A882" s="545"/>
      <c r="B882" s="895"/>
      <c r="C882" s="896"/>
      <c r="D882" s="566"/>
      <c r="E882" s="895"/>
      <c r="F882" s="896"/>
    </row>
    <row r="889" spans="1:6">
      <c r="A889" s="837" t="s">
        <v>1036</v>
      </c>
      <c r="B889" s="837"/>
      <c r="C889" s="837"/>
      <c r="D889" s="837"/>
      <c r="E889" s="837"/>
      <c r="F889" s="837"/>
    </row>
    <row r="890" spans="1:6">
      <c r="A890" s="838" t="s">
        <v>1037</v>
      </c>
      <c r="B890" s="867"/>
      <c r="C890" s="867"/>
      <c r="D890" s="867"/>
      <c r="E890" s="867"/>
      <c r="F890" s="868"/>
    </row>
    <row r="891" spans="1:6">
      <c r="A891" s="869" t="s">
        <v>1038</v>
      </c>
      <c r="B891" s="870"/>
      <c r="C891" s="870"/>
      <c r="D891" s="870"/>
      <c r="E891" s="870"/>
      <c r="F891" s="871"/>
    </row>
    <row r="892" spans="1:6" ht="15.75">
      <c r="A892" s="845" t="s">
        <v>1039</v>
      </c>
      <c r="B892" s="845"/>
      <c r="C892" s="845"/>
      <c r="D892" s="872"/>
      <c r="E892" s="865" t="s">
        <v>1115</v>
      </c>
      <c r="F892" s="866"/>
    </row>
    <row r="893" spans="1:6">
      <c r="A893" s="539" t="s">
        <v>1042</v>
      </c>
      <c r="B893" s="873"/>
      <c r="C893" s="873"/>
      <c r="D893" s="874"/>
      <c r="E893" s="540"/>
      <c r="F893" s="541"/>
    </row>
    <row r="894" spans="1:6" ht="18.75">
      <c r="A894" s="539" t="s">
        <v>1043</v>
      </c>
      <c r="B894" s="875" t="s">
        <v>1077</v>
      </c>
      <c r="C894" s="875"/>
      <c r="D894" s="876"/>
      <c r="E894" s="542" t="s">
        <v>1045</v>
      </c>
      <c r="F894" s="543"/>
    </row>
    <row r="895" spans="1:6">
      <c r="A895" s="544" t="s">
        <v>1046</v>
      </c>
      <c r="B895" s="877" t="s">
        <v>1047</v>
      </c>
      <c r="C895" s="877"/>
      <c r="D895" s="865"/>
      <c r="E895" s="545"/>
      <c r="F895" s="546"/>
    </row>
    <row r="896" spans="1:6">
      <c r="A896" s="544" t="s">
        <v>1048</v>
      </c>
      <c r="B896" s="889" t="s">
        <v>1049</v>
      </c>
      <c r="C896" s="889" t="s">
        <v>1050</v>
      </c>
      <c r="D896" s="547" t="s">
        <v>1051</v>
      </c>
      <c r="E896" s="861" t="s">
        <v>1052</v>
      </c>
      <c r="F896" s="862"/>
    </row>
    <row r="897" spans="1:6">
      <c r="A897" s="548" t="s">
        <v>1053</v>
      </c>
      <c r="B897" s="890"/>
      <c r="C897" s="890"/>
      <c r="D897" s="549" t="s">
        <v>1054</v>
      </c>
      <c r="E897" s="863"/>
      <c r="F897" s="864"/>
    </row>
    <row r="898" spans="1:6">
      <c r="A898" s="544"/>
      <c r="B898" s="578" t="s">
        <v>1055</v>
      </c>
      <c r="C898" s="544"/>
      <c r="D898" s="544">
        <v>300</v>
      </c>
      <c r="E898" s="540"/>
      <c r="F898" s="541"/>
    </row>
    <row r="899" spans="1:6">
      <c r="A899" s="551"/>
      <c r="B899" s="542"/>
      <c r="C899" s="551"/>
      <c r="D899" s="551"/>
      <c r="E899" s="542"/>
      <c r="F899" s="543"/>
    </row>
    <row r="900" spans="1:6">
      <c r="A900" s="551"/>
      <c r="B900" s="542" t="s">
        <v>1078</v>
      </c>
      <c r="C900" s="551">
        <v>3321</v>
      </c>
      <c r="D900" s="551"/>
      <c r="E900" s="542"/>
      <c r="F900" s="543"/>
    </row>
    <row r="901" spans="1:6">
      <c r="A901" s="551"/>
      <c r="B901" s="542" t="s">
        <v>1119</v>
      </c>
      <c r="C901" s="580"/>
      <c r="D901" s="553"/>
      <c r="E901" s="542"/>
      <c r="F901" s="543"/>
    </row>
    <row r="902" spans="1:6">
      <c r="A902" s="551"/>
      <c r="B902" s="542" t="s">
        <v>1120</v>
      </c>
      <c r="C902" s="580"/>
      <c r="D902" s="551"/>
      <c r="E902" s="542"/>
      <c r="F902" s="543"/>
    </row>
    <row r="903" spans="1:6">
      <c r="A903" s="551"/>
      <c r="B903" s="582" t="s">
        <v>1121</v>
      </c>
      <c r="C903" s="551"/>
      <c r="D903" s="551"/>
      <c r="E903" s="542"/>
      <c r="F903" s="543"/>
    </row>
    <row r="904" spans="1:6">
      <c r="A904" s="551"/>
      <c r="B904" s="582"/>
      <c r="C904" s="551"/>
      <c r="D904" s="551"/>
      <c r="E904" s="542"/>
      <c r="F904" s="543"/>
    </row>
    <row r="905" spans="1:6">
      <c r="A905" s="551"/>
      <c r="B905" s="552" t="s">
        <v>1122</v>
      </c>
      <c r="C905" s="551"/>
      <c r="D905" s="551">
        <v>254</v>
      </c>
      <c r="E905" s="542"/>
      <c r="F905" s="554"/>
    </row>
    <row r="906" spans="1:6">
      <c r="A906" s="551"/>
      <c r="B906" s="542" t="s">
        <v>1102</v>
      </c>
      <c r="C906" s="551"/>
      <c r="D906" s="551"/>
      <c r="E906" s="542"/>
      <c r="F906" s="585">
        <v>144583.5</v>
      </c>
    </row>
    <row r="907" spans="1:6">
      <c r="A907" s="551"/>
      <c r="B907" s="542" t="s">
        <v>1103</v>
      </c>
      <c r="C907" s="551"/>
      <c r="D907" s="551"/>
      <c r="E907" s="542"/>
      <c r="F907" s="586">
        <v>50313.4</v>
      </c>
    </row>
    <row r="908" spans="1:6" ht="15.75">
      <c r="A908" s="551"/>
      <c r="B908" s="573" t="s">
        <v>1123</v>
      </c>
      <c r="C908" s="556"/>
      <c r="D908" s="551"/>
      <c r="E908" s="542"/>
      <c r="F908" s="587">
        <v>5100</v>
      </c>
    </row>
    <row r="909" spans="1:6">
      <c r="A909" s="551"/>
      <c r="B909" s="577"/>
      <c r="C909" s="584"/>
      <c r="D909" s="551"/>
      <c r="E909" s="542"/>
      <c r="F909" s="554"/>
    </row>
    <row r="910" spans="1:6">
      <c r="A910" s="551"/>
      <c r="B910" s="558"/>
      <c r="C910" s="551"/>
      <c r="D910" s="551"/>
      <c r="E910" s="542"/>
      <c r="F910" s="554"/>
    </row>
    <row r="911" spans="1:6">
      <c r="A911" s="551"/>
      <c r="B911" s="558"/>
      <c r="C911" s="551"/>
      <c r="D911" s="551"/>
      <c r="E911" s="542"/>
      <c r="F911" s="554"/>
    </row>
    <row r="912" spans="1:6">
      <c r="A912" s="551"/>
      <c r="B912" s="558"/>
      <c r="C912" s="551"/>
      <c r="D912" s="551"/>
      <c r="E912" s="542"/>
      <c r="F912" s="554"/>
    </row>
    <row r="913" spans="1:6">
      <c r="A913" s="551"/>
      <c r="B913" s="558"/>
      <c r="C913" s="551"/>
      <c r="D913" s="551"/>
      <c r="E913" s="542"/>
      <c r="F913" s="543"/>
    </row>
    <row r="914" spans="1:6">
      <c r="A914" s="551"/>
      <c r="B914" s="558"/>
      <c r="C914" s="551"/>
      <c r="D914" s="551"/>
      <c r="E914" s="542"/>
      <c r="F914" s="543"/>
    </row>
    <row r="915" spans="1:6">
      <c r="A915" s="551"/>
      <c r="B915" s="558"/>
      <c r="C915" s="551"/>
      <c r="D915" s="551"/>
      <c r="E915" s="542"/>
      <c r="F915" s="543"/>
    </row>
    <row r="916" spans="1:6">
      <c r="A916" s="551"/>
      <c r="B916" s="542"/>
      <c r="C916" s="551"/>
      <c r="D916" s="551"/>
      <c r="E916" s="542"/>
      <c r="F916" s="543"/>
    </row>
    <row r="917" spans="1:6">
      <c r="A917" s="548"/>
      <c r="B917" s="545"/>
      <c r="C917" s="548"/>
      <c r="D917" s="548"/>
      <c r="E917" s="545"/>
      <c r="F917" s="546"/>
    </row>
    <row r="918" spans="1:6">
      <c r="A918" s="878" t="s">
        <v>1062</v>
      </c>
      <c r="B918" s="879"/>
      <c r="C918" s="879"/>
      <c r="D918" s="879"/>
      <c r="E918" s="559"/>
      <c r="F918" s="560">
        <f>SUM(F906:F917)</f>
        <v>199996.9</v>
      </c>
    </row>
    <row r="919" spans="1:6">
      <c r="A919" s="540" t="s">
        <v>1064</v>
      </c>
      <c r="B919" s="880" t="s">
        <v>1065</v>
      </c>
      <c r="C919" s="881"/>
      <c r="D919" s="882"/>
      <c r="E919" s="882"/>
      <c r="F919" s="883"/>
    </row>
    <row r="920" spans="1:6">
      <c r="A920" s="542"/>
      <c r="B920" s="884" t="s">
        <v>1066</v>
      </c>
      <c r="C920" s="885"/>
      <c r="D920" s="886"/>
      <c r="E920" s="886"/>
      <c r="F920" s="887"/>
    </row>
    <row r="921" spans="1:6">
      <c r="A921" s="542"/>
      <c r="B921" s="886"/>
      <c r="C921" s="887"/>
      <c r="D921" s="888" t="s">
        <v>1067</v>
      </c>
      <c r="E921" s="886"/>
      <c r="F921" s="887"/>
    </row>
    <row r="922" spans="1:6">
      <c r="A922" s="542"/>
      <c r="B922" s="884" t="s">
        <v>1068</v>
      </c>
      <c r="C922" s="885"/>
      <c r="D922" s="886"/>
      <c r="E922" s="886"/>
      <c r="F922" s="887"/>
    </row>
    <row r="923" spans="1:6">
      <c r="A923" s="542"/>
      <c r="B923" s="886"/>
      <c r="C923" s="887"/>
      <c r="D923" s="886"/>
      <c r="E923" s="886"/>
      <c r="F923" s="887"/>
    </row>
    <row r="924" spans="1:6">
      <c r="A924" s="542"/>
      <c r="B924" s="886"/>
      <c r="C924" s="887"/>
      <c r="D924" s="886"/>
      <c r="E924" s="886"/>
      <c r="F924" s="887"/>
    </row>
    <row r="925" spans="1:6">
      <c r="A925" s="542" t="s">
        <v>1069</v>
      </c>
      <c r="B925" s="886"/>
      <c r="C925" s="887"/>
      <c r="D925" s="563" t="s">
        <v>1069</v>
      </c>
      <c r="E925" s="886"/>
      <c r="F925" s="887"/>
    </row>
    <row r="926" spans="1:6">
      <c r="A926" s="542" t="s">
        <v>1070</v>
      </c>
      <c r="B926" s="891" t="s">
        <v>1071</v>
      </c>
      <c r="C926" s="909"/>
      <c r="D926" s="563" t="s">
        <v>1070</v>
      </c>
      <c r="E926" s="893" t="s">
        <v>1072</v>
      </c>
      <c r="F926" s="910"/>
    </row>
    <row r="927" spans="1:6">
      <c r="A927" s="542" t="s">
        <v>1073</v>
      </c>
      <c r="B927" s="884" t="s">
        <v>1074</v>
      </c>
      <c r="C927" s="885"/>
      <c r="D927" s="563" t="s">
        <v>1073</v>
      </c>
      <c r="E927" s="886" t="s">
        <v>1075</v>
      </c>
      <c r="F927" s="887"/>
    </row>
    <row r="928" spans="1:6">
      <c r="A928" s="542"/>
      <c r="B928" s="886"/>
      <c r="C928" s="887"/>
      <c r="D928" s="563"/>
      <c r="E928" s="886"/>
      <c r="F928" s="887"/>
    </row>
    <row r="929" spans="1:6">
      <c r="A929" s="542" t="s">
        <v>1045</v>
      </c>
      <c r="B929" s="564"/>
      <c r="C929" s="562"/>
      <c r="D929" s="563" t="s">
        <v>1045</v>
      </c>
      <c r="E929" s="564"/>
      <c r="F929" s="565"/>
    </row>
    <row r="930" spans="1:6">
      <c r="A930" s="545"/>
      <c r="B930" s="895"/>
      <c r="C930" s="896"/>
      <c r="D930" s="566"/>
      <c r="E930" s="895"/>
      <c r="F930" s="896"/>
    </row>
    <row r="934" spans="1:6">
      <c r="A934" s="837" t="s">
        <v>1036</v>
      </c>
      <c r="B934" s="837"/>
      <c r="C934" s="837"/>
      <c r="D934" s="837"/>
      <c r="E934" s="837"/>
      <c r="F934" s="837"/>
    </row>
    <row r="935" spans="1:6">
      <c r="A935" s="838" t="s">
        <v>1037</v>
      </c>
      <c r="B935" s="867"/>
      <c r="C935" s="867"/>
      <c r="D935" s="867"/>
      <c r="E935" s="867"/>
      <c r="F935" s="868"/>
    </row>
    <row r="936" spans="1:6">
      <c r="A936" s="869" t="s">
        <v>1038</v>
      </c>
      <c r="B936" s="870"/>
      <c r="C936" s="870"/>
      <c r="D936" s="870"/>
      <c r="E936" s="870"/>
      <c r="F936" s="871"/>
    </row>
    <row r="937" spans="1:6" ht="15.75">
      <c r="A937" s="845" t="s">
        <v>1039</v>
      </c>
      <c r="B937" s="845"/>
      <c r="C937" s="845"/>
      <c r="D937" s="872"/>
      <c r="E937" s="865" t="s">
        <v>1115</v>
      </c>
      <c r="F937" s="866"/>
    </row>
    <row r="938" spans="1:6">
      <c r="A938" s="539" t="s">
        <v>1042</v>
      </c>
      <c r="B938" s="873"/>
      <c r="C938" s="873"/>
      <c r="D938" s="874"/>
      <c r="E938" s="540"/>
      <c r="F938" s="541"/>
    </row>
    <row r="939" spans="1:6" ht="18.75">
      <c r="A939" s="539" t="s">
        <v>1043</v>
      </c>
      <c r="B939" s="875" t="s">
        <v>1077</v>
      </c>
      <c r="C939" s="875"/>
      <c r="D939" s="876"/>
      <c r="E939" s="542" t="s">
        <v>1045</v>
      </c>
      <c r="F939" s="543"/>
    </row>
    <row r="940" spans="1:6">
      <c r="A940" s="544" t="s">
        <v>1046</v>
      </c>
      <c r="B940" s="877" t="s">
        <v>1047</v>
      </c>
      <c r="C940" s="877"/>
      <c r="D940" s="865"/>
      <c r="E940" s="545"/>
      <c r="F940" s="546"/>
    </row>
    <row r="941" spans="1:6">
      <c r="A941" s="544" t="s">
        <v>1048</v>
      </c>
      <c r="B941" s="889" t="s">
        <v>1049</v>
      </c>
      <c r="C941" s="889" t="s">
        <v>1050</v>
      </c>
      <c r="D941" s="547" t="s">
        <v>1051</v>
      </c>
      <c r="E941" s="861" t="s">
        <v>1052</v>
      </c>
      <c r="F941" s="862"/>
    </row>
    <row r="942" spans="1:6">
      <c r="A942" s="548" t="s">
        <v>1053</v>
      </c>
      <c r="B942" s="890"/>
      <c r="C942" s="890"/>
      <c r="D942" s="549" t="s">
        <v>1054</v>
      </c>
      <c r="E942" s="863"/>
      <c r="F942" s="864"/>
    </row>
    <row r="943" spans="1:6">
      <c r="A943" s="544"/>
      <c r="B943" s="578" t="s">
        <v>1055</v>
      </c>
      <c r="C943" s="544"/>
      <c r="D943" s="544">
        <v>300</v>
      </c>
      <c r="E943" s="540"/>
      <c r="F943" s="541"/>
    </row>
    <row r="944" spans="1:6">
      <c r="A944" s="551"/>
      <c r="B944" s="542"/>
      <c r="C944" s="551"/>
      <c r="D944" s="551"/>
      <c r="E944" s="542"/>
      <c r="F944" s="543"/>
    </row>
    <row r="945" spans="1:6">
      <c r="A945" s="551"/>
      <c r="B945" s="542" t="s">
        <v>1078</v>
      </c>
      <c r="C945" s="551">
        <v>3321</v>
      </c>
      <c r="D945" s="551"/>
      <c r="E945" s="542"/>
      <c r="F945" s="543"/>
    </row>
    <row r="946" spans="1:6">
      <c r="A946" s="551"/>
      <c r="B946" s="542"/>
      <c r="C946" s="580"/>
      <c r="D946" s="553"/>
      <c r="E946" s="542"/>
      <c r="F946" s="543"/>
    </row>
    <row r="947" spans="1:6">
      <c r="A947" s="551"/>
      <c r="B947" s="542"/>
      <c r="C947" s="580"/>
      <c r="D947" s="551"/>
      <c r="E947" s="542"/>
      <c r="F947" s="543"/>
    </row>
    <row r="948" spans="1:6">
      <c r="A948" s="551"/>
      <c r="B948" s="582"/>
      <c r="C948" s="551"/>
      <c r="D948" s="551"/>
      <c r="E948" s="542"/>
      <c r="F948" s="543"/>
    </row>
    <row r="949" spans="1:6">
      <c r="A949" s="551"/>
      <c r="B949" s="582"/>
      <c r="C949" s="551"/>
      <c r="D949" s="551"/>
      <c r="E949" s="542"/>
      <c r="F949" s="543"/>
    </row>
    <row r="950" spans="1:6">
      <c r="A950" s="551"/>
      <c r="B950" s="552" t="s">
        <v>1124</v>
      </c>
      <c r="C950" s="551"/>
      <c r="D950" s="551">
        <v>255</v>
      </c>
      <c r="E950" s="542"/>
      <c r="F950" s="554"/>
    </row>
    <row r="951" spans="1:6">
      <c r="A951" s="551"/>
      <c r="B951" s="542" t="s">
        <v>1125</v>
      </c>
      <c r="C951" s="551"/>
      <c r="D951" s="551"/>
      <c r="E951" s="542"/>
      <c r="F951" s="585">
        <v>1699996.31</v>
      </c>
    </row>
    <row r="952" spans="1:6">
      <c r="A952" s="551"/>
      <c r="B952" s="542" t="s">
        <v>1126</v>
      </c>
      <c r="C952" s="551"/>
      <c r="D952" s="551"/>
      <c r="E952" s="542"/>
      <c r="F952" s="586"/>
    </row>
    <row r="953" spans="1:6" ht="15.75">
      <c r="A953" s="551"/>
      <c r="B953" s="573" t="s">
        <v>1127</v>
      </c>
      <c r="C953" s="556"/>
      <c r="D953" s="551"/>
      <c r="E953" s="542"/>
      <c r="F953" s="587"/>
    </row>
    <row r="954" spans="1:6">
      <c r="A954" s="551"/>
      <c r="B954" s="577"/>
      <c r="C954" s="584"/>
      <c r="D954" s="551"/>
      <c r="E954" s="542"/>
      <c r="F954" s="554"/>
    </row>
    <row r="955" spans="1:6">
      <c r="A955" s="551"/>
      <c r="B955" s="558"/>
      <c r="C955" s="551"/>
      <c r="D955" s="551"/>
      <c r="E955" s="542"/>
      <c r="F955" s="554"/>
    </row>
    <row r="956" spans="1:6">
      <c r="A956" s="551"/>
      <c r="B956" s="558"/>
      <c r="C956" s="551"/>
      <c r="D956" s="551"/>
      <c r="E956" s="542"/>
      <c r="F956" s="554"/>
    </row>
    <row r="957" spans="1:6">
      <c r="A957" s="551"/>
      <c r="B957" s="558"/>
      <c r="C957" s="551"/>
      <c r="D957" s="551"/>
      <c r="E957" s="542"/>
      <c r="F957" s="554"/>
    </row>
    <row r="958" spans="1:6">
      <c r="A958" s="551"/>
      <c r="B958" s="558"/>
      <c r="C958" s="551"/>
      <c r="D958" s="551"/>
      <c r="E958" s="542"/>
      <c r="F958" s="543"/>
    </row>
    <row r="959" spans="1:6">
      <c r="A959" s="551"/>
      <c r="B959" s="558"/>
      <c r="C959" s="551"/>
      <c r="D959" s="551"/>
      <c r="E959" s="542"/>
      <c r="F959" s="543"/>
    </row>
    <row r="960" spans="1:6">
      <c r="A960" s="551"/>
      <c r="B960" s="558"/>
      <c r="C960" s="551"/>
      <c r="D960" s="551"/>
      <c r="E960" s="542"/>
      <c r="F960" s="543"/>
    </row>
    <row r="961" spans="1:6">
      <c r="A961" s="551"/>
      <c r="B961" s="542"/>
      <c r="C961" s="551"/>
      <c r="D961" s="551"/>
      <c r="E961" s="542"/>
      <c r="F961" s="543"/>
    </row>
    <row r="962" spans="1:6">
      <c r="A962" s="548"/>
      <c r="B962" s="545"/>
      <c r="C962" s="548"/>
      <c r="D962" s="548"/>
      <c r="E962" s="545"/>
      <c r="F962" s="546"/>
    </row>
    <row r="963" spans="1:6">
      <c r="A963" s="878" t="s">
        <v>1062</v>
      </c>
      <c r="B963" s="879"/>
      <c r="C963" s="879"/>
      <c r="D963" s="879"/>
      <c r="E963" s="559"/>
      <c r="F963" s="560">
        <f>SUM(F951:F962)</f>
        <v>1699996.31</v>
      </c>
    </row>
    <row r="964" spans="1:6">
      <c r="A964" s="540" t="s">
        <v>1064</v>
      </c>
      <c r="B964" s="880" t="s">
        <v>1065</v>
      </c>
      <c r="C964" s="881"/>
      <c r="D964" s="882"/>
      <c r="E964" s="882"/>
      <c r="F964" s="883"/>
    </row>
    <row r="965" spans="1:6">
      <c r="A965" s="542"/>
      <c r="B965" s="884" t="s">
        <v>1066</v>
      </c>
      <c r="C965" s="885"/>
      <c r="D965" s="886"/>
      <c r="E965" s="886"/>
      <c r="F965" s="887"/>
    </row>
    <row r="966" spans="1:6">
      <c r="A966" s="542"/>
      <c r="B966" s="886"/>
      <c r="C966" s="887"/>
      <c r="D966" s="888" t="s">
        <v>1067</v>
      </c>
      <c r="E966" s="886"/>
      <c r="F966" s="887"/>
    </row>
    <row r="967" spans="1:6">
      <c r="A967" s="542"/>
      <c r="B967" s="884" t="s">
        <v>1068</v>
      </c>
      <c r="C967" s="885"/>
      <c r="D967" s="886"/>
      <c r="E967" s="886"/>
      <c r="F967" s="887"/>
    </row>
    <row r="968" spans="1:6">
      <c r="A968" s="542"/>
      <c r="B968" s="886"/>
      <c r="C968" s="887"/>
      <c r="D968" s="886"/>
      <c r="E968" s="886"/>
      <c r="F968" s="887"/>
    </row>
    <row r="969" spans="1:6">
      <c r="A969" s="542"/>
      <c r="B969" s="886"/>
      <c r="C969" s="887"/>
      <c r="D969" s="886"/>
      <c r="E969" s="886"/>
      <c r="F969" s="887"/>
    </row>
    <row r="970" spans="1:6">
      <c r="A970" s="542" t="s">
        <v>1069</v>
      </c>
      <c r="B970" s="886"/>
      <c r="C970" s="887"/>
      <c r="D970" s="563" t="s">
        <v>1069</v>
      </c>
      <c r="E970" s="886"/>
      <c r="F970" s="887"/>
    </row>
    <row r="971" spans="1:6">
      <c r="A971" s="542" t="s">
        <v>1070</v>
      </c>
      <c r="B971" s="891" t="s">
        <v>1071</v>
      </c>
      <c r="C971" s="909"/>
      <c r="D971" s="563" t="s">
        <v>1070</v>
      </c>
      <c r="E971" s="893" t="s">
        <v>1072</v>
      </c>
      <c r="F971" s="910"/>
    </row>
    <row r="972" spans="1:6">
      <c r="A972" s="542" t="s">
        <v>1073</v>
      </c>
      <c r="B972" s="884" t="s">
        <v>1074</v>
      </c>
      <c r="C972" s="885"/>
      <c r="D972" s="563" t="s">
        <v>1073</v>
      </c>
      <c r="E972" s="886" t="s">
        <v>1075</v>
      </c>
      <c r="F972" s="887"/>
    </row>
    <row r="973" spans="1:6">
      <c r="A973" s="542"/>
      <c r="B973" s="886"/>
      <c r="C973" s="887"/>
      <c r="D973" s="563"/>
      <c r="E973" s="886"/>
      <c r="F973" s="887"/>
    </row>
    <row r="974" spans="1:6">
      <c r="A974" s="542" t="s">
        <v>1045</v>
      </c>
      <c r="B974" s="564"/>
      <c r="C974" s="562"/>
      <c r="D974" s="563" t="s">
        <v>1045</v>
      </c>
      <c r="E974" s="564"/>
      <c r="F974" s="565"/>
    </row>
    <row r="975" spans="1:6">
      <c r="A975" s="545"/>
      <c r="B975" s="895"/>
      <c r="C975" s="896"/>
      <c r="D975" s="566"/>
      <c r="E975" s="895"/>
      <c r="F975" s="896"/>
    </row>
    <row r="977" spans="1:6">
      <c r="A977" s="837" t="s">
        <v>1036</v>
      </c>
      <c r="B977" s="837"/>
      <c r="C977" s="837"/>
      <c r="D977" s="837"/>
      <c r="E977" s="837"/>
      <c r="F977" s="837"/>
    </row>
    <row r="978" spans="1:6">
      <c r="A978" s="838" t="s">
        <v>1037</v>
      </c>
      <c r="B978" s="867"/>
      <c r="C978" s="867"/>
      <c r="D978" s="867"/>
      <c r="E978" s="867"/>
      <c r="F978" s="868"/>
    </row>
    <row r="979" spans="1:6">
      <c r="A979" s="869" t="s">
        <v>1038</v>
      </c>
      <c r="B979" s="870"/>
      <c r="C979" s="870"/>
      <c r="D979" s="870"/>
      <c r="E979" s="870"/>
      <c r="F979" s="871"/>
    </row>
    <row r="980" spans="1:6" ht="15.75">
      <c r="A980" s="845" t="s">
        <v>1039</v>
      </c>
      <c r="B980" s="845"/>
      <c r="C980" s="845"/>
      <c r="D980" s="872"/>
      <c r="E980" s="865" t="s">
        <v>1108</v>
      </c>
      <c r="F980" s="866"/>
    </row>
    <row r="981" spans="1:6">
      <c r="A981" s="539" t="s">
        <v>1042</v>
      </c>
      <c r="B981" s="873"/>
      <c r="C981" s="873"/>
      <c r="D981" s="874"/>
      <c r="E981" s="540"/>
      <c r="F981" s="541"/>
    </row>
    <row r="982" spans="1:6" ht="18.75">
      <c r="A982" s="539" t="s">
        <v>1043</v>
      </c>
      <c r="B982" s="875" t="s">
        <v>1077</v>
      </c>
      <c r="C982" s="875"/>
      <c r="D982" s="876"/>
      <c r="E982" s="542" t="s">
        <v>1045</v>
      </c>
      <c r="F982" s="543"/>
    </row>
    <row r="983" spans="1:6">
      <c r="A983" s="544" t="s">
        <v>1046</v>
      </c>
      <c r="B983" s="877" t="s">
        <v>1047</v>
      </c>
      <c r="C983" s="877"/>
      <c r="D983" s="865"/>
      <c r="E983" s="545"/>
      <c r="F983" s="546"/>
    </row>
    <row r="984" spans="1:6">
      <c r="A984" s="544" t="s">
        <v>1048</v>
      </c>
      <c r="B984" s="889" t="s">
        <v>1049</v>
      </c>
      <c r="C984" s="889" t="s">
        <v>1050</v>
      </c>
      <c r="D984" s="547" t="s">
        <v>1051</v>
      </c>
      <c r="E984" s="861" t="s">
        <v>1052</v>
      </c>
      <c r="F984" s="862"/>
    </row>
    <row r="985" spans="1:6">
      <c r="A985" s="548" t="s">
        <v>1053</v>
      </c>
      <c r="B985" s="890"/>
      <c r="C985" s="890"/>
      <c r="D985" s="549" t="s">
        <v>1054</v>
      </c>
      <c r="E985" s="863"/>
      <c r="F985" s="864"/>
    </row>
    <row r="986" spans="1:6">
      <c r="A986" s="544"/>
      <c r="B986" s="578" t="s">
        <v>1055</v>
      </c>
      <c r="C986" s="544"/>
      <c r="D986" s="544">
        <v>300</v>
      </c>
      <c r="E986" s="540"/>
      <c r="F986" s="541"/>
    </row>
    <row r="987" spans="1:6">
      <c r="A987" s="551"/>
      <c r="B987" s="542"/>
      <c r="C987" s="551"/>
      <c r="D987" s="551"/>
      <c r="E987" s="542"/>
      <c r="F987" s="543"/>
    </row>
    <row r="988" spans="1:6">
      <c r="A988" s="551"/>
      <c r="B988" s="542" t="s">
        <v>1078</v>
      </c>
      <c r="C988" s="551">
        <v>3321</v>
      </c>
      <c r="D988" s="551"/>
      <c r="E988" s="542"/>
      <c r="F988" s="543"/>
    </row>
    <row r="989" spans="1:6">
      <c r="A989" s="551"/>
      <c r="B989" s="579" t="s">
        <v>1128</v>
      </c>
      <c r="C989" s="580"/>
      <c r="D989" s="553"/>
      <c r="E989" s="542"/>
      <c r="F989" s="543"/>
    </row>
    <row r="990" spans="1:6">
      <c r="A990" s="551"/>
      <c r="B990" s="588" t="s">
        <v>1129</v>
      </c>
      <c r="C990" s="580"/>
      <c r="D990" s="551"/>
      <c r="E990" s="542"/>
      <c r="F990" s="543"/>
    </row>
    <row r="991" spans="1:6">
      <c r="A991" s="551"/>
      <c r="B991" s="582" t="s">
        <v>1130</v>
      </c>
      <c r="C991" s="551"/>
      <c r="D991" s="551"/>
      <c r="E991" s="542"/>
      <c r="F991" s="543"/>
    </row>
    <row r="992" spans="1:6">
      <c r="A992" s="551"/>
      <c r="B992" s="582"/>
      <c r="C992" s="551"/>
      <c r="D992" s="551"/>
      <c r="E992" s="542"/>
      <c r="F992" s="543"/>
    </row>
    <row r="993" spans="1:9">
      <c r="A993" s="551"/>
      <c r="B993" s="552" t="s">
        <v>1057</v>
      </c>
      <c r="C993" s="551"/>
      <c r="D993" s="551">
        <v>215</v>
      </c>
      <c r="E993" s="542"/>
      <c r="F993" s="554"/>
    </row>
    <row r="994" spans="1:9">
      <c r="A994" s="551"/>
      <c r="B994" s="542" t="s">
        <v>1102</v>
      </c>
      <c r="C994" s="551"/>
      <c r="D994" s="551"/>
      <c r="E994" s="542"/>
      <c r="F994" s="567">
        <f>+'[1]PR SEF'!F1692</f>
        <v>732070</v>
      </c>
      <c r="I994" s="297">
        <f>+'[1]POW SEF'!F242+'[1]POW SEF'!F244+'[1]POW SEF'!F245</f>
        <v>332721.5</v>
      </c>
    </row>
    <row r="995" spans="1:9">
      <c r="A995" s="551"/>
      <c r="B995" s="542" t="s">
        <v>1103</v>
      </c>
      <c r="C995" s="551"/>
      <c r="D995" s="551"/>
      <c r="E995" s="542"/>
      <c r="F995" s="583">
        <f>+'[1]POW SEF'!G257</f>
        <v>332721.5</v>
      </c>
    </row>
    <row r="996" spans="1:9" ht="26.25">
      <c r="A996" s="551"/>
      <c r="B996" s="573" t="s">
        <v>1131</v>
      </c>
      <c r="C996" s="556"/>
      <c r="D996" s="551"/>
      <c r="E996" s="542"/>
      <c r="F996" s="574">
        <f>+'[1]POW SEF'!G260</f>
        <v>35208</v>
      </c>
    </row>
    <row r="997" spans="1:9">
      <c r="A997" s="551"/>
      <c r="B997" s="577"/>
      <c r="C997" s="584"/>
      <c r="D997" s="551"/>
      <c r="E997" s="542"/>
      <c r="F997" s="554"/>
    </row>
    <row r="998" spans="1:9">
      <c r="A998" s="551"/>
      <c r="B998" s="558"/>
      <c r="C998" s="551"/>
      <c r="D998" s="551"/>
      <c r="E998" s="542"/>
      <c r="F998" s="554"/>
    </row>
    <row r="999" spans="1:9">
      <c r="A999" s="551"/>
      <c r="B999" s="558"/>
      <c r="C999" s="551"/>
      <c r="D999" s="551"/>
      <c r="E999" s="542"/>
      <c r="F999" s="554"/>
    </row>
    <row r="1000" spans="1:9">
      <c r="A1000" s="551"/>
      <c r="B1000" s="558"/>
      <c r="C1000" s="551"/>
      <c r="D1000" s="551"/>
      <c r="E1000" s="542"/>
      <c r="F1000" s="554"/>
    </row>
    <row r="1001" spans="1:9">
      <c r="A1001" s="551"/>
      <c r="B1001" s="558"/>
      <c r="C1001" s="551"/>
      <c r="D1001" s="551"/>
      <c r="E1001" s="542"/>
      <c r="F1001" s="543"/>
    </row>
    <row r="1002" spans="1:9">
      <c r="A1002" s="551"/>
      <c r="B1002" s="558"/>
      <c r="C1002" s="551"/>
      <c r="D1002" s="551"/>
      <c r="E1002" s="542"/>
      <c r="F1002" s="543"/>
    </row>
    <row r="1003" spans="1:9">
      <c r="A1003" s="551"/>
      <c r="B1003" s="558"/>
      <c r="C1003" s="551"/>
      <c r="D1003" s="551"/>
      <c r="E1003" s="542"/>
      <c r="F1003" s="543"/>
    </row>
    <row r="1004" spans="1:9">
      <c r="A1004" s="551"/>
      <c r="B1004" s="542"/>
      <c r="C1004" s="551"/>
      <c r="D1004" s="551"/>
      <c r="E1004" s="542"/>
      <c r="F1004" s="543"/>
    </row>
    <row r="1005" spans="1:9">
      <c r="A1005" s="548"/>
      <c r="B1005" s="545"/>
      <c r="C1005" s="548"/>
      <c r="D1005" s="548"/>
      <c r="E1005" s="545"/>
      <c r="F1005" s="546"/>
    </row>
    <row r="1006" spans="1:9">
      <c r="A1006" s="878" t="s">
        <v>1062</v>
      </c>
      <c r="B1006" s="879"/>
      <c r="C1006" s="879"/>
      <c r="D1006" s="879"/>
      <c r="E1006" s="559"/>
      <c r="F1006" s="589">
        <f>SUM(F994:F1005)</f>
        <v>1099999.5</v>
      </c>
    </row>
    <row r="1007" spans="1:9">
      <c r="A1007" s="540" t="s">
        <v>1064</v>
      </c>
      <c r="B1007" s="880" t="s">
        <v>1065</v>
      </c>
      <c r="C1007" s="881"/>
      <c r="D1007" s="882"/>
      <c r="E1007" s="882"/>
      <c r="F1007" s="883"/>
    </row>
    <row r="1008" spans="1:9">
      <c r="A1008" s="542"/>
      <c r="B1008" s="884" t="s">
        <v>1066</v>
      </c>
      <c r="C1008" s="885"/>
      <c r="D1008" s="886"/>
      <c r="E1008" s="886"/>
      <c r="F1008" s="887"/>
    </row>
    <row r="1009" spans="1:6">
      <c r="A1009" s="542"/>
      <c r="B1009" s="886"/>
      <c r="C1009" s="887"/>
      <c r="D1009" s="888" t="s">
        <v>1067</v>
      </c>
      <c r="E1009" s="886"/>
      <c r="F1009" s="887"/>
    </row>
    <row r="1010" spans="1:6">
      <c r="A1010" s="542"/>
      <c r="B1010" s="884" t="s">
        <v>1068</v>
      </c>
      <c r="C1010" s="885"/>
      <c r="D1010" s="886"/>
      <c r="E1010" s="886"/>
      <c r="F1010" s="887"/>
    </row>
    <row r="1011" spans="1:6">
      <c r="A1011" s="542"/>
      <c r="B1011" s="886"/>
      <c r="C1011" s="887"/>
      <c r="D1011" s="886"/>
      <c r="E1011" s="886"/>
      <c r="F1011" s="887"/>
    </row>
    <row r="1012" spans="1:6">
      <c r="A1012" s="542"/>
      <c r="B1012" s="886"/>
      <c r="C1012" s="887"/>
      <c r="D1012" s="886"/>
      <c r="E1012" s="886"/>
      <c r="F1012" s="887"/>
    </row>
    <row r="1013" spans="1:6">
      <c r="A1013" s="542" t="s">
        <v>1069</v>
      </c>
      <c r="B1013" s="886"/>
      <c r="C1013" s="887"/>
      <c r="D1013" s="563" t="s">
        <v>1069</v>
      </c>
      <c r="E1013" s="886"/>
      <c r="F1013" s="887"/>
    </row>
    <row r="1014" spans="1:6">
      <c r="A1014" s="542" t="s">
        <v>1070</v>
      </c>
      <c r="B1014" s="891" t="s">
        <v>1071</v>
      </c>
      <c r="C1014" s="909"/>
      <c r="D1014" s="563" t="s">
        <v>1070</v>
      </c>
      <c r="E1014" s="893" t="s">
        <v>1072</v>
      </c>
      <c r="F1014" s="910"/>
    </row>
    <row r="1015" spans="1:6">
      <c r="A1015" s="542" t="s">
        <v>1073</v>
      </c>
      <c r="B1015" s="884" t="s">
        <v>1074</v>
      </c>
      <c r="C1015" s="885"/>
      <c r="D1015" s="563" t="s">
        <v>1073</v>
      </c>
      <c r="E1015" s="886" t="s">
        <v>1075</v>
      </c>
      <c r="F1015" s="887"/>
    </row>
    <row r="1016" spans="1:6">
      <c r="A1016" s="542"/>
      <c r="B1016" s="886"/>
      <c r="C1016" s="887"/>
      <c r="D1016" s="563"/>
      <c r="E1016" s="886"/>
      <c r="F1016" s="887"/>
    </row>
    <row r="1017" spans="1:6">
      <c r="A1017" s="542" t="s">
        <v>1045</v>
      </c>
      <c r="B1017" s="564"/>
      <c r="C1017" s="562"/>
      <c r="D1017" s="563" t="s">
        <v>1045</v>
      </c>
      <c r="E1017" s="564"/>
      <c r="F1017" s="565"/>
    </row>
    <row r="1018" spans="1:6">
      <c r="A1018" s="545"/>
      <c r="B1018" s="895"/>
      <c r="C1018" s="896"/>
      <c r="D1018" s="566"/>
      <c r="E1018" s="895"/>
      <c r="F1018" s="896"/>
    </row>
    <row r="1020" spans="1:6">
      <c r="A1020" s="837" t="s">
        <v>1036</v>
      </c>
      <c r="B1020" s="837"/>
      <c r="C1020" s="837"/>
      <c r="D1020" s="837"/>
      <c r="E1020" s="837"/>
      <c r="F1020" s="837"/>
    </row>
    <row r="1021" spans="1:6">
      <c r="A1021" s="838" t="s">
        <v>1037</v>
      </c>
      <c r="B1021" s="867"/>
      <c r="C1021" s="867"/>
      <c r="D1021" s="867"/>
      <c r="E1021" s="867"/>
      <c r="F1021" s="868"/>
    </row>
    <row r="1022" spans="1:6">
      <c r="A1022" s="869" t="s">
        <v>1038</v>
      </c>
      <c r="B1022" s="870"/>
      <c r="C1022" s="870"/>
      <c r="D1022" s="870"/>
      <c r="E1022" s="870"/>
      <c r="F1022" s="871"/>
    </row>
    <row r="1023" spans="1:6" ht="15.75">
      <c r="A1023" s="845" t="s">
        <v>1039</v>
      </c>
      <c r="B1023" s="845"/>
      <c r="C1023" s="845"/>
      <c r="D1023" s="872"/>
      <c r="E1023" s="865" t="s">
        <v>1108</v>
      </c>
      <c r="F1023" s="866"/>
    </row>
    <row r="1024" spans="1:6">
      <c r="A1024" s="539" t="s">
        <v>1042</v>
      </c>
      <c r="B1024" s="873"/>
      <c r="C1024" s="873"/>
      <c r="D1024" s="874"/>
      <c r="E1024" s="540"/>
      <c r="F1024" s="541"/>
    </row>
    <row r="1025" spans="1:6" ht="18.75">
      <c r="A1025" s="539" t="s">
        <v>1043</v>
      </c>
      <c r="B1025" s="875" t="s">
        <v>1077</v>
      </c>
      <c r="C1025" s="875"/>
      <c r="D1025" s="876"/>
      <c r="E1025" s="542" t="s">
        <v>1045</v>
      </c>
      <c r="F1025" s="543"/>
    </row>
    <row r="1026" spans="1:6">
      <c r="A1026" s="544" t="s">
        <v>1046</v>
      </c>
      <c r="B1026" s="877" t="s">
        <v>1047</v>
      </c>
      <c r="C1026" s="877"/>
      <c r="D1026" s="865"/>
      <c r="E1026" s="545"/>
      <c r="F1026" s="546"/>
    </row>
    <row r="1027" spans="1:6">
      <c r="A1027" s="544" t="s">
        <v>1048</v>
      </c>
      <c r="B1027" s="889" t="s">
        <v>1049</v>
      </c>
      <c r="C1027" s="889" t="s">
        <v>1050</v>
      </c>
      <c r="D1027" s="547" t="s">
        <v>1051</v>
      </c>
      <c r="E1027" s="861" t="s">
        <v>1052</v>
      </c>
      <c r="F1027" s="862"/>
    </row>
    <row r="1028" spans="1:6">
      <c r="A1028" s="548" t="s">
        <v>1053</v>
      </c>
      <c r="B1028" s="890"/>
      <c r="C1028" s="890"/>
      <c r="D1028" s="549" t="s">
        <v>1054</v>
      </c>
      <c r="E1028" s="863"/>
      <c r="F1028" s="864"/>
    </row>
    <row r="1029" spans="1:6">
      <c r="A1029" s="544"/>
      <c r="B1029" s="578" t="s">
        <v>1055</v>
      </c>
      <c r="C1029" s="544"/>
      <c r="D1029" s="544">
        <v>300</v>
      </c>
      <c r="E1029" s="540"/>
      <c r="F1029" s="541"/>
    </row>
    <row r="1030" spans="1:6">
      <c r="A1030" s="551"/>
      <c r="B1030" s="542"/>
      <c r="C1030" s="551"/>
      <c r="D1030" s="551"/>
      <c r="E1030" s="542"/>
      <c r="F1030" s="543"/>
    </row>
    <row r="1031" spans="1:6">
      <c r="A1031" s="551"/>
      <c r="B1031" s="542" t="s">
        <v>1078</v>
      </c>
      <c r="C1031" s="551">
        <v>3321</v>
      </c>
      <c r="D1031" s="551"/>
      <c r="E1031" s="542"/>
      <c r="F1031" s="543"/>
    </row>
    <row r="1032" spans="1:6">
      <c r="A1032" s="551"/>
      <c r="B1032" s="579" t="s">
        <v>1132</v>
      </c>
      <c r="C1032" s="580"/>
      <c r="D1032" s="553"/>
      <c r="E1032" s="542"/>
      <c r="F1032" s="543"/>
    </row>
    <row r="1033" spans="1:6">
      <c r="A1033" s="551"/>
      <c r="B1033" s="588" t="s">
        <v>1120</v>
      </c>
      <c r="C1033" s="580"/>
      <c r="D1033" s="551"/>
      <c r="E1033" s="542"/>
      <c r="F1033" s="543"/>
    </row>
    <row r="1034" spans="1:6">
      <c r="A1034" s="551"/>
      <c r="B1034" s="582" t="s">
        <v>1121</v>
      </c>
      <c r="C1034" s="551"/>
      <c r="D1034" s="551"/>
      <c r="E1034" s="542"/>
      <c r="F1034" s="543"/>
    </row>
    <row r="1035" spans="1:6">
      <c r="A1035" s="551"/>
      <c r="B1035" s="582"/>
      <c r="C1035" s="551"/>
      <c r="D1035" s="551"/>
      <c r="E1035" s="542"/>
      <c r="F1035" s="543"/>
    </row>
    <row r="1036" spans="1:6">
      <c r="A1036" s="551"/>
      <c r="B1036" s="552" t="s">
        <v>1133</v>
      </c>
      <c r="C1036" s="551"/>
      <c r="D1036" s="551">
        <v>212</v>
      </c>
      <c r="E1036" s="542"/>
      <c r="F1036" s="554"/>
    </row>
    <row r="1037" spans="1:6">
      <c r="A1037" s="551"/>
      <c r="B1037" s="542" t="s">
        <v>1102</v>
      </c>
      <c r="C1037" s="551"/>
      <c r="D1037" s="551"/>
      <c r="E1037" s="542"/>
      <c r="F1037" s="567">
        <f>+'[1]POW SEF'!F355</f>
        <v>527646</v>
      </c>
    </row>
    <row r="1038" spans="1:6">
      <c r="A1038" s="551"/>
      <c r="B1038" s="542" t="s">
        <v>1103</v>
      </c>
      <c r="C1038" s="551"/>
      <c r="D1038" s="551"/>
      <c r="E1038" s="542"/>
      <c r="F1038" s="583">
        <f>+'[1]POW SEF'!F356+'[1]POW SEF'!F357</f>
        <v>236240.69999999998</v>
      </c>
    </row>
    <row r="1039" spans="1:6" ht="26.25">
      <c r="A1039" s="551"/>
      <c r="B1039" s="573" t="s">
        <v>1134</v>
      </c>
      <c r="C1039" s="556"/>
      <c r="D1039" s="551"/>
      <c r="E1039" s="542"/>
      <c r="F1039" s="574">
        <f>+'[1]POW SEF'!F358+'[1]POW SEF'!F359+'[1]POW SEF'!F360+'[1]POW SEF'!F361</f>
        <v>36080</v>
      </c>
    </row>
    <row r="1040" spans="1:6">
      <c r="A1040" s="551"/>
      <c r="B1040" s="577"/>
      <c r="C1040" s="584"/>
      <c r="D1040" s="551"/>
      <c r="E1040" s="542"/>
      <c r="F1040" s="554"/>
    </row>
    <row r="1041" spans="1:6">
      <c r="A1041" s="551"/>
      <c r="B1041" s="558"/>
      <c r="C1041" s="551"/>
      <c r="D1041" s="551"/>
      <c r="E1041" s="542"/>
      <c r="F1041" s="554"/>
    </row>
    <row r="1042" spans="1:6">
      <c r="A1042" s="551"/>
      <c r="B1042" s="558"/>
      <c r="C1042" s="551"/>
      <c r="D1042" s="551"/>
      <c r="E1042" s="542"/>
      <c r="F1042" s="554"/>
    </row>
    <row r="1043" spans="1:6">
      <c r="A1043" s="551"/>
      <c r="B1043" s="558"/>
      <c r="C1043" s="551"/>
      <c r="D1043" s="551"/>
      <c r="E1043" s="542"/>
      <c r="F1043" s="554"/>
    </row>
    <row r="1044" spans="1:6">
      <c r="A1044" s="551"/>
      <c r="B1044" s="558"/>
      <c r="C1044" s="551"/>
      <c r="D1044" s="551"/>
      <c r="E1044" s="542"/>
      <c r="F1044" s="543"/>
    </row>
    <row r="1045" spans="1:6">
      <c r="A1045" s="551"/>
      <c r="B1045" s="558"/>
      <c r="C1045" s="551"/>
      <c r="D1045" s="551"/>
      <c r="E1045" s="542"/>
      <c r="F1045" s="543"/>
    </row>
    <row r="1046" spans="1:6">
      <c r="A1046" s="551"/>
      <c r="B1046" s="558"/>
      <c r="C1046" s="551"/>
      <c r="D1046" s="551"/>
      <c r="E1046" s="542"/>
      <c r="F1046" s="543"/>
    </row>
    <row r="1047" spans="1:6">
      <c r="A1047" s="551"/>
      <c r="B1047" s="542"/>
      <c r="C1047" s="551"/>
      <c r="D1047" s="551"/>
      <c r="E1047" s="542"/>
      <c r="F1047" s="543"/>
    </row>
    <row r="1048" spans="1:6">
      <c r="A1048" s="548"/>
      <c r="B1048" s="545"/>
      <c r="C1048" s="548"/>
      <c r="D1048" s="548"/>
      <c r="E1048" s="545"/>
      <c r="F1048" s="546"/>
    </row>
    <row r="1049" spans="1:6">
      <c r="A1049" s="878" t="s">
        <v>1062</v>
      </c>
      <c r="B1049" s="879"/>
      <c r="C1049" s="879"/>
      <c r="D1049" s="879"/>
      <c r="E1049" s="559"/>
      <c r="F1049" s="590">
        <f>SUM(F1037:F1048)</f>
        <v>799966.7</v>
      </c>
    </row>
    <row r="1050" spans="1:6">
      <c r="A1050" s="540" t="s">
        <v>1064</v>
      </c>
      <c r="B1050" s="880" t="s">
        <v>1065</v>
      </c>
      <c r="C1050" s="881"/>
      <c r="D1050" s="882"/>
      <c r="E1050" s="882"/>
      <c r="F1050" s="883"/>
    </row>
    <row r="1051" spans="1:6">
      <c r="A1051" s="542"/>
      <c r="B1051" s="884" t="s">
        <v>1066</v>
      </c>
      <c r="C1051" s="885"/>
      <c r="D1051" s="886"/>
      <c r="E1051" s="886"/>
      <c r="F1051" s="887"/>
    </row>
    <row r="1052" spans="1:6">
      <c r="A1052" s="542"/>
      <c r="B1052" s="886"/>
      <c r="C1052" s="887"/>
      <c r="D1052" s="888" t="s">
        <v>1067</v>
      </c>
      <c r="E1052" s="886"/>
      <c r="F1052" s="887"/>
    </row>
    <row r="1053" spans="1:6">
      <c r="A1053" s="542"/>
      <c r="B1053" s="884" t="s">
        <v>1068</v>
      </c>
      <c r="C1053" s="885"/>
      <c r="D1053" s="886"/>
      <c r="E1053" s="886"/>
      <c r="F1053" s="887"/>
    </row>
    <row r="1054" spans="1:6">
      <c r="A1054" s="542"/>
      <c r="B1054" s="886"/>
      <c r="C1054" s="887"/>
      <c r="D1054" s="886"/>
      <c r="E1054" s="886"/>
      <c r="F1054" s="887"/>
    </row>
    <row r="1055" spans="1:6">
      <c r="A1055" s="542"/>
      <c r="B1055" s="886"/>
      <c r="C1055" s="887"/>
      <c r="D1055" s="886"/>
      <c r="E1055" s="886"/>
      <c r="F1055" s="887"/>
    </row>
    <row r="1056" spans="1:6">
      <c r="A1056" s="542" t="s">
        <v>1069</v>
      </c>
      <c r="B1056" s="886"/>
      <c r="C1056" s="887"/>
      <c r="D1056" s="563" t="s">
        <v>1069</v>
      </c>
      <c r="E1056" s="886"/>
      <c r="F1056" s="887"/>
    </row>
    <row r="1057" spans="1:6">
      <c r="A1057" s="542" t="s">
        <v>1070</v>
      </c>
      <c r="B1057" s="891" t="s">
        <v>1071</v>
      </c>
      <c r="C1057" s="909"/>
      <c r="D1057" s="563" t="s">
        <v>1070</v>
      </c>
      <c r="E1057" s="893" t="s">
        <v>1072</v>
      </c>
      <c r="F1057" s="910"/>
    </row>
    <row r="1058" spans="1:6">
      <c r="A1058" s="542" t="s">
        <v>1073</v>
      </c>
      <c r="B1058" s="884" t="s">
        <v>1074</v>
      </c>
      <c r="C1058" s="885"/>
      <c r="D1058" s="563" t="s">
        <v>1073</v>
      </c>
      <c r="E1058" s="886" t="s">
        <v>1075</v>
      </c>
      <c r="F1058" s="887"/>
    </row>
    <row r="1059" spans="1:6">
      <c r="A1059" s="542"/>
      <c r="B1059" s="886"/>
      <c r="C1059" s="887"/>
      <c r="D1059" s="563"/>
      <c r="E1059" s="886"/>
      <c r="F1059" s="887"/>
    </row>
    <row r="1060" spans="1:6">
      <c r="A1060" s="542" t="s">
        <v>1045</v>
      </c>
      <c r="B1060" s="564"/>
      <c r="C1060" s="562"/>
      <c r="D1060" s="563" t="s">
        <v>1045</v>
      </c>
      <c r="E1060" s="564"/>
      <c r="F1060" s="565"/>
    </row>
    <row r="1061" spans="1:6">
      <c r="A1061" s="545"/>
      <c r="B1061" s="895"/>
      <c r="C1061" s="896"/>
      <c r="D1061" s="566"/>
      <c r="E1061" s="895"/>
      <c r="F1061" s="896"/>
    </row>
    <row r="1063" spans="1:6">
      <c r="A1063" s="837" t="s">
        <v>1036</v>
      </c>
      <c r="B1063" s="837"/>
      <c r="C1063" s="837"/>
      <c r="D1063" s="837"/>
      <c r="E1063" s="837"/>
      <c r="F1063" s="837"/>
    </row>
    <row r="1064" spans="1:6">
      <c r="A1064" s="838" t="s">
        <v>1037</v>
      </c>
      <c r="B1064" s="867"/>
      <c r="C1064" s="867"/>
      <c r="D1064" s="867"/>
      <c r="E1064" s="867"/>
      <c r="F1064" s="868"/>
    </row>
    <row r="1065" spans="1:6">
      <c r="A1065" s="869" t="s">
        <v>1038</v>
      </c>
      <c r="B1065" s="870"/>
      <c r="C1065" s="870"/>
      <c r="D1065" s="870"/>
      <c r="E1065" s="870"/>
      <c r="F1065" s="871"/>
    </row>
    <row r="1066" spans="1:6" ht="15.75">
      <c r="A1066" s="845" t="s">
        <v>1039</v>
      </c>
      <c r="B1066" s="845"/>
      <c r="C1066" s="845"/>
      <c r="D1066" s="872"/>
      <c r="E1066" s="865" t="s">
        <v>1115</v>
      </c>
      <c r="F1066" s="866"/>
    </row>
    <row r="1067" spans="1:6">
      <c r="A1067" s="539" t="s">
        <v>1042</v>
      </c>
      <c r="B1067" s="873"/>
      <c r="C1067" s="873"/>
      <c r="D1067" s="874"/>
      <c r="E1067" s="540"/>
      <c r="F1067" s="541"/>
    </row>
    <row r="1068" spans="1:6" ht="18.75">
      <c r="A1068" s="539" t="s">
        <v>1043</v>
      </c>
      <c r="B1068" s="875" t="s">
        <v>1077</v>
      </c>
      <c r="C1068" s="875"/>
      <c r="D1068" s="876"/>
      <c r="E1068" s="542" t="s">
        <v>1045</v>
      </c>
      <c r="F1068" s="543"/>
    </row>
    <row r="1069" spans="1:6">
      <c r="A1069" s="544" t="s">
        <v>1046</v>
      </c>
      <c r="B1069" s="877" t="s">
        <v>1047</v>
      </c>
      <c r="C1069" s="877"/>
      <c r="D1069" s="865"/>
      <c r="E1069" s="545"/>
      <c r="F1069" s="546"/>
    </row>
    <row r="1070" spans="1:6">
      <c r="A1070" s="544" t="s">
        <v>1048</v>
      </c>
      <c r="B1070" s="889" t="s">
        <v>1049</v>
      </c>
      <c r="C1070" s="889" t="s">
        <v>1050</v>
      </c>
      <c r="D1070" s="547" t="s">
        <v>1051</v>
      </c>
      <c r="E1070" s="861" t="s">
        <v>1052</v>
      </c>
      <c r="F1070" s="862"/>
    </row>
    <row r="1071" spans="1:6">
      <c r="A1071" s="548" t="s">
        <v>1053</v>
      </c>
      <c r="B1071" s="890"/>
      <c r="C1071" s="890"/>
      <c r="D1071" s="549" t="s">
        <v>1054</v>
      </c>
      <c r="E1071" s="863"/>
      <c r="F1071" s="864"/>
    </row>
    <row r="1072" spans="1:6">
      <c r="A1072" s="544"/>
      <c r="B1072" s="578" t="s">
        <v>1055</v>
      </c>
      <c r="C1072" s="544"/>
      <c r="D1072" s="544">
        <v>300</v>
      </c>
      <c r="E1072" s="540"/>
      <c r="F1072" s="541"/>
    </row>
    <row r="1073" spans="1:6">
      <c r="A1073" s="551"/>
      <c r="B1073" s="542"/>
      <c r="C1073" s="551"/>
      <c r="D1073" s="551"/>
      <c r="E1073" s="542"/>
      <c r="F1073" s="543"/>
    </row>
    <row r="1074" spans="1:6">
      <c r="A1074" s="551"/>
      <c r="B1074" s="542" t="s">
        <v>1078</v>
      </c>
      <c r="C1074" s="551">
        <v>3321</v>
      </c>
      <c r="D1074" s="551"/>
      <c r="E1074" s="542"/>
      <c r="F1074" s="543"/>
    </row>
    <row r="1075" spans="1:6">
      <c r="A1075" s="551"/>
      <c r="B1075" s="542"/>
      <c r="C1075" s="580"/>
      <c r="D1075" s="553"/>
      <c r="E1075" s="542"/>
      <c r="F1075" s="543"/>
    </row>
    <row r="1076" spans="1:6">
      <c r="A1076" s="551"/>
      <c r="B1076" s="542"/>
      <c r="C1076" s="580"/>
      <c r="D1076" s="551"/>
      <c r="E1076" s="542"/>
      <c r="F1076" s="543"/>
    </row>
    <row r="1077" spans="1:6">
      <c r="A1077" s="551"/>
      <c r="B1077" s="573"/>
      <c r="C1077" s="551"/>
      <c r="D1077" s="551"/>
      <c r="E1077" s="542"/>
      <c r="F1077" s="543"/>
    </row>
    <row r="1078" spans="1:6">
      <c r="A1078" s="551"/>
      <c r="B1078" s="582"/>
      <c r="C1078" s="551"/>
      <c r="D1078" s="551"/>
      <c r="E1078" s="542"/>
      <c r="F1078" s="543"/>
    </row>
    <row r="1079" spans="1:6">
      <c r="A1079" s="551"/>
      <c r="B1079" s="552" t="s">
        <v>1057</v>
      </c>
      <c r="C1079" s="551"/>
      <c r="D1079" s="551">
        <v>215</v>
      </c>
      <c r="E1079" s="542"/>
      <c r="F1079" s="554"/>
    </row>
    <row r="1080" spans="1:6">
      <c r="A1080" s="551"/>
      <c r="B1080" s="542" t="s">
        <v>1135</v>
      </c>
      <c r="C1080" s="551"/>
      <c r="D1080" s="551"/>
      <c r="E1080" s="542"/>
      <c r="F1080" s="585">
        <f>+'[1]POW SEF'!AF589</f>
        <v>1999983.46872</v>
      </c>
    </row>
    <row r="1081" spans="1:6">
      <c r="A1081" s="551"/>
      <c r="B1081" s="542" t="s">
        <v>1136</v>
      </c>
      <c r="C1081" s="551"/>
      <c r="D1081" s="551"/>
      <c r="E1081" s="542"/>
      <c r="F1081" s="586"/>
    </row>
    <row r="1082" spans="1:6" ht="15.75">
      <c r="A1082" s="551"/>
      <c r="B1082" s="573" t="s">
        <v>1137</v>
      </c>
      <c r="C1082" s="556"/>
      <c r="D1082" s="551"/>
      <c r="E1082" s="542"/>
      <c r="F1082" s="587"/>
    </row>
    <row r="1083" spans="1:6">
      <c r="A1083" s="551"/>
      <c r="B1083" s="577"/>
      <c r="C1083" s="584"/>
      <c r="D1083" s="551"/>
      <c r="E1083" s="542"/>
      <c r="F1083" s="554"/>
    </row>
    <row r="1084" spans="1:6">
      <c r="A1084" s="551"/>
      <c r="B1084" s="558"/>
      <c r="C1084" s="551"/>
      <c r="D1084" s="551"/>
      <c r="E1084" s="542"/>
      <c r="F1084" s="554"/>
    </row>
    <row r="1085" spans="1:6">
      <c r="A1085" s="551"/>
      <c r="B1085" s="558"/>
      <c r="C1085" s="551"/>
      <c r="D1085" s="551"/>
      <c r="E1085" s="542"/>
      <c r="F1085" s="554"/>
    </row>
    <row r="1086" spans="1:6">
      <c r="A1086" s="551"/>
      <c r="B1086" s="558"/>
      <c r="C1086" s="551"/>
      <c r="D1086" s="551"/>
      <c r="E1086" s="542"/>
      <c r="F1086" s="554"/>
    </row>
    <row r="1087" spans="1:6">
      <c r="A1087" s="551"/>
      <c r="B1087" s="558"/>
      <c r="C1087" s="551"/>
      <c r="D1087" s="551"/>
      <c r="E1087" s="542"/>
      <c r="F1087" s="543"/>
    </row>
    <row r="1088" spans="1:6">
      <c r="A1088" s="551"/>
      <c r="B1088" s="558"/>
      <c r="C1088" s="551"/>
      <c r="D1088" s="551"/>
      <c r="E1088" s="542"/>
      <c r="F1088" s="543"/>
    </row>
    <row r="1089" spans="1:6">
      <c r="A1089" s="551"/>
      <c r="B1089" s="558"/>
      <c r="C1089" s="551"/>
      <c r="D1089" s="551"/>
      <c r="E1089" s="542"/>
      <c r="F1089" s="543"/>
    </row>
    <row r="1090" spans="1:6">
      <c r="A1090" s="551"/>
      <c r="B1090" s="542"/>
      <c r="C1090" s="551"/>
      <c r="D1090" s="551"/>
      <c r="E1090" s="542"/>
      <c r="F1090" s="543"/>
    </row>
    <row r="1091" spans="1:6">
      <c r="A1091" s="548"/>
      <c r="B1091" s="545"/>
      <c r="C1091" s="548"/>
      <c r="D1091" s="548"/>
      <c r="E1091" s="545"/>
      <c r="F1091" s="546"/>
    </row>
    <row r="1092" spans="1:6">
      <c r="A1092" s="878" t="s">
        <v>1062</v>
      </c>
      <c r="B1092" s="879"/>
      <c r="C1092" s="879"/>
      <c r="D1092" s="879"/>
      <c r="E1092" s="559"/>
      <c r="F1092" s="560">
        <f>SUM(F1080:F1091)</f>
        <v>1999983.46872</v>
      </c>
    </row>
    <row r="1093" spans="1:6">
      <c r="A1093" s="540" t="s">
        <v>1064</v>
      </c>
      <c r="B1093" s="880" t="s">
        <v>1065</v>
      </c>
      <c r="C1093" s="881"/>
      <c r="D1093" s="882"/>
      <c r="E1093" s="882"/>
      <c r="F1093" s="883"/>
    </row>
    <row r="1094" spans="1:6">
      <c r="A1094" s="542"/>
      <c r="B1094" s="884" t="s">
        <v>1066</v>
      </c>
      <c r="C1094" s="885"/>
      <c r="D1094" s="886"/>
      <c r="E1094" s="886"/>
      <c r="F1094" s="887"/>
    </row>
    <row r="1095" spans="1:6">
      <c r="A1095" s="542"/>
      <c r="B1095" s="886"/>
      <c r="C1095" s="887"/>
      <c r="D1095" s="888" t="s">
        <v>1067</v>
      </c>
      <c r="E1095" s="886"/>
      <c r="F1095" s="887"/>
    </row>
    <row r="1096" spans="1:6">
      <c r="A1096" s="542"/>
      <c r="B1096" s="884" t="s">
        <v>1068</v>
      </c>
      <c r="C1096" s="885"/>
      <c r="D1096" s="886"/>
      <c r="E1096" s="886"/>
      <c r="F1096" s="887"/>
    </row>
    <row r="1097" spans="1:6">
      <c r="A1097" s="542"/>
      <c r="B1097" s="886"/>
      <c r="C1097" s="887"/>
      <c r="D1097" s="886"/>
      <c r="E1097" s="886"/>
      <c r="F1097" s="887"/>
    </row>
    <row r="1098" spans="1:6">
      <c r="A1098" s="542"/>
      <c r="B1098" s="886"/>
      <c r="C1098" s="887"/>
      <c r="D1098" s="886"/>
      <c r="E1098" s="886"/>
      <c r="F1098" s="887"/>
    </row>
    <row r="1099" spans="1:6">
      <c r="A1099" s="542" t="s">
        <v>1069</v>
      </c>
      <c r="B1099" s="886"/>
      <c r="C1099" s="887"/>
      <c r="D1099" s="563" t="s">
        <v>1069</v>
      </c>
      <c r="E1099" s="886"/>
      <c r="F1099" s="887"/>
    </row>
    <row r="1100" spans="1:6">
      <c r="A1100" s="542" t="s">
        <v>1070</v>
      </c>
      <c r="B1100" s="891" t="s">
        <v>1071</v>
      </c>
      <c r="C1100" s="909"/>
      <c r="D1100" s="563" t="s">
        <v>1070</v>
      </c>
      <c r="E1100" s="893" t="s">
        <v>1072</v>
      </c>
      <c r="F1100" s="910"/>
    </row>
    <row r="1101" spans="1:6">
      <c r="A1101" s="542" t="s">
        <v>1073</v>
      </c>
      <c r="B1101" s="884" t="s">
        <v>1074</v>
      </c>
      <c r="C1101" s="885"/>
      <c r="D1101" s="563" t="s">
        <v>1073</v>
      </c>
      <c r="E1101" s="886" t="s">
        <v>1075</v>
      </c>
      <c r="F1101" s="887"/>
    </row>
    <row r="1102" spans="1:6">
      <c r="A1102" s="542"/>
      <c r="B1102" s="886"/>
      <c r="C1102" s="887"/>
      <c r="D1102" s="563"/>
      <c r="E1102" s="886"/>
      <c r="F1102" s="887"/>
    </row>
    <row r="1103" spans="1:6">
      <c r="A1103" s="542" t="s">
        <v>1045</v>
      </c>
      <c r="B1103" s="564"/>
      <c r="C1103" s="562"/>
      <c r="D1103" s="563" t="s">
        <v>1045</v>
      </c>
      <c r="E1103" s="564"/>
      <c r="F1103" s="565"/>
    </row>
    <row r="1104" spans="1:6">
      <c r="A1104" s="545"/>
      <c r="B1104" s="895"/>
      <c r="C1104" s="896"/>
      <c r="D1104" s="566"/>
      <c r="E1104" s="895"/>
      <c r="F1104" s="896"/>
    </row>
    <row r="1106" spans="1:6">
      <c r="A1106" s="837" t="s">
        <v>1036</v>
      </c>
      <c r="B1106" s="837"/>
      <c r="C1106" s="837"/>
      <c r="D1106" s="837"/>
      <c r="E1106" s="837"/>
      <c r="F1106" s="837"/>
    </row>
    <row r="1107" spans="1:6">
      <c r="A1107" s="838" t="s">
        <v>1037</v>
      </c>
      <c r="B1107" s="867"/>
      <c r="C1107" s="867"/>
      <c r="D1107" s="867"/>
      <c r="E1107" s="867"/>
      <c r="F1107" s="868"/>
    </row>
    <row r="1108" spans="1:6">
      <c r="A1108" s="869" t="s">
        <v>1038</v>
      </c>
      <c r="B1108" s="870"/>
      <c r="C1108" s="870"/>
      <c r="D1108" s="870"/>
      <c r="E1108" s="870"/>
      <c r="F1108" s="871"/>
    </row>
    <row r="1109" spans="1:6" ht="15.75">
      <c r="A1109" s="845" t="s">
        <v>1039</v>
      </c>
      <c r="B1109" s="845"/>
      <c r="C1109" s="845"/>
      <c r="D1109" s="872"/>
      <c r="E1109" s="865" t="s">
        <v>1115</v>
      </c>
      <c r="F1109" s="866"/>
    </row>
    <row r="1110" spans="1:6">
      <c r="A1110" s="539" t="s">
        <v>1042</v>
      </c>
      <c r="B1110" s="873"/>
      <c r="C1110" s="873"/>
      <c r="D1110" s="874"/>
      <c r="E1110" s="540"/>
      <c r="F1110" s="541"/>
    </row>
    <row r="1111" spans="1:6" ht="18.75">
      <c r="A1111" s="539" t="s">
        <v>1043</v>
      </c>
      <c r="B1111" s="875" t="s">
        <v>1077</v>
      </c>
      <c r="C1111" s="875"/>
      <c r="D1111" s="876"/>
      <c r="E1111" s="542" t="s">
        <v>1045</v>
      </c>
      <c r="F1111" s="543"/>
    </row>
    <row r="1112" spans="1:6">
      <c r="A1112" s="544" t="s">
        <v>1046</v>
      </c>
      <c r="B1112" s="877" t="s">
        <v>1047</v>
      </c>
      <c r="C1112" s="877"/>
      <c r="D1112" s="865"/>
      <c r="E1112" s="545"/>
      <c r="F1112" s="546"/>
    </row>
    <row r="1113" spans="1:6">
      <c r="A1113" s="544" t="s">
        <v>1048</v>
      </c>
      <c r="B1113" s="889" t="s">
        <v>1049</v>
      </c>
      <c r="C1113" s="889" t="s">
        <v>1050</v>
      </c>
      <c r="D1113" s="547" t="s">
        <v>1051</v>
      </c>
      <c r="E1113" s="861" t="s">
        <v>1052</v>
      </c>
      <c r="F1113" s="862"/>
    </row>
    <row r="1114" spans="1:6">
      <c r="A1114" s="548" t="s">
        <v>1053</v>
      </c>
      <c r="B1114" s="890"/>
      <c r="C1114" s="890"/>
      <c r="D1114" s="549" t="s">
        <v>1054</v>
      </c>
      <c r="E1114" s="863"/>
      <c r="F1114" s="864"/>
    </row>
    <row r="1115" spans="1:6">
      <c r="A1115" s="544"/>
      <c r="B1115" s="578" t="s">
        <v>1055</v>
      </c>
      <c r="C1115" s="544"/>
      <c r="D1115" s="544">
        <v>300</v>
      </c>
      <c r="E1115" s="540"/>
      <c r="F1115" s="541"/>
    </row>
    <row r="1116" spans="1:6">
      <c r="A1116" s="551"/>
      <c r="B1116" s="542"/>
      <c r="C1116" s="551"/>
      <c r="D1116" s="551"/>
      <c r="E1116" s="542"/>
      <c r="F1116" s="543"/>
    </row>
    <row r="1117" spans="1:6">
      <c r="A1117" s="551"/>
      <c r="B1117" s="542" t="s">
        <v>1078</v>
      </c>
      <c r="C1117" s="551">
        <v>3321</v>
      </c>
      <c r="D1117" s="551"/>
      <c r="E1117" s="542"/>
      <c r="F1117" s="543"/>
    </row>
    <row r="1118" spans="1:6">
      <c r="A1118" s="551"/>
      <c r="B1118" s="542" t="s">
        <v>1138</v>
      </c>
      <c r="C1118" s="580"/>
      <c r="D1118" s="553"/>
      <c r="E1118" s="542"/>
      <c r="F1118" s="543"/>
    </row>
    <row r="1119" spans="1:6">
      <c r="A1119" s="551"/>
      <c r="B1119" s="542" t="s">
        <v>1139</v>
      </c>
      <c r="C1119" s="580"/>
      <c r="D1119" s="551"/>
      <c r="E1119" s="542"/>
      <c r="F1119" s="543"/>
    </row>
    <row r="1120" spans="1:6">
      <c r="A1120" s="551"/>
      <c r="B1120" s="573" t="s">
        <v>1121</v>
      </c>
      <c r="C1120" s="551"/>
      <c r="D1120" s="551"/>
      <c r="E1120" s="542"/>
      <c r="F1120" s="543"/>
    </row>
    <row r="1121" spans="1:6">
      <c r="A1121" s="551"/>
      <c r="B1121" s="582"/>
      <c r="C1121" s="551"/>
      <c r="D1121" s="551"/>
      <c r="E1121" s="542"/>
      <c r="F1121" s="543"/>
    </row>
    <row r="1122" spans="1:6">
      <c r="A1122" s="551"/>
      <c r="B1122" s="552" t="s">
        <v>1057</v>
      </c>
      <c r="C1122" s="551"/>
      <c r="D1122" s="551">
        <v>215</v>
      </c>
      <c r="E1122" s="542"/>
      <c r="F1122" s="554"/>
    </row>
    <row r="1123" spans="1:6">
      <c r="A1123" s="551"/>
      <c r="B1123" s="542" t="s">
        <v>1102</v>
      </c>
      <c r="C1123" s="551"/>
      <c r="D1123" s="551"/>
      <c r="E1123" s="542"/>
      <c r="F1123" s="585">
        <f>+'[1]POW SEF'!F2086</f>
        <v>230268</v>
      </c>
    </row>
    <row r="1124" spans="1:6">
      <c r="A1124" s="551"/>
      <c r="B1124" s="542" t="s">
        <v>1103</v>
      </c>
      <c r="C1124" s="551"/>
      <c r="D1124" s="551"/>
      <c r="E1124" s="542"/>
      <c r="F1124" s="586">
        <f>+'[1]POW SEF'!F2087</f>
        <v>59225.16</v>
      </c>
    </row>
    <row r="1125" spans="1:6" ht="26.25">
      <c r="A1125" s="551"/>
      <c r="B1125" s="573" t="s">
        <v>1140</v>
      </c>
      <c r="C1125" s="556"/>
      <c r="D1125" s="551"/>
      <c r="E1125" s="542"/>
      <c r="F1125" s="587" t="str">
        <f>+'[1]POW SEF'!J2120</f>
        <v>Project Engineer</v>
      </c>
    </row>
    <row r="1126" spans="1:6">
      <c r="A1126" s="551"/>
      <c r="B1126" s="577"/>
      <c r="C1126" s="584"/>
      <c r="D1126" s="551"/>
      <c r="E1126" s="542"/>
      <c r="F1126" s="554"/>
    </row>
    <row r="1127" spans="1:6">
      <c r="A1127" s="551"/>
      <c r="B1127" s="558"/>
      <c r="C1127" s="551"/>
      <c r="D1127" s="551"/>
      <c r="E1127" s="542"/>
      <c r="F1127" s="554"/>
    </row>
    <row r="1128" spans="1:6">
      <c r="A1128" s="551"/>
      <c r="B1128" s="558"/>
      <c r="C1128" s="551"/>
      <c r="D1128" s="551"/>
      <c r="E1128" s="542"/>
      <c r="F1128" s="554"/>
    </row>
    <row r="1129" spans="1:6">
      <c r="A1129" s="551"/>
      <c r="B1129" s="558"/>
      <c r="C1129" s="551"/>
      <c r="D1129" s="551"/>
      <c r="E1129" s="542"/>
      <c r="F1129" s="554"/>
    </row>
    <row r="1130" spans="1:6">
      <c r="A1130" s="551"/>
      <c r="B1130" s="558"/>
      <c r="C1130" s="551"/>
      <c r="D1130" s="551"/>
      <c r="E1130" s="542"/>
      <c r="F1130" s="543"/>
    </row>
    <row r="1131" spans="1:6">
      <c r="A1131" s="551"/>
      <c r="B1131" s="558"/>
      <c r="C1131" s="551"/>
      <c r="D1131" s="551"/>
      <c r="E1131" s="542"/>
      <c r="F1131" s="543"/>
    </row>
    <row r="1132" spans="1:6">
      <c r="A1132" s="551"/>
      <c r="B1132" s="558"/>
      <c r="C1132" s="551"/>
      <c r="D1132" s="551"/>
      <c r="E1132" s="542"/>
      <c r="F1132" s="543"/>
    </row>
    <row r="1133" spans="1:6">
      <c r="A1133" s="551"/>
      <c r="B1133" s="542"/>
      <c r="C1133" s="551"/>
      <c r="D1133" s="551"/>
      <c r="E1133" s="542"/>
      <c r="F1133" s="543"/>
    </row>
    <row r="1134" spans="1:6">
      <c r="A1134" s="548"/>
      <c r="B1134" s="545"/>
      <c r="C1134" s="548"/>
      <c r="D1134" s="548"/>
      <c r="E1134" s="545"/>
      <c r="F1134" s="546"/>
    </row>
    <row r="1135" spans="1:6">
      <c r="A1135" s="878" t="s">
        <v>1062</v>
      </c>
      <c r="B1135" s="879"/>
      <c r="C1135" s="879"/>
      <c r="D1135" s="879"/>
      <c r="E1135" s="559"/>
      <c r="F1135" s="560">
        <f>SUM(F1123:F1134)</f>
        <v>289493.16000000003</v>
      </c>
    </row>
    <row r="1136" spans="1:6">
      <c r="A1136" s="540" t="s">
        <v>1064</v>
      </c>
      <c r="B1136" s="880" t="s">
        <v>1065</v>
      </c>
      <c r="C1136" s="881"/>
      <c r="D1136" s="882"/>
      <c r="E1136" s="882"/>
      <c r="F1136" s="883"/>
    </row>
    <row r="1137" spans="1:6">
      <c r="A1137" s="542"/>
      <c r="B1137" s="884" t="s">
        <v>1066</v>
      </c>
      <c r="C1137" s="885"/>
      <c r="D1137" s="886"/>
      <c r="E1137" s="886"/>
      <c r="F1137" s="887"/>
    </row>
    <row r="1138" spans="1:6">
      <c r="A1138" s="542"/>
      <c r="B1138" s="886"/>
      <c r="C1138" s="887"/>
      <c r="D1138" s="888" t="s">
        <v>1067</v>
      </c>
      <c r="E1138" s="886"/>
      <c r="F1138" s="887"/>
    </row>
    <row r="1139" spans="1:6">
      <c r="A1139" s="542"/>
      <c r="B1139" s="884" t="s">
        <v>1068</v>
      </c>
      <c r="C1139" s="885"/>
      <c r="D1139" s="886"/>
      <c r="E1139" s="886"/>
      <c r="F1139" s="887"/>
    </row>
    <row r="1140" spans="1:6">
      <c r="A1140" s="542"/>
      <c r="B1140" s="886"/>
      <c r="C1140" s="887"/>
      <c r="D1140" s="886"/>
      <c r="E1140" s="886"/>
      <c r="F1140" s="887"/>
    </row>
    <row r="1141" spans="1:6">
      <c r="A1141" s="542"/>
      <c r="B1141" s="886"/>
      <c r="C1141" s="887"/>
      <c r="D1141" s="886"/>
      <c r="E1141" s="886"/>
      <c r="F1141" s="887"/>
    </row>
    <row r="1142" spans="1:6">
      <c r="A1142" s="542" t="s">
        <v>1069</v>
      </c>
      <c r="B1142" s="886"/>
      <c r="C1142" s="887"/>
      <c r="D1142" s="563" t="s">
        <v>1069</v>
      </c>
      <c r="E1142" s="886"/>
      <c r="F1142" s="887"/>
    </row>
    <row r="1143" spans="1:6">
      <c r="A1143" s="542" t="s">
        <v>1070</v>
      </c>
      <c r="B1143" s="891" t="s">
        <v>1071</v>
      </c>
      <c r="C1143" s="909"/>
      <c r="D1143" s="563" t="s">
        <v>1070</v>
      </c>
      <c r="E1143" s="893" t="s">
        <v>1072</v>
      </c>
      <c r="F1143" s="910"/>
    </row>
    <row r="1144" spans="1:6">
      <c r="A1144" s="542" t="s">
        <v>1073</v>
      </c>
      <c r="B1144" s="884" t="s">
        <v>1074</v>
      </c>
      <c r="C1144" s="885"/>
      <c r="D1144" s="563" t="s">
        <v>1073</v>
      </c>
      <c r="E1144" s="886" t="s">
        <v>1075</v>
      </c>
      <c r="F1144" s="887"/>
    </row>
    <row r="1145" spans="1:6">
      <c r="A1145" s="542"/>
      <c r="B1145" s="886"/>
      <c r="C1145" s="887"/>
      <c r="D1145" s="563"/>
      <c r="E1145" s="886"/>
      <c r="F1145" s="887"/>
    </row>
    <row r="1146" spans="1:6">
      <c r="A1146" s="542" t="s">
        <v>1045</v>
      </c>
      <c r="B1146" s="564"/>
      <c r="C1146" s="562"/>
      <c r="D1146" s="563" t="s">
        <v>1045</v>
      </c>
      <c r="E1146" s="564"/>
      <c r="F1146" s="565"/>
    </row>
    <row r="1147" spans="1:6">
      <c r="A1147" s="545"/>
      <c r="B1147" s="895"/>
      <c r="C1147" s="896"/>
      <c r="D1147" s="566"/>
      <c r="E1147" s="895"/>
      <c r="F1147" s="896"/>
    </row>
    <row r="1149" spans="1:6">
      <c r="A1149" s="837" t="s">
        <v>1036</v>
      </c>
      <c r="B1149" s="837"/>
      <c r="C1149" s="837"/>
      <c r="D1149" s="837"/>
      <c r="E1149" s="837"/>
      <c r="F1149" s="837"/>
    </row>
    <row r="1150" spans="1:6">
      <c r="A1150" s="838" t="s">
        <v>1037</v>
      </c>
      <c r="B1150" s="867"/>
      <c r="C1150" s="867"/>
      <c r="D1150" s="867"/>
      <c r="E1150" s="867"/>
      <c r="F1150" s="868"/>
    </row>
    <row r="1151" spans="1:6">
      <c r="A1151" s="869" t="s">
        <v>1038</v>
      </c>
      <c r="B1151" s="870"/>
      <c r="C1151" s="870"/>
      <c r="D1151" s="870"/>
      <c r="E1151" s="870"/>
      <c r="F1151" s="871"/>
    </row>
    <row r="1152" spans="1:6" ht="15.75">
      <c r="A1152" s="845" t="s">
        <v>1039</v>
      </c>
      <c r="B1152" s="845"/>
      <c r="C1152" s="845"/>
      <c r="D1152" s="872"/>
      <c r="E1152" s="865" t="s">
        <v>1115</v>
      </c>
      <c r="F1152" s="866"/>
    </row>
    <row r="1153" spans="1:6">
      <c r="A1153" s="539" t="s">
        <v>1042</v>
      </c>
      <c r="B1153" s="873"/>
      <c r="C1153" s="873"/>
      <c r="D1153" s="874"/>
      <c r="E1153" s="540"/>
      <c r="F1153" s="541"/>
    </row>
    <row r="1154" spans="1:6" ht="18.75">
      <c r="A1154" s="539" t="s">
        <v>1043</v>
      </c>
      <c r="B1154" s="875" t="s">
        <v>1077</v>
      </c>
      <c r="C1154" s="875"/>
      <c r="D1154" s="876"/>
      <c r="E1154" s="542" t="s">
        <v>1045</v>
      </c>
      <c r="F1154" s="543"/>
    </row>
    <row r="1155" spans="1:6">
      <c r="A1155" s="544" t="s">
        <v>1046</v>
      </c>
      <c r="B1155" s="877" t="s">
        <v>1047</v>
      </c>
      <c r="C1155" s="877"/>
      <c r="D1155" s="865"/>
      <c r="E1155" s="545"/>
      <c r="F1155" s="546"/>
    </row>
    <row r="1156" spans="1:6">
      <c r="A1156" s="544" t="s">
        <v>1048</v>
      </c>
      <c r="B1156" s="889" t="s">
        <v>1049</v>
      </c>
      <c r="C1156" s="889" t="s">
        <v>1050</v>
      </c>
      <c r="D1156" s="547" t="s">
        <v>1051</v>
      </c>
      <c r="E1156" s="861" t="s">
        <v>1052</v>
      </c>
      <c r="F1156" s="862"/>
    </row>
    <row r="1157" spans="1:6">
      <c r="A1157" s="548" t="s">
        <v>1053</v>
      </c>
      <c r="B1157" s="890"/>
      <c r="C1157" s="890"/>
      <c r="D1157" s="549" t="s">
        <v>1054</v>
      </c>
      <c r="E1157" s="863"/>
      <c r="F1157" s="864"/>
    </row>
    <row r="1158" spans="1:6">
      <c r="A1158" s="544"/>
      <c r="B1158" s="578" t="s">
        <v>1055</v>
      </c>
      <c r="C1158" s="544"/>
      <c r="D1158" s="544">
        <v>300</v>
      </c>
      <c r="E1158" s="540"/>
      <c r="F1158" s="541"/>
    </row>
    <row r="1159" spans="1:6">
      <c r="A1159" s="551"/>
      <c r="B1159" s="542"/>
      <c r="C1159" s="551"/>
      <c r="D1159" s="551"/>
      <c r="E1159" s="542"/>
      <c r="F1159" s="543"/>
    </row>
    <row r="1160" spans="1:6">
      <c r="A1160" s="551"/>
      <c r="B1160" s="542" t="s">
        <v>1078</v>
      </c>
      <c r="C1160" s="551">
        <v>3321</v>
      </c>
      <c r="D1160" s="551"/>
      <c r="E1160" s="542"/>
      <c r="F1160" s="543"/>
    </row>
    <row r="1161" spans="1:6">
      <c r="A1161" s="551"/>
      <c r="B1161" s="542"/>
      <c r="C1161" s="580"/>
      <c r="D1161" s="553"/>
      <c r="E1161" s="542"/>
      <c r="F1161" s="543"/>
    </row>
    <row r="1162" spans="1:6">
      <c r="A1162" s="551"/>
      <c r="B1162" s="542"/>
      <c r="C1162" s="580"/>
      <c r="D1162" s="551"/>
      <c r="E1162" s="542"/>
      <c r="F1162" s="543"/>
    </row>
    <row r="1163" spans="1:6">
      <c r="A1163" s="551"/>
      <c r="B1163" s="573"/>
      <c r="C1163" s="551"/>
      <c r="D1163" s="551"/>
      <c r="E1163" s="542"/>
      <c r="F1163" s="543"/>
    </row>
    <row r="1164" spans="1:6">
      <c r="A1164" s="551"/>
      <c r="B1164" s="582"/>
      <c r="C1164" s="551"/>
      <c r="D1164" s="551"/>
      <c r="E1164" s="542"/>
      <c r="F1164" s="543"/>
    </row>
    <row r="1165" spans="1:6">
      <c r="A1165" s="551"/>
      <c r="B1165" s="552" t="s">
        <v>1133</v>
      </c>
      <c r="C1165" s="551"/>
      <c r="D1165" s="551">
        <v>212</v>
      </c>
      <c r="E1165" s="542"/>
      <c r="F1165" s="554"/>
    </row>
    <row r="1166" spans="1:6">
      <c r="A1166" s="551"/>
      <c r="B1166" s="542" t="s">
        <v>1141</v>
      </c>
      <c r="C1166" s="551"/>
      <c r="D1166" s="551"/>
      <c r="E1166" s="542"/>
      <c r="F1166" s="585">
        <f>+'[1]POW SEF'!AF1282</f>
        <v>3199989.3044799999</v>
      </c>
    </row>
    <row r="1167" spans="1:6">
      <c r="A1167" s="551"/>
      <c r="B1167" s="542" t="s">
        <v>1142</v>
      </c>
      <c r="C1167" s="551"/>
      <c r="D1167" s="551"/>
      <c r="E1167" s="542"/>
      <c r="F1167" s="586"/>
    </row>
    <row r="1168" spans="1:6" ht="15.75">
      <c r="A1168" s="551"/>
      <c r="B1168" s="573" t="s">
        <v>1143</v>
      </c>
      <c r="C1168" s="556"/>
      <c r="D1168" s="551"/>
      <c r="E1168" s="542"/>
      <c r="F1168" s="587"/>
    </row>
    <row r="1169" spans="1:6">
      <c r="A1169" s="551"/>
      <c r="B1169" s="577"/>
      <c r="C1169" s="584"/>
      <c r="D1169" s="551"/>
      <c r="E1169" s="542"/>
      <c r="F1169" s="554"/>
    </row>
    <row r="1170" spans="1:6">
      <c r="A1170" s="551"/>
      <c r="B1170" s="558"/>
      <c r="C1170" s="551"/>
      <c r="D1170" s="551"/>
      <c r="E1170" s="542"/>
      <c r="F1170" s="554"/>
    </row>
    <row r="1171" spans="1:6">
      <c r="A1171" s="551"/>
      <c r="B1171" s="558"/>
      <c r="C1171" s="551"/>
      <c r="D1171" s="551"/>
      <c r="E1171" s="542"/>
      <c r="F1171" s="554"/>
    </row>
    <row r="1172" spans="1:6">
      <c r="A1172" s="551"/>
      <c r="B1172" s="558"/>
      <c r="C1172" s="551"/>
      <c r="D1172" s="551"/>
      <c r="E1172" s="542"/>
      <c r="F1172" s="554"/>
    </row>
    <row r="1173" spans="1:6">
      <c r="A1173" s="551"/>
      <c r="B1173" s="558"/>
      <c r="C1173" s="551"/>
      <c r="D1173" s="551"/>
      <c r="E1173" s="542"/>
      <c r="F1173" s="543"/>
    </row>
    <row r="1174" spans="1:6">
      <c r="A1174" s="551"/>
      <c r="B1174" s="558"/>
      <c r="C1174" s="551"/>
      <c r="D1174" s="551"/>
      <c r="E1174" s="542"/>
      <c r="F1174" s="543"/>
    </row>
    <row r="1175" spans="1:6">
      <c r="A1175" s="551"/>
      <c r="B1175" s="558"/>
      <c r="C1175" s="551"/>
      <c r="D1175" s="551"/>
      <c r="E1175" s="542"/>
      <c r="F1175" s="543"/>
    </row>
    <row r="1176" spans="1:6">
      <c r="A1176" s="551"/>
      <c r="B1176" s="542"/>
      <c r="C1176" s="551"/>
      <c r="D1176" s="551"/>
      <c r="E1176" s="542"/>
      <c r="F1176" s="543"/>
    </row>
    <row r="1177" spans="1:6">
      <c r="A1177" s="548"/>
      <c r="B1177" s="545"/>
      <c r="C1177" s="548"/>
      <c r="D1177" s="548"/>
      <c r="E1177" s="545"/>
      <c r="F1177" s="546"/>
    </row>
    <row r="1178" spans="1:6">
      <c r="A1178" s="878" t="s">
        <v>1062</v>
      </c>
      <c r="B1178" s="879"/>
      <c r="C1178" s="879"/>
      <c r="D1178" s="879"/>
      <c r="E1178" s="559"/>
      <c r="F1178" s="560">
        <f>SUM(F1166:F1177)</f>
        <v>3199989.3044799999</v>
      </c>
    </row>
    <row r="1179" spans="1:6">
      <c r="A1179" s="540" t="s">
        <v>1064</v>
      </c>
      <c r="B1179" s="880" t="s">
        <v>1065</v>
      </c>
      <c r="C1179" s="881"/>
      <c r="D1179" s="882"/>
      <c r="E1179" s="882"/>
      <c r="F1179" s="883"/>
    </row>
    <row r="1180" spans="1:6">
      <c r="A1180" s="542"/>
      <c r="B1180" s="884" t="s">
        <v>1066</v>
      </c>
      <c r="C1180" s="885"/>
      <c r="D1180" s="886"/>
      <c r="E1180" s="886"/>
      <c r="F1180" s="887"/>
    </row>
    <row r="1181" spans="1:6">
      <c r="A1181" s="542"/>
      <c r="B1181" s="886"/>
      <c r="C1181" s="887"/>
      <c r="D1181" s="888" t="s">
        <v>1067</v>
      </c>
      <c r="E1181" s="886"/>
      <c r="F1181" s="887"/>
    </row>
    <row r="1182" spans="1:6">
      <c r="A1182" s="542"/>
      <c r="B1182" s="884" t="s">
        <v>1068</v>
      </c>
      <c r="C1182" s="885"/>
      <c r="D1182" s="886"/>
      <c r="E1182" s="886"/>
      <c r="F1182" s="887"/>
    </row>
    <row r="1183" spans="1:6">
      <c r="A1183" s="542"/>
      <c r="B1183" s="886"/>
      <c r="C1183" s="887"/>
      <c r="D1183" s="886"/>
      <c r="E1183" s="886"/>
      <c r="F1183" s="887"/>
    </row>
    <row r="1184" spans="1:6">
      <c r="A1184" s="542"/>
      <c r="B1184" s="886"/>
      <c r="C1184" s="887"/>
      <c r="D1184" s="886"/>
      <c r="E1184" s="886"/>
      <c r="F1184" s="887"/>
    </row>
    <row r="1185" spans="1:6">
      <c r="A1185" s="542" t="s">
        <v>1069</v>
      </c>
      <c r="B1185" s="886"/>
      <c r="C1185" s="887"/>
      <c r="D1185" s="563" t="s">
        <v>1069</v>
      </c>
      <c r="E1185" s="886"/>
      <c r="F1185" s="887"/>
    </row>
    <row r="1186" spans="1:6">
      <c r="A1186" s="542" t="s">
        <v>1070</v>
      </c>
      <c r="B1186" s="891" t="s">
        <v>1071</v>
      </c>
      <c r="C1186" s="909"/>
      <c r="D1186" s="563" t="s">
        <v>1070</v>
      </c>
      <c r="E1186" s="893" t="s">
        <v>1072</v>
      </c>
      <c r="F1186" s="910"/>
    </row>
    <row r="1187" spans="1:6">
      <c r="A1187" s="542" t="s">
        <v>1073</v>
      </c>
      <c r="B1187" s="884" t="s">
        <v>1074</v>
      </c>
      <c r="C1187" s="885"/>
      <c r="D1187" s="563" t="s">
        <v>1073</v>
      </c>
      <c r="E1187" s="886" t="s">
        <v>1075</v>
      </c>
      <c r="F1187" s="887"/>
    </row>
    <row r="1188" spans="1:6">
      <c r="A1188" s="542"/>
      <c r="B1188" s="886"/>
      <c r="C1188" s="887"/>
      <c r="D1188" s="563"/>
      <c r="E1188" s="886"/>
      <c r="F1188" s="887"/>
    </row>
    <row r="1189" spans="1:6">
      <c r="A1189" s="542" t="s">
        <v>1045</v>
      </c>
      <c r="B1189" s="564"/>
      <c r="C1189" s="562"/>
      <c r="D1189" s="563" t="s">
        <v>1045</v>
      </c>
      <c r="E1189" s="564"/>
      <c r="F1189" s="565"/>
    </row>
    <row r="1190" spans="1:6">
      <c r="A1190" s="545"/>
      <c r="B1190" s="895"/>
      <c r="C1190" s="896"/>
      <c r="D1190" s="566"/>
      <c r="E1190" s="895"/>
      <c r="F1190" s="896"/>
    </row>
    <row r="1192" spans="1:6">
      <c r="A1192" s="837" t="s">
        <v>1036</v>
      </c>
      <c r="B1192" s="837"/>
      <c r="C1192" s="837"/>
      <c r="D1192" s="837"/>
      <c r="E1192" s="837"/>
      <c r="F1192" s="837"/>
    </row>
    <row r="1193" spans="1:6">
      <c r="A1193" s="838" t="s">
        <v>1037</v>
      </c>
      <c r="B1193" s="867"/>
      <c r="C1193" s="867"/>
      <c r="D1193" s="867"/>
      <c r="E1193" s="867"/>
      <c r="F1193" s="868"/>
    </row>
    <row r="1194" spans="1:6">
      <c r="A1194" s="869" t="s">
        <v>1038</v>
      </c>
      <c r="B1194" s="870"/>
      <c r="C1194" s="870"/>
      <c r="D1194" s="870"/>
      <c r="E1194" s="870"/>
      <c r="F1194" s="871"/>
    </row>
    <row r="1195" spans="1:6" ht="15.75">
      <c r="A1195" s="845" t="s">
        <v>1039</v>
      </c>
      <c r="B1195" s="845"/>
      <c r="C1195" s="845"/>
      <c r="D1195" s="872"/>
      <c r="E1195" s="865" t="s">
        <v>1115</v>
      </c>
      <c r="F1195" s="866"/>
    </row>
    <row r="1196" spans="1:6">
      <c r="A1196" s="539" t="s">
        <v>1042</v>
      </c>
      <c r="B1196" s="873"/>
      <c r="C1196" s="873"/>
      <c r="D1196" s="874"/>
      <c r="E1196" s="540"/>
      <c r="F1196" s="541"/>
    </row>
    <row r="1197" spans="1:6" ht="18.75">
      <c r="A1197" s="539" t="s">
        <v>1043</v>
      </c>
      <c r="B1197" s="875" t="s">
        <v>1077</v>
      </c>
      <c r="C1197" s="875"/>
      <c r="D1197" s="876"/>
      <c r="E1197" s="542" t="s">
        <v>1045</v>
      </c>
      <c r="F1197" s="543"/>
    </row>
    <row r="1198" spans="1:6">
      <c r="A1198" s="544" t="s">
        <v>1046</v>
      </c>
      <c r="B1198" s="877" t="s">
        <v>1047</v>
      </c>
      <c r="C1198" s="877"/>
      <c r="D1198" s="865"/>
      <c r="E1198" s="545"/>
      <c r="F1198" s="546"/>
    </row>
    <row r="1199" spans="1:6">
      <c r="A1199" s="544" t="s">
        <v>1048</v>
      </c>
      <c r="B1199" s="889" t="s">
        <v>1049</v>
      </c>
      <c r="C1199" s="889" t="s">
        <v>1050</v>
      </c>
      <c r="D1199" s="547" t="s">
        <v>1051</v>
      </c>
      <c r="E1199" s="861" t="s">
        <v>1052</v>
      </c>
      <c r="F1199" s="862"/>
    </row>
    <row r="1200" spans="1:6">
      <c r="A1200" s="548" t="s">
        <v>1053</v>
      </c>
      <c r="B1200" s="890"/>
      <c r="C1200" s="890"/>
      <c r="D1200" s="549" t="s">
        <v>1054</v>
      </c>
      <c r="E1200" s="863"/>
      <c r="F1200" s="864"/>
    </row>
    <row r="1201" spans="1:6">
      <c r="A1201" s="544"/>
      <c r="B1201" s="578" t="s">
        <v>1055</v>
      </c>
      <c r="C1201" s="544"/>
      <c r="D1201" s="544">
        <v>300</v>
      </c>
      <c r="E1201" s="540"/>
      <c r="F1201" s="541"/>
    </row>
    <row r="1202" spans="1:6">
      <c r="A1202" s="551"/>
      <c r="B1202" s="542"/>
      <c r="C1202" s="551"/>
      <c r="D1202" s="551"/>
      <c r="E1202" s="542"/>
      <c r="F1202" s="543"/>
    </row>
    <row r="1203" spans="1:6">
      <c r="A1203" s="551"/>
      <c r="B1203" s="542" t="s">
        <v>1078</v>
      </c>
      <c r="C1203" s="551">
        <v>3321</v>
      </c>
      <c r="D1203" s="551"/>
      <c r="E1203" s="542"/>
      <c r="F1203" s="543"/>
    </row>
    <row r="1204" spans="1:6">
      <c r="A1204" s="551"/>
      <c r="B1204" s="542"/>
      <c r="C1204" s="580"/>
      <c r="D1204" s="553"/>
      <c r="E1204" s="542"/>
      <c r="F1204" s="543"/>
    </row>
    <row r="1205" spans="1:6">
      <c r="A1205" s="551"/>
      <c r="B1205" s="542"/>
      <c r="C1205" s="580"/>
      <c r="D1205" s="551"/>
      <c r="E1205" s="542"/>
      <c r="F1205" s="543"/>
    </row>
    <row r="1206" spans="1:6">
      <c r="A1206" s="551"/>
      <c r="B1206" s="573"/>
      <c r="C1206" s="551"/>
      <c r="D1206" s="551"/>
      <c r="E1206" s="542"/>
      <c r="F1206" s="543"/>
    </row>
    <row r="1207" spans="1:6">
      <c r="A1207" s="551"/>
      <c r="B1207" s="582"/>
      <c r="C1207" s="551"/>
      <c r="D1207" s="551"/>
      <c r="E1207" s="542"/>
      <c r="F1207" s="543"/>
    </row>
    <row r="1208" spans="1:6">
      <c r="A1208" s="551"/>
      <c r="B1208" s="552" t="s">
        <v>1133</v>
      </c>
      <c r="C1208" s="551"/>
      <c r="D1208" s="551">
        <v>212</v>
      </c>
      <c r="E1208" s="542"/>
      <c r="F1208" s="554"/>
    </row>
    <row r="1209" spans="1:6">
      <c r="A1209" s="551"/>
      <c r="B1209" s="542" t="s">
        <v>1141</v>
      </c>
      <c r="C1209" s="551"/>
      <c r="D1209" s="551"/>
      <c r="E1209" s="542"/>
      <c r="F1209" s="585">
        <f>'[1]POW SEF'!AF1895</f>
        <v>2998763.2701249998</v>
      </c>
    </row>
    <row r="1210" spans="1:6">
      <c r="A1210" s="551"/>
      <c r="B1210" s="542" t="s">
        <v>1144</v>
      </c>
      <c r="C1210" s="551"/>
      <c r="D1210" s="551"/>
      <c r="E1210" s="542"/>
      <c r="F1210" s="586"/>
    </row>
    <row r="1211" spans="1:6" ht="15.75">
      <c r="A1211" s="551"/>
      <c r="B1211" t="s">
        <v>1145</v>
      </c>
      <c r="C1211" s="556"/>
      <c r="D1211" s="551"/>
      <c r="E1211" s="542"/>
      <c r="F1211" s="587"/>
    </row>
    <row r="1212" spans="1:6">
      <c r="A1212" s="551"/>
      <c r="B1212" s="573" t="s">
        <v>1143</v>
      </c>
      <c r="C1212" s="584"/>
      <c r="D1212" s="551"/>
      <c r="E1212" s="542"/>
      <c r="F1212" s="554"/>
    </row>
    <row r="1213" spans="1:6">
      <c r="A1213" s="551"/>
      <c r="B1213" s="558"/>
      <c r="C1213" s="551"/>
      <c r="D1213" s="551"/>
      <c r="E1213" s="542"/>
      <c r="F1213" s="554"/>
    </row>
    <row r="1214" spans="1:6">
      <c r="A1214" s="551"/>
      <c r="B1214" s="558"/>
      <c r="C1214" s="551"/>
      <c r="D1214" s="551"/>
      <c r="E1214" s="542"/>
      <c r="F1214" s="554"/>
    </row>
    <row r="1215" spans="1:6">
      <c r="A1215" s="551"/>
      <c r="B1215" s="558"/>
      <c r="C1215" s="551"/>
      <c r="D1215" s="551"/>
      <c r="E1215" s="542"/>
      <c r="F1215" s="554"/>
    </row>
    <row r="1216" spans="1:6">
      <c r="A1216" s="551"/>
      <c r="B1216" s="558"/>
      <c r="C1216" s="551"/>
      <c r="D1216" s="551"/>
      <c r="E1216" s="542"/>
      <c r="F1216" s="543"/>
    </row>
    <row r="1217" spans="1:6">
      <c r="A1217" s="551"/>
      <c r="B1217" s="558"/>
      <c r="C1217" s="551"/>
      <c r="D1217" s="551"/>
      <c r="E1217" s="542"/>
      <c r="F1217" s="543"/>
    </row>
    <row r="1218" spans="1:6">
      <c r="A1218" s="551"/>
      <c r="B1218" s="558"/>
      <c r="C1218" s="551"/>
      <c r="D1218" s="551"/>
      <c r="E1218" s="542"/>
      <c r="F1218" s="543"/>
    </row>
    <row r="1219" spans="1:6">
      <c r="A1219" s="551"/>
      <c r="B1219" s="542"/>
      <c r="C1219" s="551"/>
      <c r="D1219" s="551"/>
      <c r="E1219" s="542"/>
      <c r="F1219" s="543"/>
    </row>
    <row r="1220" spans="1:6">
      <c r="A1220" s="548"/>
      <c r="B1220" s="545"/>
      <c r="C1220" s="548"/>
      <c r="D1220" s="548"/>
      <c r="E1220" s="545"/>
      <c r="F1220" s="546"/>
    </row>
    <row r="1221" spans="1:6">
      <c r="A1221" s="878" t="s">
        <v>1062</v>
      </c>
      <c r="B1221" s="879"/>
      <c r="C1221" s="879"/>
      <c r="D1221" s="879"/>
      <c r="E1221" s="559"/>
      <c r="F1221" s="560">
        <f>SUM(F1209:F1220)</f>
        <v>2998763.2701249998</v>
      </c>
    </row>
    <row r="1222" spans="1:6">
      <c r="A1222" s="540" t="s">
        <v>1064</v>
      </c>
      <c r="B1222" s="880" t="s">
        <v>1065</v>
      </c>
      <c r="C1222" s="881"/>
      <c r="D1222" s="882"/>
      <c r="E1222" s="882"/>
      <c r="F1222" s="883"/>
    </row>
    <row r="1223" spans="1:6">
      <c r="A1223" s="542"/>
      <c r="B1223" s="884" t="s">
        <v>1066</v>
      </c>
      <c r="C1223" s="885"/>
      <c r="D1223" s="886"/>
      <c r="E1223" s="886"/>
      <c r="F1223" s="887"/>
    </row>
    <row r="1224" spans="1:6">
      <c r="A1224" s="542"/>
      <c r="B1224" s="886"/>
      <c r="C1224" s="887"/>
      <c r="D1224" s="888" t="s">
        <v>1067</v>
      </c>
      <c r="E1224" s="886"/>
      <c r="F1224" s="887"/>
    </row>
    <row r="1225" spans="1:6">
      <c r="A1225" s="542"/>
      <c r="B1225" s="884" t="s">
        <v>1068</v>
      </c>
      <c r="C1225" s="885"/>
      <c r="D1225" s="886"/>
      <c r="E1225" s="886"/>
      <c r="F1225" s="887"/>
    </row>
    <row r="1226" spans="1:6">
      <c r="A1226" s="542"/>
      <c r="B1226" s="886"/>
      <c r="C1226" s="887"/>
      <c r="D1226" s="886"/>
      <c r="E1226" s="886"/>
      <c r="F1226" s="887"/>
    </row>
    <row r="1227" spans="1:6">
      <c r="A1227" s="542"/>
      <c r="B1227" s="886"/>
      <c r="C1227" s="887"/>
      <c r="D1227" s="886"/>
      <c r="E1227" s="886"/>
      <c r="F1227" s="887"/>
    </row>
    <row r="1228" spans="1:6">
      <c r="A1228" s="542" t="s">
        <v>1069</v>
      </c>
      <c r="B1228" s="886"/>
      <c r="C1228" s="887"/>
      <c r="D1228" s="563" t="s">
        <v>1069</v>
      </c>
      <c r="E1228" s="886"/>
      <c r="F1228" s="887"/>
    </row>
    <row r="1229" spans="1:6">
      <c r="A1229" s="542" t="s">
        <v>1070</v>
      </c>
      <c r="B1229" s="891" t="s">
        <v>1071</v>
      </c>
      <c r="C1229" s="909"/>
      <c r="D1229" s="563" t="s">
        <v>1070</v>
      </c>
      <c r="E1229" s="893" t="s">
        <v>1072</v>
      </c>
      <c r="F1229" s="910"/>
    </row>
    <row r="1230" spans="1:6">
      <c r="A1230" s="542" t="s">
        <v>1073</v>
      </c>
      <c r="B1230" s="884" t="s">
        <v>1074</v>
      </c>
      <c r="C1230" s="885"/>
      <c r="D1230" s="563" t="s">
        <v>1073</v>
      </c>
      <c r="E1230" s="886" t="s">
        <v>1075</v>
      </c>
      <c r="F1230" s="887"/>
    </row>
    <row r="1231" spans="1:6">
      <c r="A1231" s="542"/>
      <c r="B1231" s="886"/>
      <c r="C1231" s="887"/>
      <c r="D1231" s="563"/>
      <c r="E1231" s="886"/>
      <c r="F1231" s="887"/>
    </row>
    <row r="1232" spans="1:6">
      <c r="A1232" s="542" t="s">
        <v>1045</v>
      </c>
      <c r="B1232" s="564"/>
      <c r="C1232" s="562"/>
      <c r="D1232" s="563" t="s">
        <v>1045</v>
      </c>
      <c r="E1232" s="564"/>
      <c r="F1232" s="565"/>
    </row>
    <row r="1233" spans="1:6">
      <c r="A1233" s="545"/>
      <c r="B1233" s="895"/>
      <c r="C1233" s="896"/>
      <c r="D1233" s="566"/>
      <c r="E1233" s="895"/>
      <c r="F1233" s="896"/>
    </row>
    <row r="1235" spans="1:6">
      <c r="A1235" s="837" t="s">
        <v>1036</v>
      </c>
      <c r="B1235" s="837"/>
      <c r="C1235" s="837"/>
      <c r="D1235" s="837"/>
      <c r="E1235" s="837"/>
      <c r="F1235" s="837"/>
    </row>
    <row r="1236" spans="1:6">
      <c r="A1236" s="838" t="s">
        <v>1037</v>
      </c>
      <c r="B1236" s="838"/>
      <c r="C1236" s="838"/>
      <c r="D1236" s="838"/>
      <c r="E1236" s="838"/>
      <c r="F1236" s="837"/>
    </row>
    <row r="1237" spans="1:6">
      <c r="A1237" s="908" t="s">
        <v>1038</v>
      </c>
      <c r="B1237" s="908"/>
      <c r="C1237" s="908"/>
      <c r="D1237" s="908"/>
      <c r="E1237" s="908"/>
      <c r="F1237" s="908"/>
    </row>
    <row r="1238" spans="1:6" ht="15.75">
      <c r="A1238" s="872" t="s">
        <v>1039</v>
      </c>
      <c r="B1238" s="901"/>
      <c r="C1238" s="901"/>
      <c r="D1238" s="902"/>
      <c r="E1238" s="865" t="s">
        <v>1115</v>
      </c>
      <c r="F1238" s="866"/>
    </row>
    <row r="1239" spans="1:6">
      <c r="A1239" s="539" t="s">
        <v>1042</v>
      </c>
      <c r="B1239" s="874"/>
      <c r="C1239" s="897"/>
      <c r="D1239" s="898"/>
      <c r="E1239" s="540"/>
      <c r="F1239" s="541"/>
    </row>
    <row r="1240" spans="1:6" ht="18.75">
      <c r="A1240" s="539" t="s">
        <v>1043</v>
      </c>
      <c r="B1240" s="876" t="s">
        <v>1077</v>
      </c>
      <c r="C1240" s="903"/>
      <c r="D1240" s="904"/>
      <c r="E1240" s="542" t="s">
        <v>1045</v>
      </c>
      <c r="F1240" s="543"/>
    </row>
    <row r="1241" spans="1:6">
      <c r="A1241" s="544" t="s">
        <v>1046</v>
      </c>
      <c r="B1241" s="865" t="s">
        <v>1047</v>
      </c>
      <c r="C1241" s="905"/>
      <c r="D1241" s="866"/>
      <c r="E1241" s="545"/>
      <c r="F1241" s="546"/>
    </row>
    <row r="1242" spans="1:6">
      <c r="A1242" s="544" t="s">
        <v>1048</v>
      </c>
      <c r="B1242" s="889" t="s">
        <v>1049</v>
      </c>
      <c r="C1242" s="889" t="s">
        <v>1050</v>
      </c>
      <c r="D1242" s="547" t="s">
        <v>1051</v>
      </c>
      <c r="E1242" s="861" t="s">
        <v>1052</v>
      </c>
      <c r="F1242" s="862"/>
    </row>
    <row r="1243" spans="1:6">
      <c r="A1243" s="548" t="s">
        <v>1053</v>
      </c>
      <c r="B1243" s="890"/>
      <c r="C1243" s="890"/>
      <c r="D1243" s="549" t="s">
        <v>1054</v>
      </c>
      <c r="E1243" s="863"/>
      <c r="F1243" s="864"/>
    </row>
    <row r="1244" spans="1:6">
      <c r="A1244" s="544"/>
      <c r="B1244" s="578" t="s">
        <v>1055</v>
      </c>
      <c r="C1244" s="544"/>
      <c r="D1244" s="544">
        <v>300</v>
      </c>
      <c r="E1244" s="540"/>
      <c r="F1244" s="541"/>
    </row>
    <row r="1245" spans="1:6">
      <c r="A1245" s="551"/>
      <c r="B1245" s="542"/>
      <c r="C1245" s="551"/>
      <c r="D1245" s="551"/>
      <c r="E1245" s="542"/>
      <c r="F1245" s="543"/>
    </row>
    <row r="1246" spans="1:6">
      <c r="A1246" s="551"/>
      <c r="B1246" s="542" t="s">
        <v>1078</v>
      </c>
      <c r="C1246" s="551">
        <v>3321</v>
      </c>
      <c r="D1246" s="551"/>
      <c r="E1246" s="542"/>
      <c r="F1246" s="543"/>
    </row>
    <row r="1247" spans="1:6">
      <c r="A1247" s="551"/>
      <c r="B1247" s="542" t="s">
        <v>1146</v>
      </c>
      <c r="C1247" s="580"/>
      <c r="D1247" s="553"/>
      <c r="E1247" s="542"/>
      <c r="F1247" s="543"/>
    </row>
    <row r="1248" spans="1:6">
      <c r="A1248" s="551"/>
      <c r="B1248" s="542" t="s">
        <v>1147</v>
      </c>
      <c r="C1248" s="580"/>
      <c r="D1248" s="551"/>
      <c r="E1248" s="542"/>
      <c r="F1248" s="543"/>
    </row>
    <row r="1249" spans="1:6">
      <c r="A1249" s="551"/>
      <c r="B1249" s="573" t="s">
        <v>1148</v>
      </c>
      <c r="C1249" s="551"/>
      <c r="D1249" s="551"/>
      <c r="E1249" s="542"/>
      <c r="F1249" s="543"/>
    </row>
    <row r="1250" spans="1:6">
      <c r="A1250" s="551"/>
      <c r="B1250" s="582"/>
      <c r="C1250" s="551"/>
      <c r="D1250" s="551"/>
      <c r="E1250" s="542"/>
      <c r="F1250" s="543"/>
    </row>
    <row r="1251" spans="1:6">
      <c r="A1251" s="551"/>
      <c r="B1251" s="552" t="s">
        <v>1057</v>
      </c>
      <c r="C1251" s="551"/>
      <c r="D1251" s="551">
        <v>215</v>
      </c>
      <c r="E1251" s="542"/>
      <c r="F1251" s="554"/>
    </row>
    <row r="1252" spans="1:6">
      <c r="A1252" s="551"/>
      <c r="B1252" s="542" t="s">
        <v>1102</v>
      </c>
      <c r="C1252" s="551"/>
      <c r="D1252" s="551"/>
      <c r="E1252" s="542"/>
      <c r="F1252" s="585">
        <f>'[1]POW SEF'!F2239</f>
        <v>364206</v>
      </c>
    </row>
    <row r="1253" spans="1:6">
      <c r="A1253" s="551"/>
      <c r="B1253" s="542" t="s">
        <v>1103</v>
      </c>
      <c r="C1253" s="551"/>
      <c r="D1253" s="551"/>
      <c r="E1253" s="542"/>
      <c r="F1253" s="586">
        <f>'[1]POW SEF'!F2240</f>
        <v>145682.4</v>
      </c>
    </row>
    <row r="1254" spans="1:6" ht="15.75">
      <c r="A1254" s="551"/>
      <c r="B1254" s="573" t="s">
        <v>1149</v>
      </c>
      <c r="C1254" s="556"/>
      <c r="D1254" s="551"/>
      <c r="E1254" s="542"/>
      <c r="F1254" s="587">
        <f>'[1]POW SEF'!F2241</f>
        <v>2000</v>
      </c>
    </row>
    <row r="1255" spans="1:6">
      <c r="A1255" s="551"/>
      <c r="B1255" s="577"/>
      <c r="C1255" s="584"/>
      <c r="D1255" s="551"/>
      <c r="E1255" s="542"/>
      <c r="F1255" s="554"/>
    </row>
    <row r="1256" spans="1:6">
      <c r="A1256" s="551"/>
      <c r="B1256" s="558"/>
      <c r="C1256" s="551"/>
      <c r="D1256" s="551"/>
      <c r="E1256" s="542"/>
      <c r="F1256" s="554"/>
    </row>
    <row r="1257" spans="1:6">
      <c r="A1257" s="551"/>
      <c r="B1257" s="558"/>
      <c r="C1257" s="551"/>
      <c r="D1257" s="551"/>
      <c r="E1257" s="542"/>
      <c r="F1257" s="554"/>
    </row>
    <row r="1258" spans="1:6">
      <c r="A1258" s="551"/>
      <c r="B1258" s="558"/>
      <c r="C1258" s="551"/>
      <c r="D1258" s="551"/>
      <c r="E1258" s="542"/>
      <c r="F1258" s="554"/>
    </row>
    <row r="1259" spans="1:6">
      <c r="A1259" s="551"/>
      <c r="B1259" s="558"/>
      <c r="C1259" s="551"/>
      <c r="D1259" s="551"/>
      <c r="E1259" s="542"/>
      <c r="F1259" s="543"/>
    </row>
    <row r="1260" spans="1:6">
      <c r="A1260" s="551"/>
      <c r="B1260" s="558"/>
      <c r="C1260" s="551"/>
      <c r="D1260" s="551"/>
      <c r="E1260" s="542"/>
      <c r="F1260" s="543"/>
    </row>
    <row r="1261" spans="1:6">
      <c r="A1261" s="551"/>
      <c r="B1261" s="558"/>
      <c r="C1261" s="551"/>
      <c r="D1261" s="551"/>
      <c r="E1261" s="542"/>
      <c r="F1261" s="543"/>
    </row>
    <row r="1262" spans="1:6">
      <c r="A1262" s="551"/>
      <c r="B1262" s="542"/>
      <c r="C1262" s="551"/>
      <c r="D1262" s="551"/>
      <c r="E1262" s="542"/>
      <c r="F1262" s="543"/>
    </row>
    <row r="1263" spans="1:6">
      <c r="A1263" s="548"/>
      <c r="B1263" s="545"/>
      <c r="C1263" s="548"/>
      <c r="D1263" s="548"/>
      <c r="E1263" s="545"/>
      <c r="F1263" s="546"/>
    </row>
    <row r="1264" spans="1:6">
      <c r="A1264" s="878" t="s">
        <v>1062</v>
      </c>
      <c r="B1264" s="879"/>
      <c r="C1264" s="879"/>
      <c r="D1264" s="906"/>
      <c r="E1264" s="559"/>
      <c r="F1264" s="560">
        <f>SUM(F1252:F1263)</f>
        <v>511888.4</v>
      </c>
    </row>
    <row r="1265" spans="1:6">
      <c r="A1265" s="540" t="s">
        <v>1064</v>
      </c>
      <c r="B1265" s="880" t="s">
        <v>1065</v>
      </c>
      <c r="C1265" s="881"/>
      <c r="D1265" s="907"/>
      <c r="E1265" s="882"/>
      <c r="F1265" s="883"/>
    </row>
    <row r="1266" spans="1:6">
      <c r="A1266" s="542"/>
      <c r="B1266" s="884" t="s">
        <v>1066</v>
      </c>
      <c r="C1266" s="885"/>
      <c r="D1266" s="888"/>
      <c r="E1266" s="886"/>
      <c r="F1266" s="887"/>
    </row>
    <row r="1267" spans="1:6">
      <c r="A1267" s="542"/>
      <c r="B1267" s="886"/>
      <c r="C1267" s="887"/>
      <c r="D1267" s="888" t="s">
        <v>1067</v>
      </c>
      <c r="E1267" s="886"/>
      <c r="F1267" s="887"/>
    </row>
    <row r="1268" spans="1:6">
      <c r="A1268" s="542"/>
      <c r="B1268" s="884" t="s">
        <v>1068</v>
      </c>
      <c r="C1268" s="885"/>
      <c r="D1268" s="888"/>
      <c r="E1268" s="886"/>
      <c r="F1268" s="887"/>
    </row>
    <row r="1269" spans="1:6">
      <c r="A1269" s="542"/>
      <c r="B1269" s="886"/>
      <c r="C1269" s="887"/>
      <c r="D1269" s="888"/>
      <c r="E1269" s="886"/>
      <c r="F1269" s="887"/>
    </row>
    <row r="1270" spans="1:6">
      <c r="A1270" s="542"/>
      <c r="B1270" s="886"/>
      <c r="C1270" s="887"/>
      <c r="D1270" s="888"/>
      <c r="E1270" s="886"/>
      <c r="F1270" s="887"/>
    </row>
    <row r="1271" spans="1:6">
      <c r="A1271" s="542" t="s">
        <v>1069</v>
      </c>
      <c r="B1271" s="886"/>
      <c r="C1271" s="887"/>
      <c r="D1271" s="563" t="s">
        <v>1069</v>
      </c>
      <c r="E1271" s="886"/>
      <c r="F1271" s="887"/>
    </row>
    <row r="1272" spans="1:6">
      <c r="A1272" s="542" t="s">
        <v>1070</v>
      </c>
      <c r="B1272" s="891" t="s">
        <v>1071</v>
      </c>
      <c r="C1272" s="892"/>
      <c r="D1272" s="563" t="s">
        <v>1070</v>
      </c>
      <c r="E1272" s="893" t="s">
        <v>1072</v>
      </c>
      <c r="F1272" s="894"/>
    </row>
    <row r="1273" spans="1:6">
      <c r="A1273" s="542" t="s">
        <v>1073</v>
      </c>
      <c r="B1273" s="884" t="s">
        <v>1074</v>
      </c>
      <c r="C1273" s="885"/>
      <c r="D1273" s="563" t="s">
        <v>1073</v>
      </c>
      <c r="E1273" s="886" t="s">
        <v>1075</v>
      </c>
      <c r="F1273" s="887"/>
    </row>
    <row r="1274" spans="1:6">
      <c r="A1274" s="542"/>
      <c r="B1274" s="886"/>
      <c r="C1274" s="887"/>
      <c r="D1274" s="563"/>
      <c r="E1274" s="886"/>
      <c r="F1274" s="887"/>
    </row>
    <row r="1275" spans="1:6">
      <c r="A1275" s="542" t="s">
        <v>1045</v>
      </c>
      <c r="B1275" s="564"/>
      <c r="C1275" s="562"/>
      <c r="D1275" s="563" t="s">
        <v>1045</v>
      </c>
      <c r="E1275" s="564"/>
      <c r="F1275" s="565"/>
    </row>
    <row r="1276" spans="1:6">
      <c r="A1276" s="545"/>
      <c r="B1276" s="895"/>
      <c r="C1276" s="896"/>
      <c r="D1276" s="566"/>
      <c r="E1276" s="897"/>
      <c r="F1276" s="898"/>
    </row>
    <row r="1278" spans="1:6">
      <c r="A1278" s="837" t="s">
        <v>1036</v>
      </c>
      <c r="B1278" s="837"/>
      <c r="C1278" s="837"/>
      <c r="D1278" s="837"/>
      <c r="E1278" s="837"/>
      <c r="F1278" s="837"/>
    </row>
    <row r="1279" spans="1:6">
      <c r="A1279" s="838" t="s">
        <v>1037</v>
      </c>
      <c r="B1279" s="838"/>
      <c r="C1279" s="838"/>
      <c r="D1279" s="838"/>
      <c r="E1279" s="838"/>
      <c r="F1279" s="837"/>
    </row>
    <row r="1280" spans="1:6">
      <c r="A1280" s="908" t="s">
        <v>1038</v>
      </c>
      <c r="B1280" s="908"/>
      <c r="C1280" s="908"/>
      <c r="D1280" s="908"/>
      <c r="E1280" s="908"/>
      <c r="F1280" s="908"/>
    </row>
    <row r="1281" spans="1:6" ht="15.75">
      <c r="A1281" s="872" t="s">
        <v>1039</v>
      </c>
      <c r="B1281" s="901"/>
      <c r="C1281" s="901"/>
      <c r="D1281" s="902"/>
      <c r="E1281" s="865" t="s">
        <v>1150</v>
      </c>
      <c r="F1281" s="866"/>
    </row>
    <row r="1282" spans="1:6">
      <c r="A1282" s="539" t="s">
        <v>1042</v>
      </c>
      <c r="B1282" s="874"/>
      <c r="C1282" s="897"/>
      <c r="D1282" s="898"/>
      <c r="E1282" s="540"/>
      <c r="F1282" s="541"/>
    </row>
    <row r="1283" spans="1:6" ht="18.75">
      <c r="A1283" s="539" t="s">
        <v>1043</v>
      </c>
      <c r="B1283" s="876" t="s">
        <v>1151</v>
      </c>
      <c r="C1283" s="903"/>
      <c r="D1283" s="904"/>
      <c r="E1283" s="542" t="s">
        <v>1045</v>
      </c>
      <c r="F1283" s="543"/>
    </row>
    <row r="1284" spans="1:6">
      <c r="A1284" s="544" t="s">
        <v>1046</v>
      </c>
      <c r="B1284" s="865" t="s">
        <v>1047</v>
      </c>
      <c r="C1284" s="905"/>
      <c r="D1284" s="866"/>
      <c r="E1284" s="545"/>
      <c r="F1284" s="546"/>
    </row>
    <row r="1285" spans="1:6">
      <c r="A1285" s="544" t="s">
        <v>1048</v>
      </c>
      <c r="B1285" s="889" t="s">
        <v>1049</v>
      </c>
      <c r="C1285" s="889" t="s">
        <v>1050</v>
      </c>
      <c r="D1285" s="547" t="s">
        <v>1051</v>
      </c>
      <c r="E1285" s="861" t="s">
        <v>1052</v>
      </c>
      <c r="F1285" s="862"/>
    </row>
    <row r="1286" spans="1:6">
      <c r="A1286" s="548" t="s">
        <v>1053</v>
      </c>
      <c r="B1286" s="890"/>
      <c r="C1286" s="890"/>
      <c r="D1286" s="549" t="s">
        <v>1054</v>
      </c>
      <c r="E1286" s="863"/>
      <c r="F1286" s="864"/>
    </row>
    <row r="1287" spans="1:6">
      <c r="A1287" s="544"/>
      <c r="B1287" s="578" t="s">
        <v>1055</v>
      </c>
      <c r="C1287" s="544"/>
      <c r="D1287" s="544">
        <v>300</v>
      </c>
      <c r="E1287" s="540"/>
      <c r="F1287" s="541"/>
    </row>
    <row r="1288" spans="1:6">
      <c r="A1288" s="551"/>
      <c r="B1288" s="542"/>
      <c r="C1288" s="551"/>
      <c r="D1288" s="551"/>
      <c r="E1288" s="542"/>
      <c r="F1288" s="543"/>
    </row>
    <row r="1289" spans="1:6">
      <c r="A1289" s="551"/>
      <c r="B1289" s="551" t="s">
        <v>1152</v>
      </c>
      <c r="C1289" s="551">
        <v>1919</v>
      </c>
      <c r="D1289" s="551"/>
      <c r="E1289" s="542"/>
      <c r="F1289" s="543"/>
    </row>
    <row r="1290" spans="1:6">
      <c r="A1290" s="551"/>
      <c r="B1290" s="551" t="s">
        <v>1153</v>
      </c>
      <c r="C1290" s="551"/>
      <c r="D1290" s="553"/>
      <c r="E1290" s="542"/>
      <c r="F1290" s="543"/>
    </row>
    <row r="1291" spans="1:6">
      <c r="A1291" s="551"/>
      <c r="B1291" s="551"/>
      <c r="C1291" s="551"/>
      <c r="D1291" s="551"/>
      <c r="E1291" s="542"/>
      <c r="F1291" s="543"/>
    </row>
    <row r="1292" spans="1:6">
      <c r="A1292" s="551"/>
      <c r="B1292" s="552" t="s">
        <v>1057</v>
      </c>
      <c r="C1292" s="551"/>
      <c r="D1292" s="551">
        <v>215</v>
      </c>
      <c r="E1292" s="542"/>
      <c r="F1292" s="543"/>
    </row>
    <row r="1293" spans="1:6">
      <c r="A1293" s="551"/>
      <c r="B1293" s="582" t="s">
        <v>1154</v>
      </c>
      <c r="C1293" s="551"/>
      <c r="D1293" s="551"/>
      <c r="E1293" s="542"/>
      <c r="F1293" s="543"/>
    </row>
    <row r="1294" spans="1:6">
      <c r="A1294" s="551"/>
      <c r="B1294" s="551" t="s">
        <v>1137</v>
      </c>
      <c r="C1294" s="591"/>
      <c r="D1294" s="591"/>
      <c r="E1294" s="542"/>
      <c r="F1294" s="554"/>
    </row>
    <row r="1295" spans="1:6">
      <c r="A1295" s="551"/>
      <c r="C1295" s="591"/>
      <c r="D1295" s="591"/>
      <c r="F1295" s="555"/>
    </row>
    <row r="1296" spans="1:6">
      <c r="A1296" s="551"/>
      <c r="B1296" s="542" t="s">
        <v>1102</v>
      </c>
      <c r="C1296" s="551"/>
      <c r="D1296" s="551"/>
      <c r="E1296" s="542"/>
      <c r="F1296" s="585">
        <f>+'[1]POW bdf 2016'!F94</f>
        <v>172242</v>
      </c>
    </row>
    <row r="1297" spans="1:6">
      <c r="A1297" s="551"/>
      <c r="B1297" s="542" t="s">
        <v>1103</v>
      </c>
      <c r="C1297" s="551"/>
      <c r="D1297" s="551"/>
      <c r="E1297" s="542"/>
      <c r="F1297" s="586">
        <f>+'[1]POW bdf 2016'!F95</f>
        <v>68896.800000000003</v>
      </c>
    </row>
    <row r="1298" spans="1:6" ht="15.75">
      <c r="A1298" s="551"/>
      <c r="B1298" s="573" t="s">
        <v>1155</v>
      </c>
      <c r="C1298" s="556"/>
      <c r="D1298" s="551"/>
      <c r="E1298" s="542"/>
      <c r="F1298" s="587">
        <v>8850</v>
      </c>
    </row>
    <row r="1299" spans="1:6">
      <c r="A1299" s="551"/>
      <c r="B1299" s="573"/>
      <c r="C1299" s="584"/>
      <c r="D1299" s="551"/>
      <c r="E1299" s="542"/>
      <c r="F1299" s="554"/>
    </row>
    <row r="1300" spans="1:6">
      <c r="A1300" s="551"/>
      <c r="B1300" s="573"/>
      <c r="C1300" s="551"/>
      <c r="D1300" s="551"/>
      <c r="E1300" s="542"/>
      <c r="F1300" s="554"/>
    </row>
    <row r="1301" spans="1:6">
      <c r="A1301" s="551"/>
      <c r="B1301" s="573"/>
      <c r="C1301" s="551"/>
      <c r="D1301" s="551"/>
      <c r="E1301" s="542"/>
      <c r="F1301" s="554"/>
    </row>
    <row r="1302" spans="1:6">
      <c r="A1302" s="551"/>
      <c r="B1302" s="558"/>
      <c r="C1302" s="551"/>
      <c r="D1302" s="551"/>
      <c r="E1302" s="542"/>
      <c r="F1302" s="543"/>
    </row>
    <row r="1303" spans="1:6">
      <c r="A1303" s="551"/>
      <c r="B1303" s="558"/>
      <c r="C1303" s="551"/>
      <c r="D1303" s="551"/>
      <c r="E1303" s="542"/>
      <c r="F1303" s="543"/>
    </row>
    <row r="1304" spans="1:6">
      <c r="A1304" s="551"/>
      <c r="B1304" s="558"/>
      <c r="C1304" s="551"/>
      <c r="D1304" s="551"/>
      <c r="E1304" s="542"/>
      <c r="F1304" s="543"/>
    </row>
    <row r="1305" spans="1:6">
      <c r="A1305" s="551"/>
      <c r="B1305" s="542"/>
      <c r="C1305" s="551"/>
      <c r="D1305" s="551"/>
      <c r="E1305" s="542"/>
      <c r="F1305" s="543"/>
    </row>
    <row r="1306" spans="1:6">
      <c r="A1306" s="548"/>
      <c r="B1306" s="545"/>
      <c r="C1306" s="548"/>
      <c r="D1306" s="548"/>
      <c r="E1306" s="545"/>
      <c r="F1306" s="546"/>
    </row>
    <row r="1307" spans="1:6">
      <c r="A1307" s="878" t="s">
        <v>1062</v>
      </c>
      <c r="B1307" s="879"/>
      <c r="C1307" s="879"/>
      <c r="D1307" s="906"/>
      <c r="E1307" s="559"/>
      <c r="F1307" s="560">
        <f>SUM(F1296:F1306)</f>
        <v>249988.8</v>
      </c>
    </row>
    <row r="1308" spans="1:6">
      <c r="A1308" s="540" t="s">
        <v>1064</v>
      </c>
      <c r="B1308" s="880" t="s">
        <v>1065</v>
      </c>
      <c r="C1308" s="881"/>
      <c r="D1308" s="907"/>
      <c r="E1308" s="882"/>
      <c r="F1308" s="883"/>
    </row>
    <row r="1309" spans="1:6">
      <c r="A1309" s="542"/>
      <c r="B1309" s="884" t="s">
        <v>1066</v>
      </c>
      <c r="C1309" s="885"/>
      <c r="D1309" s="888"/>
      <c r="E1309" s="886"/>
      <c r="F1309" s="887"/>
    </row>
    <row r="1310" spans="1:6">
      <c r="A1310" s="542"/>
      <c r="B1310" s="886"/>
      <c r="C1310" s="887"/>
      <c r="D1310" s="888" t="s">
        <v>1067</v>
      </c>
      <c r="E1310" s="886"/>
      <c r="F1310" s="887"/>
    </row>
    <row r="1311" spans="1:6">
      <c r="A1311" s="542"/>
      <c r="B1311" s="884" t="s">
        <v>1068</v>
      </c>
      <c r="C1311" s="885"/>
      <c r="D1311" s="888"/>
      <c r="E1311" s="886"/>
      <c r="F1311" s="887"/>
    </row>
    <row r="1312" spans="1:6">
      <c r="A1312" s="542"/>
      <c r="B1312" s="886"/>
      <c r="C1312" s="887"/>
      <c r="D1312" s="888"/>
      <c r="E1312" s="886"/>
      <c r="F1312" s="887"/>
    </row>
    <row r="1313" spans="1:6">
      <c r="A1313" s="542"/>
      <c r="B1313" s="886"/>
      <c r="C1313" s="887"/>
      <c r="D1313" s="888"/>
      <c r="E1313" s="886"/>
      <c r="F1313" s="887"/>
    </row>
    <row r="1314" spans="1:6">
      <c r="A1314" s="542" t="s">
        <v>1069</v>
      </c>
      <c r="B1314" s="886"/>
      <c r="C1314" s="887"/>
      <c r="D1314" s="563" t="s">
        <v>1069</v>
      </c>
      <c r="E1314" s="886"/>
      <c r="F1314" s="887"/>
    </row>
    <row r="1315" spans="1:6">
      <c r="A1315" s="542" t="s">
        <v>1070</v>
      </c>
      <c r="B1315" s="891" t="s">
        <v>1071</v>
      </c>
      <c r="C1315" s="892"/>
      <c r="D1315" s="563" t="s">
        <v>1070</v>
      </c>
      <c r="E1315" s="893" t="s">
        <v>1072</v>
      </c>
      <c r="F1315" s="894"/>
    </row>
    <row r="1316" spans="1:6">
      <c r="A1316" s="542" t="s">
        <v>1073</v>
      </c>
      <c r="B1316" s="884" t="s">
        <v>1074</v>
      </c>
      <c r="C1316" s="885"/>
      <c r="D1316" s="563" t="s">
        <v>1073</v>
      </c>
      <c r="E1316" s="886" t="s">
        <v>1075</v>
      </c>
      <c r="F1316" s="887"/>
    </row>
    <row r="1317" spans="1:6">
      <c r="A1317" s="542"/>
      <c r="B1317" s="886"/>
      <c r="C1317" s="887"/>
      <c r="D1317" s="563"/>
      <c r="E1317" s="886"/>
      <c r="F1317" s="887"/>
    </row>
    <row r="1318" spans="1:6">
      <c r="A1318" s="542" t="s">
        <v>1045</v>
      </c>
      <c r="B1318" s="564"/>
      <c r="C1318" s="562"/>
      <c r="D1318" s="563" t="s">
        <v>1045</v>
      </c>
      <c r="E1318" s="564"/>
      <c r="F1318" s="565"/>
    </row>
    <row r="1319" spans="1:6">
      <c r="A1319" s="545"/>
      <c r="B1319" s="895"/>
      <c r="C1319" s="896"/>
      <c r="D1319" s="566"/>
      <c r="E1319" s="897"/>
      <c r="F1319" s="898"/>
    </row>
    <row r="1321" spans="1:6">
      <c r="A1321" s="837" t="s">
        <v>1113</v>
      </c>
      <c r="B1321" s="837"/>
      <c r="C1321" s="837"/>
      <c r="D1321" s="837"/>
      <c r="E1321" s="837"/>
      <c r="F1321" s="837"/>
    </row>
    <row r="1322" spans="1:6">
      <c r="A1322" s="838" t="s">
        <v>1037</v>
      </c>
      <c r="B1322" s="838"/>
      <c r="C1322" s="838"/>
      <c r="D1322" s="838"/>
      <c r="E1322" s="838"/>
      <c r="F1322" s="837"/>
    </row>
    <row r="1323" spans="1:6">
      <c r="A1323" s="908" t="s">
        <v>1038</v>
      </c>
      <c r="B1323" s="908"/>
      <c r="C1323" s="908"/>
      <c r="D1323" s="908"/>
      <c r="E1323" s="908"/>
      <c r="F1323" s="908"/>
    </row>
    <row r="1324" spans="1:6" ht="15.75">
      <c r="A1324" s="872" t="s">
        <v>1039</v>
      </c>
      <c r="B1324" s="901"/>
      <c r="C1324" s="901"/>
      <c r="D1324" s="902"/>
      <c r="E1324" s="865" t="s">
        <v>1150</v>
      </c>
      <c r="F1324" s="866"/>
    </row>
    <row r="1325" spans="1:6">
      <c r="A1325" s="539" t="s">
        <v>1042</v>
      </c>
      <c r="B1325" s="874"/>
      <c r="C1325" s="897"/>
      <c r="D1325" s="898"/>
      <c r="E1325" s="540"/>
      <c r="F1325" s="541"/>
    </row>
    <row r="1326" spans="1:6" ht="18.75">
      <c r="A1326" s="539" t="s">
        <v>1043</v>
      </c>
      <c r="B1326" s="876" t="s">
        <v>1151</v>
      </c>
      <c r="C1326" s="903"/>
      <c r="D1326" s="904"/>
      <c r="E1326" s="542" t="s">
        <v>1045</v>
      </c>
      <c r="F1326" s="543"/>
    </row>
    <row r="1327" spans="1:6">
      <c r="A1327" s="544" t="s">
        <v>1046</v>
      </c>
      <c r="B1327" s="865" t="s">
        <v>1047</v>
      </c>
      <c r="C1327" s="905"/>
      <c r="D1327" s="866"/>
      <c r="E1327" s="545"/>
      <c r="F1327" s="546"/>
    </row>
    <row r="1328" spans="1:6">
      <c r="A1328" s="544" t="s">
        <v>1048</v>
      </c>
      <c r="B1328" s="889" t="s">
        <v>1049</v>
      </c>
      <c r="C1328" s="889" t="s">
        <v>1050</v>
      </c>
      <c r="D1328" s="547" t="s">
        <v>1051</v>
      </c>
      <c r="E1328" s="861" t="s">
        <v>1052</v>
      </c>
      <c r="F1328" s="862"/>
    </row>
    <row r="1329" spans="1:6">
      <c r="A1329" s="548" t="s">
        <v>1053</v>
      </c>
      <c r="B1329" s="890"/>
      <c r="C1329" s="890"/>
      <c r="D1329" s="549" t="s">
        <v>1054</v>
      </c>
      <c r="E1329" s="863"/>
      <c r="F1329" s="864"/>
    </row>
    <row r="1330" spans="1:6">
      <c r="A1330" s="544"/>
      <c r="B1330" s="578" t="s">
        <v>1055</v>
      </c>
      <c r="C1330" s="544"/>
      <c r="D1330" s="544">
        <v>300</v>
      </c>
      <c r="E1330" s="540"/>
      <c r="F1330" s="541"/>
    </row>
    <row r="1331" spans="1:6">
      <c r="A1331" s="551"/>
      <c r="B1331" s="542"/>
      <c r="C1331" s="551"/>
      <c r="D1331" s="551"/>
      <c r="E1331" s="542"/>
      <c r="F1331" s="543"/>
    </row>
    <row r="1332" spans="1:6">
      <c r="A1332" s="551"/>
      <c r="B1332" s="551" t="s">
        <v>1152</v>
      </c>
      <c r="C1332" s="551">
        <v>1919</v>
      </c>
      <c r="D1332" s="551"/>
      <c r="E1332" s="542"/>
      <c r="F1332" s="543"/>
    </row>
    <row r="1333" spans="1:6">
      <c r="A1333" s="551"/>
      <c r="B1333" s="551" t="s">
        <v>1153</v>
      </c>
      <c r="C1333" s="551"/>
      <c r="D1333" s="553"/>
      <c r="E1333" s="542"/>
      <c r="F1333" s="543"/>
    </row>
    <row r="1334" spans="1:6">
      <c r="A1334" s="551"/>
      <c r="B1334" s="551"/>
      <c r="C1334" s="551"/>
      <c r="D1334" s="551"/>
      <c r="E1334" s="542"/>
      <c r="F1334" s="543"/>
    </row>
    <row r="1335" spans="1:6">
      <c r="A1335" s="551"/>
      <c r="B1335" s="552" t="s">
        <v>1057</v>
      </c>
      <c r="C1335" s="551"/>
      <c r="D1335" s="551">
        <v>215</v>
      </c>
      <c r="E1335" s="542"/>
      <c r="F1335" s="543"/>
    </row>
    <row r="1336" spans="1:6">
      <c r="A1336" s="551"/>
      <c r="B1336" s="582" t="s">
        <v>1156</v>
      </c>
      <c r="C1336" s="551"/>
      <c r="D1336" s="551"/>
      <c r="E1336" s="542"/>
      <c r="F1336" s="543"/>
    </row>
    <row r="1337" spans="1:6">
      <c r="A1337" s="551"/>
      <c r="B1337" s="551" t="s">
        <v>1157</v>
      </c>
      <c r="C1337" s="591"/>
      <c r="D1337" s="591"/>
      <c r="E1337" s="542"/>
      <c r="F1337" s="554"/>
    </row>
    <row r="1338" spans="1:6">
      <c r="A1338" s="551"/>
      <c r="C1338" s="591"/>
      <c r="D1338" s="591"/>
      <c r="F1338" s="555"/>
    </row>
    <row r="1339" spans="1:6">
      <c r="A1339" s="551"/>
      <c r="B1339" s="542" t="s">
        <v>1102</v>
      </c>
      <c r="C1339" s="551"/>
      <c r="D1339" s="551"/>
      <c r="E1339" s="542"/>
      <c r="F1339" s="585">
        <f>'[1]POW bdf 2016'!F265</f>
        <v>238856.5</v>
      </c>
    </row>
    <row r="1340" spans="1:6">
      <c r="A1340" s="551"/>
      <c r="B1340" s="542" t="s">
        <v>1103</v>
      </c>
      <c r="C1340" s="551"/>
      <c r="D1340" s="551"/>
      <c r="E1340" s="542"/>
      <c r="F1340" s="586">
        <f>'[1]POW bdf 2016'!F266</f>
        <v>95542.6</v>
      </c>
    </row>
    <row r="1341" spans="1:6" ht="15.75">
      <c r="A1341" s="551"/>
      <c r="B1341" s="573" t="s">
        <v>1155</v>
      </c>
      <c r="C1341" s="556"/>
      <c r="D1341" s="551"/>
      <c r="E1341" s="542"/>
      <c r="F1341" s="587">
        <f>'[1]POW bdf 2016'!H267</f>
        <v>15600</v>
      </c>
    </row>
    <row r="1342" spans="1:6">
      <c r="A1342" s="551"/>
      <c r="B1342" s="573"/>
      <c r="C1342" s="584"/>
      <c r="D1342" s="551"/>
      <c r="E1342" s="542"/>
      <c r="F1342" s="554"/>
    </row>
    <row r="1343" spans="1:6">
      <c r="A1343" s="551"/>
      <c r="B1343" s="573"/>
      <c r="C1343" s="551"/>
      <c r="D1343" s="551"/>
      <c r="E1343" s="542"/>
      <c r="F1343" s="554"/>
    </row>
    <row r="1344" spans="1:6">
      <c r="A1344" s="551"/>
      <c r="B1344" s="573"/>
      <c r="C1344" s="551"/>
      <c r="D1344" s="551"/>
      <c r="E1344" s="542"/>
      <c r="F1344" s="554"/>
    </row>
    <row r="1345" spans="1:6">
      <c r="A1345" s="551"/>
      <c r="B1345" s="558"/>
      <c r="C1345" s="551"/>
      <c r="D1345" s="551"/>
      <c r="E1345" s="542"/>
      <c r="F1345" s="543"/>
    </row>
    <row r="1346" spans="1:6">
      <c r="A1346" s="551"/>
      <c r="B1346" s="558"/>
      <c r="C1346" s="551"/>
      <c r="D1346" s="551"/>
      <c r="E1346" s="542"/>
      <c r="F1346" s="543"/>
    </row>
    <row r="1347" spans="1:6">
      <c r="A1347" s="551"/>
      <c r="B1347" s="558"/>
      <c r="C1347" s="551"/>
      <c r="D1347" s="551"/>
      <c r="E1347" s="542"/>
      <c r="F1347" s="543"/>
    </row>
    <row r="1348" spans="1:6">
      <c r="A1348" s="551"/>
      <c r="B1348" s="542"/>
      <c r="C1348" s="551"/>
      <c r="D1348" s="551"/>
      <c r="E1348" s="542"/>
      <c r="F1348" s="543"/>
    </row>
    <row r="1349" spans="1:6">
      <c r="A1349" s="548"/>
      <c r="B1349" s="545"/>
      <c r="C1349" s="548"/>
      <c r="D1349" s="548"/>
      <c r="E1349" s="545"/>
      <c r="F1349" s="546"/>
    </row>
    <row r="1350" spans="1:6">
      <c r="A1350" s="878" t="s">
        <v>1062</v>
      </c>
      <c r="B1350" s="879"/>
      <c r="C1350" s="879"/>
      <c r="D1350" s="906"/>
      <c r="E1350" s="559"/>
      <c r="F1350" s="560">
        <f>SUM(F1339:F1349)</f>
        <v>349999.1</v>
      </c>
    </row>
    <row r="1351" spans="1:6">
      <c r="A1351" s="540" t="s">
        <v>1064</v>
      </c>
      <c r="B1351" s="880" t="s">
        <v>1065</v>
      </c>
      <c r="C1351" s="881"/>
      <c r="D1351" s="907"/>
      <c r="E1351" s="882"/>
      <c r="F1351" s="883"/>
    </row>
    <row r="1352" spans="1:6">
      <c r="A1352" s="542"/>
      <c r="B1352" s="884" t="s">
        <v>1066</v>
      </c>
      <c r="C1352" s="885"/>
      <c r="D1352" s="888"/>
      <c r="E1352" s="886"/>
      <c r="F1352" s="887"/>
    </row>
    <row r="1353" spans="1:6">
      <c r="A1353" s="542"/>
      <c r="B1353" s="886"/>
      <c r="C1353" s="887"/>
      <c r="D1353" s="888" t="s">
        <v>1067</v>
      </c>
      <c r="E1353" s="886"/>
      <c r="F1353" s="887"/>
    </row>
    <row r="1354" spans="1:6">
      <c r="A1354" s="542"/>
      <c r="B1354" s="884" t="s">
        <v>1068</v>
      </c>
      <c r="C1354" s="885"/>
      <c r="D1354" s="888"/>
      <c r="E1354" s="886"/>
      <c r="F1354" s="887"/>
    </row>
    <row r="1355" spans="1:6">
      <c r="A1355" s="542"/>
      <c r="B1355" s="886"/>
      <c r="C1355" s="887"/>
      <c r="D1355" s="888"/>
      <c r="E1355" s="886"/>
      <c r="F1355" s="887"/>
    </row>
    <row r="1356" spans="1:6">
      <c r="A1356" s="542"/>
      <c r="B1356" s="886"/>
      <c r="C1356" s="887"/>
      <c r="D1356" s="888"/>
      <c r="E1356" s="886"/>
      <c r="F1356" s="887"/>
    </row>
    <row r="1357" spans="1:6">
      <c r="A1357" s="542" t="s">
        <v>1069</v>
      </c>
      <c r="B1357" s="886"/>
      <c r="C1357" s="887"/>
      <c r="D1357" s="563" t="s">
        <v>1069</v>
      </c>
      <c r="E1357" s="886"/>
      <c r="F1357" s="887"/>
    </row>
    <row r="1358" spans="1:6">
      <c r="A1358" s="542" t="s">
        <v>1070</v>
      </c>
      <c r="B1358" s="891" t="s">
        <v>1071</v>
      </c>
      <c r="C1358" s="892"/>
      <c r="D1358" s="563" t="s">
        <v>1070</v>
      </c>
      <c r="E1358" s="893" t="s">
        <v>1072</v>
      </c>
      <c r="F1358" s="894"/>
    </row>
    <row r="1359" spans="1:6">
      <c r="A1359" s="542" t="s">
        <v>1073</v>
      </c>
      <c r="B1359" s="884" t="s">
        <v>1074</v>
      </c>
      <c r="C1359" s="885"/>
      <c r="D1359" s="563" t="s">
        <v>1073</v>
      </c>
      <c r="E1359" s="886" t="s">
        <v>1075</v>
      </c>
      <c r="F1359" s="887"/>
    </row>
    <row r="1360" spans="1:6">
      <c r="A1360" s="542"/>
      <c r="B1360" s="886"/>
      <c r="C1360" s="887"/>
      <c r="D1360" s="563"/>
      <c r="E1360" s="886"/>
      <c r="F1360" s="887"/>
    </row>
    <row r="1361" spans="1:6">
      <c r="A1361" s="542" t="s">
        <v>1045</v>
      </c>
      <c r="B1361" s="564"/>
      <c r="C1361" s="562"/>
      <c r="D1361" s="563" t="s">
        <v>1045</v>
      </c>
      <c r="E1361" s="564"/>
      <c r="F1361" s="565"/>
    </row>
    <row r="1362" spans="1:6">
      <c r="A1362" s="545"/>
      <c r="B1362" s="895"/>
      <c r="C1362" s="896"/>
      <c r="D1362" s="566"/>
      <c r="E1362" s="897"/>
      <c r="F1362" s="898"/>
    </row>
    <row r="1364" spans="1:6">
      <c r="A1364" s="837" t="s">
        <v>1113</v>
      </c>
      <c r="B1364" s="837"/>
      <c r="C1364" s="837"/>
      <c r="D1364" s="837"/>
      <c r="E1364" s="837"/>
      <c r="F1364" s="837"/>
    </row>
    <row r="1365" spans="1:6">
      <c r="A1365" s="838" t="s">
        <v>1037</v>
      </c>
      <c r="B1365" s="838"/>
      <c r="C1365" s="838"/>
      <c r="D1365" s="838"/>
      <c r="E1365" s="838"/>
      <c r="F1365" s="837"/>
    </row>
    <row r="1366" spans="1:6">
      <c r="A1366" s="908" t="s">
        <v>1038</v>
      </c>
      <c r="B1366" s="908"/>
      <c r="C1366" s="908"/>
      <c r="D1366" s="908"/>
      <c r="E1366" s="908"/>
      <c r="F1366" s="908"/>
    </row>
    <row r="1367" spans="1:6" ht="15.75">
      <c r="A1367" s="872" t="s">
        <v>1039</v>
      </c>
      <c r="B1367" s="901"/>
      <c r="C1367" s="901"/>
      <c r="D1367" s="902"/>
      <c r="E1367" s="865" t="s">
        <v>1158</v>
      </c>
      <c r="F1367" s="866"/>
    </row>
    <row r="1368" spans="1:6">
      <c r="A1368" s="539" t="s">
        <v>1042</v>
      </c>
      <c r="B1368" s="874"/>
      <c r="C1368" s="897"/>
      <c r="D1368" s="898"/>
      <c r="E1368" s="540"/>
      <c r="F1368" s="541"/>
    </row>
    <row r="1369" spans="1:6" ht="18.75">
      <c r="A1369" s="539" t="s">
        <v>1043</v>
      </c>
      <c r="B1369" s="876" t="s">
        <v>1151</v>
      </c>
      <c r="C1369" s="903"/>
      <c r="D1369" s="904"/>
      <c r="E1369" s="542" t="s">
        <v>1045</v>
      </c>
      <c r="F1369" s="543"/>
    </row>
    <row r="1370" spans="1:6">
      <c r="A1370" s="544" t="s">
        <v>1046</v>
      </c>
      <c r="B1370" s="865" t="s">
        <v>1047</v>
      </c>
      <c r="C1370" s="905"/>
      <c r="D1370" s="866"/>
      <c r="E1370" s="545"/>
      <c r="F1370" s="546"/>
    </row>
    <row r="1371" spans="1:6">
      <c r="A1371" s="544" t="s">
        <v>1048</v>
      </c>
      <c r="B1371" s="889" t="s">
        <v>1049</v>
      </c>
      <c r="C1371" s="889" t="s">
        <v>1050</v>
      </c>
      <c r="D1371" s="547" t="s">
        <v>1051</v>
      </c>
      <c r="E1371" s="861" t="s">
        <v>1052</v>
      </c>
      <c r="F1371" s="862"/>
    </row>
    <row r="1372" spans="1:6">
      <c r="A1372" s="548" t="s">
        <v>1053</v>
      </c>
      <c r="B1372" s="890"/>
      <c r="C1372" s="890"/>
      <c r="D1372" s="549" t="s">
        <v>1054</v>
      </c>
      <c r="E1372" s="863"/>
      <c r="F1372" s="864"/>
    </row>
    <row r="1373" spans="1:6">
      <c r="A1373" s="544"/>
      <c r="B1373" s="578" t="s">
        <v>1055</v>
      </c>
      <c r="C1373" s="544"/>
      <c r="D1373" s="544">
        <v>300</v>
      </c>
      <c r="E1373" s="540"/>
      <c r="F1373" s="541"/>
    </row>
    <row r="1374" spans="1:6">
      <c r="A1374" s="551"/>
      <c r="B1374" s="542"/>
      <c r="C1374" s="551"/>
      <c r="D1374" s="551"/>
      <c r="E1374" s="542"/>
      <c r="F1374" s="543"/>
    </row>
    <row r="1375" spans="1:6">
      <c r="A1375" s="551"/>
      <c r="B1375" s="551" t="s">
        <v>1152</v>
      </c>
      <c r="C1375" s="551">
        <v>1919</v>
      </c>
      <c r="D1375" s="551"/>
      <c r="E1375" s="542"/>
      <c r="F1375" s="543"/>
    </row>
    <row r="1376" spans="1:6">
      <c r="A1376" s="551"/>
      <c r="B1376" s="551" t="s">
        <v>1153</v>
      </c>
      <c r="C1376" s="551"/>
      <c r="D1376" s="553"/>
      <c r="E1376" s="542"/>
      <c r="F1376" s="543"/>
    </row>
    <row r="1377" spans="1:6">
      <c r="A1377" s="551"/>
      <c r="B1377" s="551"/>
      <c r="C1377" s="551"/>
      <c r="D1377" s="551"/>
      <c r="E1377" s="542"/>
      <c r="F1377" s="543"/>
    </row>
    <row r="1378" spans="1:6">
      <c r="A1378" s="551"/>
      <c r="B1378" s="552" t="s">
        <v>1057</v>
      </c>
      <c r="C1378" s="551"/>
      <c r="D1378" s="551">
        <v>215</v>
      </c>
      <c r="E1378" s="542"/>
      <c r="F1378" s="543"/>
    </row>
    <row r="1379" spans="1:6">
      <c r="A1379" s="551"/>
      <c r="B1379" s="582" t="s">
        <v>1159</v>
      </c>
      <c r="C1379" s="551"/>
      <c r="D1379" s="551"/>
      <c r="E1379" s="542"/>
      <c r="F1379" s="543"/>
    </row>
    <row r="1380" spans="1:6">
      <c r="A1380" s="551"/>
      <c r="B1380" s="551" t="s">
        <v>1111</v>
      </c>
      <c r="C1380" s="591"/>
      <c r="D1380" s="591"/>
      <c r="E1380" s="542"/>
      <c r="F1380" s="554"/>
    </row>
    <row r="1381" spans="1:6">
      <c r="A1381" s="551"/>
      <c r="C1381" s="591"/>
      <c r="D1381" s="591"/>
      <c r="F1381" s="555"/>
    </row>
    <row r="1382" spans="1:6">
      <c r="A1382" s="551"/>
      <c r="B1382" s="542" t="s">
        <v>1102</v>
      </c>
      <c r="C1382" s="551"/>
      <c r="D1382" s="551"/>
      <c r="E1382" s="542"/>
      <c r="F1382" s="585">
        <f>'[1]POW bdf 2016'!F405</f>
        <v>238857</v>
      </c>
    </row>
    <row r="1383" spans="1:6">
      <c r="A1383" s="551"/>
      <c r="B1383" s="542" t="s">
        <v>1103</v>
      </c>
      <c r="C1383" s="551"/>
      <c r="D1383" s="551"/>
      <c r="E1383" s="542"/>
      <c r="F1383" s="586">
        <f>'[1]POW bdf 2016'!F406</f>
        <v>95542.8</v>
      </c>
    </row>
    <row r="1384" spans="1:6" ht="15.75">
      <c r="A1384" s="551"/>
      <c r="B1384" s="573" t="s">
        <v>1155</v>
      </c>
      <c r="C1384" s="556"/>
      <c r="D1384" s="551"/>
      <c r="E1384" s="542"/>
      <c r="F1384" s="587">
        <f>'[1]POW bdf 2016'!H407</f>
        <v>15600</v>
      </c>
    </row>
    <row r="1385" spans="1:6">
      <c r="A1385" s="551"/>
      <c r="B1385" s="573"/>
      <c r="C1385" s="584"/>
      <c r="D1385" s="551"/>
      <c r="E1385" s="542"/>
      <c r="F1385" s="554"/>
    </row>
    <row r="1386" spans="1:6">
      <c r="A1386" s="551"/>
      <c r="B1386" s="573"/>
      <c r="C1386" s="551"/>
      <c r="D1386" s="551"/>
      <c r="E1386" s="542"/>
      <c r="F1386" s="554"/>
    </row>
    <row r="1387" spans="1:6">
      <c r="A1387" s="551"/>
      <c r="B1387" s="573"/>
      <c r="C1387" s="551"/>
      <c r="D1387" s="551"/>
      <c r="E1387" s="542"/>
      <c r="F1387" s="554"/>
    </row>
    <row r="1388" spans="1:6">
      <c r="A1388" s="551"/>
      <c r="B1388" s="558"/>
      <c r="C1388" s="551"/>
      <c r="D1388" s="551"/>
      <c r="E1388" s="542"/>
      <c r="F1388" s="543"/>
    </row>
    <row r="1389" spans="1:6">
      <c r="A1389" s="551"/>
      <c r="B1389" s="558"/>
      <c r="C1389" s="551"/>
      <c r="D1389" s="551"/>
      <c r="E1389" s="542"/>
      <c r="F1389" s="543"/>
    </row>
    <row r="1390" spans="1:6">
      <c r="A1390" s="551"/>
      <c r="B1390" s="558"/>
      <c r="C1390" s="551"/>
      <c r="D1390" s="551"/>
      <c r="E1390" s="542"/>
      <c r="F1390" s="543"/>
    </row>
    <row r="1391" spans="1:6">
      <c r="A1391" s="551"/>
      <c r="B1391" s="542"/>
      <c r="C1391" s="551"/>
      <c r="D1391" s="551"/>
      <c r="E1391" s="542"/>
      <c r="F1391" s="543"/>
    </row>
    <row r="1392" spans="1:6">
      <c r="A1392" s="548"/>
      <c r="B1392" s="545"/>
      <c r="C1392" s="548"/>
      <c r="D1392" s="548"/>
      <c r="E1392" s="545"/>
      <c r="F1392" s="546"/>
    </row>
    <row r="1393" spans="1:6">
      <c r="A1393" s="878" t="s">
        <v>1062</v>
      </c>
      <c r="B1393" s="879"/>
      <c r="C1393" s="879"/>
      <c r="D1393" s="906"/>
      <c r="E1393" s="559"/>
      <c r="F1393" s="560">
        <f>SUM(F1382:F1392)</f>
        <v>349999.8</v>
      </c>
    </row>
    <row r="1394" spans="1:6">
      <c r="A1394" s="540" t="s">
        <v>1064</v>
      </c>
      <c r="B1394" s="880" t="s">
        <v>1065</v>
      </c>
      <c r="C1394" s="881"/>
      <c r="D1394" s="907"/>
      <c r="E1394" s="882"/>
      <c r="F1394" s="883"/>
    </row>
    <row r="1395" spans="1:6">
      <c r="A1395" s="542"/>
      <c r="B1395" s="884" t="s">
        <v>1066</v>
      </c>
      <c r="C1395" s="885"/>
      <c r="D1395" s="888"/>
      <c r="E1395" s="886"/>
      <c r="F1395" s="887"/>
    </row>
    <row r="1396" spans="1:6">
      <c r="A1396" s="542"/>
      <c r="B1396" s="886"/>
      <c r="C1396" s="887"/>
      <c r="D1396" s="888" t="s">
        <v>1067</v>
      </c>
      <c r="E1396" s="886"/>
      <c r="F1396" s="887"/>
    </row>
    <row r="1397" spans="1:6">
      <c r="A1397" s="542"/>
      <c r="B1397" s="884" t="s">
        <v>1068</v>
      </c>
      <c r="C1397" s="885"/>
      <c r="D1397" s="888"/>
      <c r="E1397" s="886"/>
      <c r="F1397" s="887"/>
    </row>
    <row r="1398" spans="1:6">
      <c r="A1398" s="542"/>
      <c r="B1398" s="886"/>
      <c r="C1398" s="887"/>
      <c r="D1398" s="888"/>
      <c r="E1398" s="886"/>
      <c r="F1398" s="887"/>
    </row>
    <row r="1399" spans="1:6">
      <c r="A1399" s="542"/>
      <c r="B1399" s="886"/>
      <c r="C1399" s="887"/>
      <c r="D1399" s="888"/>
      <c r="E1399" s="886"/>
      <c r="F1399" s="887"/>
    </row>
    <row r="1400" spans="1:6">
      <c r="A1400" s="542" t="s">
        <v>1069</v>
      </c>
      <c r="B1400" s="886"/>
      <c r="C1400" s="887"/>
      <c r="D1400" s="563" t="s">
        <v>1069</v>
      </c>
      <c r="E1400" s="886"/>
      <c r="F1400" s="887"/>
    </row>
    <row r="1401" spans="1:6">
      <c r="A1401" s="542" t="s">
        <v>1070</v>
      </c>
      <c r="B1401" s="891" t="s">
        <v>1071</v>
      </c>
      <c r="C1401" s="892"/>
      <c r="D1401" s="563" t="s">
        <v>1070</v>
      </c>
      <c r="E1401" s="893" t="s">
        <v>1072</v>
      </c>
      <c r="F1401" s="894"/>
    </row>
    <row r="1402" spans="1:6">
      <c r="A1402" s="542" t="s">
        <v>1073</v>
      </c>
      <c r="B1402" s="884" t="s">
        <v>1074</v>
      </c>
      <c r="C1402" s="885"/>
      <c r="D1402" s="563" t="s">
        <v>1073</v>
      </c>
      <c r="E1402" s="886" t="s">
        <v>1075</v>
      </c>
      <c r="F1402" s="887"/>
    </row>
    <row r="1403" spans="1:6">
      <c r="A1403" s="542"/>
      <c r="B1403" s="886"/>
      <c r="C1403" s="887"/>
      <c r="D1403" s="563"/>
      <c r="E1403" s="886"/>
      <c r="F1403" s="887"/>
    </row>
    <row r="1404" spans="1:6">
      <c r="A1404" s="542" t="s">
        <v>1045</v>
      </c>
      <c r="B1404" s="564"/>
      <c r="C1404" s="562"/>
      <c r="D1404" s="563" t="s">
        <v>1045</v>
      </c>
      <c r="E1404" s="564"/>
      <c r="F1404" s="565"/>
    </row>
    <row r="1405" spans="1:6">
      <c r="A1405" s="545"/>
      <c r="B1405" s="895"/>
      <c r="C1405" s="896"/>
      <c r="D1405" s="566"/>
      <c r="E1405" s="897"/>
      <c r="F1405" s="898"/>
    </row>
    <row r="1407" spans="1:6">
      <c r="A1407" s="838" t="s">
        <v>1037</v>
      </c>
      <c r="B1407" s="838"/>
      <c r="C1407" s="838"/>
      <c r="D1407" s="838"/>
      <c r="E1407" s="838"/>
      <c r="F1407" s="837"/>
    </row>
    <row r="1408" spans="1:6">
      <c r="A1408" s="837" t="s">
        <v>1038</v>
      </c>
      <c r="B1408" s="837"/>
      <c r="C1408" s="837"/>
      <c r="D1408" s="837"/>
      <c r="E1408" s="837"/>
      <c r="F1408" s="837"/>
    </row>
    <row r="1409" spans="1:6">
      <c r="A1409" s="571"/>
      <c r="B1409" s="571"/>
      <c r="C1409" s="571"/>
      <c r="D1409" s="571"/>
      <c r="E1409" s="571"/>
      <c r="F1409" s="571"/>
    </row>
    <row r="1410" spans="1:6" ht="15.75">
      <c r="A1410" s="872" t="s">
        <v>1039</v>
      </c>
      <c r="B1410" s="901"/>
      <c r="C1410" s="901"/>
      <c r="D1410" s="902"/>
      <c r="E1410" s="865" t="s">
        <v>1160</v>
      </c>
      <c r="F1410" s="866"/>
    </row>
    <row r="1411" spans="1:6">
      <c r="A1411" s="539" t="s">
        <v>1042</v>
      </c>
      <c r="B1411" s="874"/>
      <c r="C1411" s="897"/>
      <c r="D1411" s="898"/>
      <c r="E1411" s="540"/>
      <c r="F1411" s="541"/>
    </row>
    <row r="1412" spans="1:6" ht="18.75">
      <c r="A1412" s="539" t="s">
        <v>1043</v>
      </c>
      <c r="B1412" s="876" t="s">
        <v>1151</v>
      </c>
      <c r="C1412" s="903"/>
      <c r="D1412" s="904"/>
      <c r="E1412" s="542" t="s">
        <v>1045</v>
      </c>
      <c r="F1412" s="543"/>
    </row>
    <row r="1413" spans="1:6">
      <c r="A1413" s="544" t="s">
        <v>1046</v>
      </c>
      <c r="B1413" s="865" t="s">
        <v>1047</v>
      </c>
      <c r="C1413" s="905"/>
      <c r="D1413" s="866"/>
      <c r="E1413" s="545"/>
      <c r="F1413" s="546"/>
    </row>
    <row r="1414" spans="1:6">
      <c r="A1414" s="544" t="s">
        <v>1048</v>
      </c>
      <c r="B1414" s="889" t="s">
        <v>1049</v>
      </c>
      <c r="C1414" s="889" t="s">
        <v>1050</v>
      </c>
      <c r="D1414" s="547" t="s">
        <v>1051</v>
      </c>
      <c r="E1414" s="861" t="s">
        <v>1052</v>
      </c>
      <c r="F1414" s="862"/>
    </row>
    <row r="1415" spans="1:6">
      <c r="A1415" s="548" t="s">
        <v>1053</v>
      </c>
      <c r="B1415" s="890"/>
      <c r="C1415" s="890"/>
      <c r="D1415" s="549" t="s">
        <v>1054</v>
      </c>
      <c r="E1415" s="863"/>
      <c r="F1415" s="864"/>
    </row>
    <row r="1416" spans="1:6">
      <c r="A1416" s="544"/>
      <c r="B1416" s="578" t="s">
        <v>1055</v>
      </c>
      <c r="C1416" s="544"/>
      <c r="D1416" s="544">
        <v>300</v>
      </c>
      <c r="E1416" s="540"/>
      <c r="F1416" s="541"/>
    </row>
    <row r="1417" spans="1:6">
      <c r="A1417" s="551"/>
      <c r="B1417" s="542"/>
      <c r="C1417" s="551"/>
      <c r="D1417" s="551"/>
      <c r="E1417" s="542"/>
      <c r="F1417" s="543"/>
    </row>
    <row r="1418" spans="1:6">
      <c r="A1418" s="551"/>
      <c r="B1418" s="551" t="s">
        <v>1152</v>
      </c>
      <c r="C1418" s="551">
        <v>1919</v>
      </c>
      <c r="D1418" s="551"/>
      <c r="E1418" s="542"/>
      <c r="F1418" s="543"/>
    </row>
    <row r="1419" spans="1:6">
      <c r="A1419" s="551"/>
      <c r="B1419" s="551" t="s">
        <v>1153</v>
      </c>
      <c r="C1419" s="551"/>
      <c r="D1419" s="553"/>
      <c r="E1419" s="542"/>
      <c r="F1419" s="543"/>
    </row>
    <row r="1420" spans="1:6">
      <c r="A1420" s="551"/>
      <c r="B1420" s="551"/>
      <c r="C1420" s="551"/>
      <c r="D1420" s="551"/>
      <c r="E1420" s="542"/>
      <c r="F1420" s="543"/>
    </row>
    <row r="1421" spans="1:6">
      <c r="A1421" s="551"/>
      <c r="B1421" s="552" t="s">
        <v>1057</v>
      </c>
      <c r="C1421" s="551"/>
      <c r="D1421" s="551">
        <v>215</v>
      </c>
      <c r="E1421" s="542"/>
      <c r="F1421" s="543"/>
    </row>
    <row r="1422" spans="1:6">
      <c r="A1422" s="551"/>
      <c r="B1422" s="582" t="s">
        <v>1161</v>
      </c>
      <c r="C1422" s="551"/>
      <c r="D1422" s="551"/>
      <c r="E1422" s="542"/>
      <c r="F1422" s="543"/>
    </row>
    <row r="1423" spans="1:6">
      <c r="A1423" s="551"/>
      <c r="B1423" s="551" t="s">
        <v>1162</v>
      </c>
      <c r="C1423" s="591"/>
      <c r="D1423" s="591"/>
      <c r="E1423" s="542"/>
      <c r="F1423" s="554"/>
    </row>
    <row r="1424" spans="1:6">
      <c r="A1424" s="551"/>
      <c r="C1424" s="591"/>
      <c r="D1424" s="591"/>
      <c r="F1424" s="555"/>
    </row>
    <row r="1425" spans="1:6">
      <c r="A1425" s="551"/>
      <c r="B1425" s="542" t="s">
        <v>1102</v>
      </c>
      <c r="C1425" s="551"/>
      <c r="D1425" s="551"/>
      <c r="E1425" s="542"/>
      <c r="F1425" s="585">
        <f>'[1]POW bdf 2016'!F500</f>
        <v>175533</v>
      </c>
    </row>
    <row r="1426" spans="1:6">
      <c r="A1426" s="551"/>
      <c r="B1426" s="542" t="s">
        <v>1103</v>
      </c>
      <c r="C1426" s="551"/>
      <c r="D1426" s="551"/>
      <c r="E1426" s="542"/>
      <c r="F1426" s="586">
        <f>'[1]POW bdf 2016'!F501</f>
        <v>70213.2</v>
      </c>
    </row>
    <row r="1427" spans="1:6" ht="15.75">
      <c r="A1427" s="551"/>
      <c r="B1427" s="573" t="s">
        <v>1155</v>
      </c>
      <c r="C1427" s="556"/>
      <c r="D1427" s="551"/>
      <c r="E1427" s="542"/>
    </row>
    <row r="1428" spans="1:6">
      <c r="A1428" s="551"/>
      <c r="B1428" s="573"/>
      <c r="C1428" s="584"/>
      <c r="D1428" s="551"/>
      <c r="E1428" s="542"/>
      <c r="F1428" s="587">
        <f>'[1]POW bdf 2016'!G500</f>
        <v>4250</v>
      </c>
    </row>
    <row r="1429" spans="1:6">
      <c r="A1429" s="551"/>
      <c r="B1429" s="573"/>
      <c r="C1429" s="551"/>
      <c r="D1429" s="551"/>
      <c r="E1429" s="542"/>
      <c r="F1429" s="554"/>
    </row>
    <row r="1430" spans="1:6">
      <c r="A1430" s="551"/>
      <c r="B1430" s="573"/>
      <c r="C1430" s="551"/>
      <c r="D1430" s="551"/>
      <c r="E1430" s="542"/>
      <c r="F1430" s="554"/>
    </row>
    <row r="1431" spans="1:6">
      <c r="A1431" s="551"/>
      <c r="B1431" s="558"/>
      <c r="C1431" s="551"/>
      <c r="D1431" s="551"/>
      <c r="E1431" s="542"/>
      <c r="F1431" s="543"/>
    </row>
    <row r="1432" spans="1:6">
      <c r="A1432" s="551"/>
      <c r="B1432" s="558"/>
      <c r="C1432" s="551"/>
      <c r="D1432" s="551"/>
      <c r="E1432" s="542"/>
      <c r="F1432" s="543"/>
    </row>
    <row r="1433" spans="1:6">
      <c r="A1433" s="551"/>
      <c r="B1433" s="558"/>
      <c r="C1433" s="551"/>
      <c r="D1433" s="551"/>
      <c r="E1433" s="542"/>
      <c r="F1433" s="543"/>
    </row>
    <row r="1434" spans="1:6">
      <c r="A1434" s="551"/>
      <c r="B1434" s="542"/>
      <c r="C1434" s="551"/>
      <c r="D1434" s="551"/>
      <c r="E1434" s="542"/>
      <c r="F1434" s="543"/>
    </row>
    <row r="1435" spans="1:6">
      <c r="A1435" s="548"/>
      <c r="B1435" s="545"/>
      <c r="C1435" s="548"/>
      <c r="D1435" s="548"/>
      <c r="E1435" s="545"/>
      <c r="F1435" s="546"/>
    </row>
    <row r="1436" spans="1:6">
      <c r="A1436" s="878" t="s">
        <v>1062</v>
      </c>
      <c r="B1436" s="879"/>
      <c r="C1436" s="879"/>
      <c r="D1436" s="906"/>
      <c r="E1436" s="559"/>
      <c r="F1436" s="560">
        <f>SUM(F1425:F1435)</f>
        <v>249996.2</v>
      </c>
    </row>
    <row r="1437" spans="1:6">
      <c r="A1437" s="540" t="s">
        <v>1064</v>
      </c>
      <c r="B1437" s="880" t="s">
        <v>1065</v>
      </c>
      <c r="C1437" s="881"/>
      <c r="D1437" s="907"/>
      <c r="E1437" s="882"/>
      <c r="F1437" s="883"/>
    </row>
    <row r="1438" spans="1:6">
      <c r="A1438" s="542"/>
      <c r="B1438" s="884" t="s">
        <v>1066</v>
      </c>
      <c r="C1438" s="885"/>
      <c r="D1438" s="888"/>
      <c r="E1438" s="886"/>
      <c r="F1438" s="887"/>
    </row>
    <row r="1439" spans="1:6">
      <c r="A1439" s="542"/>
      <c r="B1439" s="886"/>
      <c r="C1439" s="887"/>
      <c r="D1439" s="888" t="s">
        <v>1067</v>
      </c>
      <c r="E1439" s="886"/>
      <c r="F1439" s="887"/>
    </row>
    <row r="1440" spans="1:6">
      <c r="A1440" s="542"/>
      <c r="B1440" s="884" t="s">
        <v>1068</v>
      </c>
      <c r="C1440" s="885"/>
      <c r="D1440" s="888"/>
      <c r="E1440" s="886"/>
      <c r="F1440" s="887"/>
    </row>
    <row r="1441" spans="1:6">
      <c r="A1441" s="542"/>
      <c r="B1441" s="886"/>
      <c r="C1441" s="887"/>
      <c r="D1441" s="888"/>
      <c r="E1441" s="886"/>
      <c r="F1441" s="887"/>
    </row>
    <row r="1442" spans="1:6">
      <c r="A1442" s="542"/>
      <c r="B1442" s="886"/>
      <c r="C1442" s="887"/>
      <c r="D1442" s="888"/>
      <c r="E1442" s="886"/>
      <c r="F1442" s="887"/>
    </row>
    <row r="1443" spans="1:6">
      <c r="A1443" s="542" t="s">
        <v>1069</v>
      </c>
      <c r="B1443" s="886"/>
      <c r="C1443" s="887"/>
      <c r="D1443" s="563" t="s">
        <v>1069</v>
      </c>
      <c r="E1443" s="886"/>
      <c r="F1443" s="887"/>
    </row>
    <row r="1444" spans="1:6">
      <c r="A1444" s="542" t="s">
        <v>1070</v>
      </c>
      <c r="B1444" s="891" t="s">
        <v>1071</v>
      </c>
      <c r="C1444" s="892"/>
      <c r="D1444" s="563" t="s">
        <v>1070</v>
      </c>
      <c r="E1444" s="893" t="s">
        <v>1072</v>
      </c>
      <c r="F1444" s="894"/>
    </row>
    <row r="1445" spans="1:6">
      <c r="A1445" s="542" t="s">
        <v>1073</v>
      </c>
      <c r="B1445" s="884" t="s">
        <v>1074</v>
      </c>
      <c r="C1445" s="885"/>
      <c r="D1445" s="563" t="s">
        <v>1073</v>
      </c>
      <c r="E1445" s="886" t="s">
        <v>1075</v>
      </c>
      <c r="F1445" s="887"/>
    </row>
    <row r="1446" spans="1:6">
      <c r="A1446" s="542"/>
      <c r="B1446" s="886"/>
      <c r="C1446" s="887"/>
      <c r="D1446" s="563"/>
      <c r="E1446" s="886"/>
      <c r="F1446" s="887"/>
    </row>
    <row r="1447" spans="1:6">
      <c r="A1447" s="542" t="s">
        <v>1045</v>
      </c>
      <c r="B1447" s="564"/>
      <c r="C1447" s="562"/>
      <c r="D1447" s="563" t="s">
        <v>1045</v>
      </c>
      <c r="E1447" s="564"/>
      <c r="F1447" s="565"/>
    </row>
    <row r="1448" spans="1:6">
      <c r="A1448" s="545"/>
      <c r="B1448" s="895"/>
      <c r="C1448" s="896"/>
      <c r="D1448" s="566"/>
      <c r="E1448" s="897"/>
      <c r="F1448" s="898"/>
    </row>
    <row r="1450" spans="1:6">
      <c r="A1450" s="838" t="s">
        <v>1037</v>
      </c>
      <c r="B1450" s="838"/>
      <c r="C1450" s="838"/>
      <c r="D1450" s="838"/>
      <c r="E1450" s="838"/>
      <c r="F1450" s="837"/>
    </row>
    <row r="1451" spans="1:6">
      <c r="A1451" s="837" t="s">
        <v>1038</v>
      </c>
      <c r="B1451" s="837"/>
      <c r="C1451" s="837"/>
      <c r="D1451" s="837"/>
      <c r="E1451" s="837"/>
      <c r="F1451" s="837"/>
    </row>
    <row r="1452" spans="1:6">
      <c r="A1452" s="571"/>
      <c r="B1452" s="571"/>
      <c r="C1452" s="571"/>
      <c r="D1452" s="571"/>
      <c r="E1452" s="571"/>
      <c r="F1452" s="571"/>
    </row>
    <row r="1453" spans="1:6" ht="15.75">
      <c r="A1453" s="872" t="s">
        <v>1039</v>
      </c>
      <c r="B1453" s="901"/>
      <c r="C1453" s="901"/>
      <c r="D1453" s="902"/>
      <c r="E1453" s="865" t="s">
        <v>1160</v>
      </c>
      <c r="F1453" s="866"/>
    </row>
    <row r="1454" spans="1:6">
      <c r="A1454" s="539" t="s">
        <v>1042</v>
      </c>
      <c r="B1454" s="874"/>
      <c r="C1454" s="897"/>
      <c r="D1454" s="898"/>
      <c r="E1454" s="540"/>
      <c r="F1454" s="541"/>
    </row>
    <row r="1455" spans="1:6" ht="18.75">
      <c r="A1455" s="539" t="s">
        <v>1043</v>
      </c>
      <c r="B1455" s="876" t="s">
        <v>1151</v>
      </c>
      <c r="C1455" s="903"/>
      <c r="D1455" s="904"/>
      <c r="E1455" s="542" t="s">
        <v>1045</v>
      </c>
      <c r="F1455" s="543"/>
    </row>
    <row r="1456" spans="1:6">
      <c r="A1456" s="544" t="s">
        <v>1046</v>
      </c>
      <c r="B1456" s="865" t="s">
        <v>1047</v>
      </c>
      <c r="C1456" s="905"/>
      <c r="D1456" s="866"/>
      <c r="E1456" s="545"/>
      <c r="F1456" s="546"/>
    </row>
    <row r="1457" spans="1:6">
      <c r="A1457" s="544" t="s">
        <v>1048</v>
      </c>
      <c r="B1457" s="889" t="s">
        <v>1049</v>
      </c>
      <c r="C1457" s="889" t="s">
        <v>1050</v>
      </c>
      <c r="D1457" s="547" t="s">
        <v>1051</v>
      </c>
      <c r="E1457" s="861" t="s">
        <v>1052</v>
      </c>
      <c r="F1457" s="862"/>
    </row>
    <row r="1458" spans="1:6">
      <c r="A1458" s="548" t="s">
        <v>1053</v>
      </c>
      <c r="B1458" s="890"/>
      <c r="C1458" s="890"/>
      <c r="D1458" s="549" t="s">
        <v>1054</v>
      </c>
      <c r="E1458" s="863"/>
      <c r="F1458" s="864"/>
    </row>
    <row r="1459" spans="1:6">
      <c r="A1459" s="544"/>
      <c r="B1459" s="578" t="s">
        <v>1055</v>
      </c>
      <c r="C1459" s="544"/>
      <c r="D1459" s="544">
        <v>300</v>
      </c>
      <c r="E1459" s="540"/>
      <c r="F1459" s="541"/>
    </row>
    <row r="1460" spans="1:6">
      <c r="A1460" s="551"/>
      <c r="B1460" s="542"/>
      <c r="C1460" s="551"/>
      <c r="D1460" s="551"/>
      <c r="E1460" s="542"/>
      <c r="F1460" s="543"/>
    </row>
    <row r="1461" spans="1:6">
      <c r="A1461" s="551"/>
      <c r="B1461" s="551" t="s">
        <v>1152</v>
      </c>
      <c r="C1461" s="551">
        <v>1919</v>
      </c>
      <c r="D1461" s="551"/>
      <c r="E1461" s="542"/>
      <c r="F1461" s="543"/>
    </row>
    <row r="1462" spans="1:6">
      <c r="A1462" s="551"/>
      <c r="B1462" s="551" t="s">
        <v>1153</v>
      </c>
      <c r="C1462" s="551"/>
      <c r="D1462" s="553"/>
      <c r="E1462" s="542"/>
      <c r="F1462" s="543"/>
    </row>
    <row r="1463" spans="1:6">
      <c r="A1463" s="551"/>
      <c r="B1463" s="551"/>
      <c r="C1463" s="551"/>
      <c r="D1463" s="551"/>
      <c r="E1463" s="542"/>
      <c r="F1463" s="543"/>
    </row>
    <row r="1464" spans="1:6">
      <c r="A1464" s="551"/>
      <c r="B1464" s="552" t="s">
        <v>1057</v>
      </c>
      <c r="C1464" s="551"/>
      <c r="D1464" s="551">
        <v>215</v>
      </c>
      <c r="E1464" s="542"/>
      <c r="F1464" s="543"/>
    </row>
    <row r="1465" spans="1:6">
      <c r="A1465" s="551"/>
      <c r="B1465" s="582" t="s">
        <v>1163</v>
      </c>
      <c r="C1465" s="551"/>
      <c r="D1465" s="551"/>
      <c r="E1465" s="542"/>
      <c r="F1465" s="543"/>
    </row>
    <row r="1466" spans="1:6">
      <c r="A1466" s="551"/>
      <c r="B1466" s="551" t="s">
        <v>1164</v>
      </c>
      <c r="C1466" s="591"/>
      <c r="D1466" s="591"/>
      <c r="E1466" s="542"/>
      <c r="F1466" s="554"/>
    </row>
    <row r="1467" spans="1:6">
      <c r="A1467" s="551"/>
      <c r="C1467" s="591"/>
      <c r="D1467" s="591"/>
      <c r="F1467" s="555"/>
    </row>
    <row r="1468" spans="1:6">
      <c r="A1468" s="551"/>
      <c r="B1468" s="542" t="s">
        <v>1102</v>
      </c>
      <c r="C1468" s="551"/>
      <c r="D1468" s="551"/>
      <c r="E1468" s="542"/>
      <c r="F1468" s="585">
        <f>'[1]POW bdf 2016'!F629</f>
        <v>239728.44</v>
      </c>
    </row>
    <row r="1469" spans="1:6">
      <c r="A1469" s="551"/>
      <c r="B1469" s="542" t="s">
        <v>1103</v>
      </c>
      <c r="C1469" s="551"/>
      <c r="D1469" s="551"/>
      <c r="E1469" s="542"/>
      <c r="F1469" s="586">
        <f>'[1]POW bdf 2016'!G631</f>
        <v>100071.376</v>
      </c>
    </row>
    <row r="1470" spans="1:6" ht="15.75">
      <c r="A1470" s="551"/>
      <c r="B1470" s="573" t="s">
        <v>1155</v>
      </c>
      <c r="C1470" s="556"/>
      <c r="D1470" s="551"/>
      <c r="E1470" s="542"/>
      <c r="F1470" s="592">
        <f>'[1]POW bdf 2016'!G632</f>
        <v>10200</v>
      </c>
    </row>
    <row r="1471" spans="1:6">
      <c r="A1471" s="551"/>
      <c r="B1471" s="573"/>
      <c r="C1471" s="584"/>
      <c r="D1471" s="551"/>
      <c r="E1471" s="542"/>
      <c r="F1471" s="587"/>
    </row>
    <row r="1472" spans="1:6">
      <c r="A1472" s="551"/>
      <c r="B1472" s="573"/>
      <c r="C1472" s="551"/>
      <c r="D1472" s="551"/>
      <c r="E1472" s="542"/>
      <c r="F1472" s="554"/>
    </row>
    <row r="1473" spans="1:6">
      <c r="A1473" s="551"/>
      <c r="B1473" s="573"/>
      <c r="C1473" s="551"/>
      <c r="D1473" s="551"/>
      <c r="E1473" s="542"/>
      <c r="F1473" s="554"/>
    </row>
    <row r="1474" spans="1:6">
      <c r="A1474" s="551"/>
      <c r="B1474" s="558"/>
      <c r="C1474" s="551"/>
      <c r="D1474" s="551"/>
      <c r="E1474" s="542"/>
      <c r="F1474" s="543"/>
    </row>
    <row r="1475" spans="1:6">
      <c r="A1475" s="551"/>
      <c r="B1475" s="558"/>
      <c r="C1475" s="551"/>
      <c r="D1475" s="551"/>
      <c r="E1475" s="542"/>
      <c r="F1475" s="543"/>
    </row>
    <row r="1476" spans="1:6">
      <c r="A1476" s="551"/>
      <c r="B1476" s="558"/>
      <c r="C1476" s="551"/>
      <c r="D1476" s="551"/>
      <c r="E1476" s="542"/>
      <c r="F1476" s="543"/>
    </row>
    <row r="1477" spans="1:6">
      <c r="A1477" s="551"/>
      <c r="B1477" s="542"/>
      <c r="C1477" s="551"/>
      <c r="D1477" s="551"/>
      <c r="E1477" s="542"/>
      <c r="F1477" s="543"/>
    </row>
    <row r="1478" spans="1:6">
      <c r="A1478" s="548"/>
      <c r="B1478" s="545"/>
      <c r="C1478" s="548"/>
      <c r="D1478" s="548"/>
      <c r="E1478" s="545"/>
      <c r="F1478" s="546"/>
    </row>
    <row r="1479" spans="1:6">
      <c r="A1479" s="878" t="s">
        <v>1062</v>
      </c>
      <c r="B1479" s="879"/>
      <c r="C1479" s="879"/>
      <c r="D1479" s="906"/>
      <c r="E1479" s="559"/>
      <c r="F1479" s="560">
        <f>SUM(F1468:F1478)</f>
        <v>349999.81599999999</v>
      </c>
    </row>
    <row r="1480" spans="1:6">
      <c r="A1480" s="540" t="s">
        <v>1064</v>
      </c>
      <c r="B1480" s="880" t="s">
        <v>1065</v>
      </c>
      <c r="C1480" s="881"/>
      <c r="D1480" s="907"/>
      <c r="E1480" s="882"/>
      <c r="F1480" s="883"/>
    </row>
    <row r="1481" spans="1:6">
      <c r="A1481" s="542"/>
      <c r="B1481" s="884" t="s">
        <v>1066</v>
      </c>
      <c r="C1481" s="885"/>
      <c r="D1481" s="888"/>
      <c r="E1481" s="886"/>
      <c r="F1481" s="887"/>
    </row>
    <row r="1482" spans="1:6">
      <c r="A1482" s="542"/>
      <c r="B1482" s="886"/>
      <c r="C1482" s="887"/>
      <c r="D1482" s="888" t="s">
        <v>1067</v>
      </c>
      <c r="E1482" s="886"/>
      <c r="F1482" s="887"/>
    </row>
    <row r="1483" spans="1:6">
      <c r="A1483" s="542"/>
      <c r="B1483" s="884" t="s">
        <v>1068</v>
      </c>
      <c r="C1483" s="885"/>
      <c r="D1483" s="888"/>
      <c r="E1483" s="886"/>
      <c r="F1483" s="887"/>
    </row>
    <row r="1484" spans="1:6">
      <c r="A1484" s="542"/>
      <c r="B1484" s="886"/>
      <c r="C1484" s="887"/>
      <c r="D1484" s="888"/>
      <c r="E1484" s="886"/>
      <c r="F1484" s="887"/>
    </row>
    <row r="1485" spans="1:6">
      <c r="A1485" s="542"/>
      <c r="B1485" s="886"/>
      <c r="C1485" s="887"/>
      <c r="D1485" s="888"/>
      <c r="E1485" s="886"/>
      <c r="F1485" s="887"/>
    </row>
    <row r="1486" spans="1:6">
      <c r="A1486" s="542" t="s">
        <v>1069</v>
      </c>
      <c r="B1486" s="886"/>
      <c r="C1486" s="887"/>
      <c r="D1486" s="563" t="s">
        <v>1069</v>
      </c>
      <c r="E1486" s="886"/>
      <c r="F1486" s="887"/>
    </row>
    <row r="1487" spans="1:6">
      <c r="A1487" s="542" t="s">
        <v>1070</v>
      </c>
      <c r="B1487" s="891" t="s">
        <v>1071</v>
      </c>
      <c r="C1487" s="892"/>
      <c r="D1487" s="563" t="s">
        <v>1070</v>
      </c>
      <c r="E1487" s="893" t="s">
        <v>1072</v>
      </c>
      <c r="F1487" s="894"/>
    </row>
    <row r="1488" spans="1:6">
      <c r="A1488" s="542" t="s">
        <v>1073</v>
      </c>
      <c r="B1488" s="884" t="s">
        <v>1074</v>
      </c>
      <c r="C1488" s="885"/>
      <c r="D1488" s="563" t="s">
        <v>1073</v>
      </c>
      <c r="E1488" s="886" t="s">
        <v>1075</v>
      </c>
      <c r="F1488" s="887"/>
    </row>
    <row r="1489" spans="1:6">
      <c r="A1489" s="542"/>
      <c r="B1489" s="886"/>
      <c r="C1489" s="887"/>
      <c r="D1489" s="563"/>
      <c r="E1489" s="886"/>
      <c r="F1489" s="887"/>
    </row>
    <row r="1490" spans="1:6">
      <c r="A1490" s="542" t="s">
        <v>1045</v>
      </c>
      <c r="B1490" s="564"/>
      <c r="C1490" s="562"/>
      <c r="D1490" s="563" t="s">
        <v>1045</v>
      </c>
      <c r="E1490" s="564"/>
      <c r="F1490" s="565"/>
    </row>
    <row r="1491" spans="1:6">
      <c r="A1491" s="545"/>
      <c r="B1491" s="895"/>
      <c r="C1491" s="896"/>
      <c r="D1491" s="566"/>
      <c r="E1491" s="897"/>
      <c r="F1491" s="898"/>
    </row>
    <row r="1493" spans="1:6">
      <c r="A1493" s="838" t="s">
        <v>1037</v>
      </c>
      <c r="B1493" s="838"/>
      <c r="C1493" s="838"/>
      <c r="D1493" s="838"/>
      <c r="E1493" s="838"/>
      <c r="F1493" s="837"/>
    </row>
    <row r="1494" spans="1:6">
      <c r="A1494" s="837" t="s">
        <v>1038</v>
      </c>
      <c r="B1494" s="837"/>
      <c r="C1494" s="837"/>
      <c r="D1494" s="837"/>
      <c r="E1494" s="837"/>
      <c r="F1494" s="837"/>
    </row>
    <row r="1495" spans="1:6">
      <c r="A1495" s="571"/>
      <c r="B1495" s="571"/>
      <c r="C1495" s="571"/>
      <c r="D1495" s="571"/>
      <c r="E1495" s="571"/>
      <c r="F1495" s="571"/>
    </row>
    <row r="1496" spans="1:6" ht="15.75">
      <c r="A1496" s="872" t="s">
        <v>1039</v>
      </c>
      <c r="B1496" s="901"/>
      <c r="C1496" s="901"/>
      <c r="D1496" s="902"/>
      <c r="E1496" s="865" t="s">
        <v>1160</v>
      </c>
      <c r="F1496" s="866"/>
    </row>
    <row r="1497" spans="1:6">
      <c r="A1497" s="539" t="s">
        <v>1042</v>
      </c>
      <c r="B1497" s="874"/>
      <c r="C1497" s="897"/>
      <c r="D1497" s="898"/>
      <c r="E1497" s="540"/>
      <c r="F1497" s="541"/>
    </row>
    <row r="1498" spans="1:6" ht="18.75">
      <c r="A1498" s="539" t="s">
        <v>1043</v>
      </c>
      <c r="B1498" s="876" t="s">
        <v>1151</v>
      </c>
      <c r="C1498" s="903"/>
      <c r="D1498" s="904"/>
      <c r="E1498" s="542" t="s">
        <v>1045</v>
      </c>
      <c r="F1498" s="543"/>
    </row>
    <row r="1499" spans="1:6">
      <c r="A1499" s="544" t="s">
        <v>1046</v>
      </c>
      <c r="B1499" s="865" t="s">
        <v>1047</v>
      </c>
      <c r="C1499" s="905"/>
      <c r="D1499" s="866"/>
      <c r="E1499" s="545"/>
      <c r="F1499" s="546"/>
    </row>
    <row r="1500" spans="1:6">
      <c r="A1500" s="544" t="s">
        <v>1048</v>
      </c>
      <c r="B1500" s="889" t="s">
        <v>1049</v>
      </c>
      <c r="C1500" s="889" t="s">
        <v>1050</v>
      </c>
      <c r="D1500" s="547" t="s">
        <v>1051</v>
      </c>
      <c r="E1500" s="861" t="s">
        <v>1052</v>
      </c>
      <c r="F1500" s="862"/>
    </row>
    <row r="1501" spans="1:6">
      <c r="A1501" s="548" t="s">
        <v>1053</v>
      </c>
      <c r="B1501" s="890"/>
      <c r="C1501" s="890"/>
      <c r="D1501" s="549" t="s">
        <v>1054</v>
      </c>
      <c r="E1501" s="863"/>
      <c r="F1501" s="864"/>
    </row>
    <row r="1502" spans="1:6">
      <c r="A1502" s="544"/>
      <c r="B1502" s="578" t="s">
        <v>1055</v>
      </c>
      <c r="C1502" s="544"/>
      <c r="D1502" s="544">
        <v>300</v>
      </c>
      <c r="E1502" s="540"/>
      <c r="F1502" s="541"/>
    </row>
    <row r="1503" spans="1:6">
      <c r="A1503" s="551"/>
      <c r="B1503" s="542"/>
      <c r="C1503" s="551"/>
      <c r="D1503" s="551"/>
      <c r="E1503" s="542"/>
      <c r="F1503" s="543"/>
    </row>
    <row r="1504" spans="1:6">
      <c r="A1504" s="551"/>
      <c r="B1504" s="551" t="s">
        <v>1152</v>
      </c>
      <c r="C1504" s="551">
        <v>1919</v>
      </c>
      <c r="D1504" s="551"/>
      <c r="E1504" s="542"/>
      <c r="F1504" s="543"/>
    </row>
    <row r="1505" spans="1:6">
      <c r="A1505" s="551"/>
      <c r="B1505" s="551" t="s">
        <v>1153</v>
      </c>
      <c r="C1505" s="551"/>
      <c r="D1505" s="553"/>
      <c r="E1505" s="542"/>
      <c r="F1505" s="543"/>
    </row>
    <row r="1506" spans="1:6">
      <c r="A1506" s="551"/>
      <c r="B1506" s="551"/>
      <c r="C1506" s="551"/>
      <c r="D1506" s="551"/>
      <c r="E1506" s="542"/>
      <c r="F1506" s="543"/>
    </row>
    <row r="1507" spans="1:6">
      <c r="A1507" s="551"/>
      <c r="B1507" s="552" t="s">
        <v>1057</v>
      </c>
      <c r="C1507" s="551"/>
      <c r="D1507" s="551">
        <v>215</v>
      </c>
      <c r="E1507" s="542"/>
      <c r="F1507" s="543"/>
    </row>
    <row r="1508" spans="1:6">
      <c r="A1508" s="551"/>
      <c r="B1508" s="582" t="s">
        <v>1165</v>
      </c>
      <c r="C1508" s="551"/>
      <c r="D1508" s="551"/>
      <c r="E1508" s="542"/>
      <c r="F1508" s="543"/>
    </row>
    <row r="1509" spans="1:6">
      <c r="A1509" s="551"/>
      <c r="B1509" s="551" t="s">
        <v>1166</v>
      </c>
      <c r="C1509" s="591"/>
      <c r="D1509" s="591"/>
      <c r="E1509" s="542"/>
      <c r="F1509" s="554"/>
    </row>
    <row r="1510" spans="1:6">
      <c r="A1510" s="551"/>
      <c r="C1510" s="591"/>
      <c r="D1510" s="591"/>
      <c r="F1510" s="555"/>
    </row>
    <row r="1511" spans="1:6">
      <c r="A1511" s="551"/>
      <c r="B1511" s="542" t="s">
        <v>1102</v>
      </c>
      <c r="C1511" s="551"/>
      <c r="D1511" s="551"/>
      <c r="E1511" s="542"/>
      <c r="F1511" s="585">
        <f>'[1]POW bdf 2016'!F771</f>
        <v>451463.94</v>
      </c>
    </row>
    <row r="1512" spans="1:6">
      <c r="A1512" s="551"/>
      <c r="B1512" s="542" t="s">
        <v>1103</v>
      </c>
      <c r="C1512" s="551"/>
      <c r="D1512" s="551"/>
      <c r="E1512" s="542"/>
      <c r="F1512" s="586">
        <f>'[1]POW bdf 2016'!G772</f>
        <v>183335.576</v>
      </c>
    </row>
    <row r="1513" spans="1:6" ht="15.75">
      <c r="A1513" s="551"/>
      <c r="B1513" s="573" t="s">
        <v>1155</v>
      </c>
      <c r="C1513" s="556"/>
      <c r="D1513" s="551"/>
      <c r="E1513" s="542"/>
      <c r="F1513" s="592">
        <f>'[1]POW bdf 2016'!G774</f>
        <v>15200</v>
      </c>
    </row>
    <row r="1514" spans="1:6">
      <c r="A1514" s="551"/>
      <c r="B1514" s="573"/>
      <c r="C1514" s="584"/>
      <c r="D1514" s="551"/>
      <c r="E1514" s="542"/>
      <c r="F1514" s="587"/>
    </row>
    <row r="1515" spans="1:6">
      <c r="A1515" s="551"/>
      <c r="B1515" s="573"/>
      <c r="C1515" s="551"/>
      <c r="D1515" s="551"/>
      <c r="E1515" s="542"/>
      <c r="F1515" s="554"/>
    </row>
    <row r="1516" spans="1:6">
      <c r="A1516" s="551"/>
      <c r="B1516" s="573"/>
      <c r="C1516" s="551"/>
      <c r="D1516" s="551"/>
      <c r="E1516" s="542"/>
      <c r="F1516" s="554"/>
    </row>
    <row r="1517" spans="1:6">
      <c r="A1517" s="551"/>
      <c r="B1517" s="558"/>
      <c r="C1517" s="551"/>
      <c r="D1517" s="551"/>
      <c r="E1517" s="542"/>
      <c r="F1517" s="543"/>
    </row>
    <row r="1518" spans="1:6">
      <c r="A1518" s="551"/>
      <c r="B1518" s="558"/>
      <c r="C1518" s="551"/>
      <c r="D1518" s="551"/>
      <c r="E1518" s="542"/>
      <c r="F1518" s="543"/>
    </row>
    <row r="1519" spans="1:6">
      <c r="A1519" s="551"/>
      <c r="B1519" s="558"/>
      <c r="C1519" s="551"/>
      <c r="D1519" s="551"/>
      <c r="E1519" s="542"/>
      <c r="F1519" s="543"/>
    </row>
    <row r="1520" spans="1:6">
      <c r="A1520" s="551"/>
      <c r="B1520" s="542"/>
      <c r="C1520" s="551"/>
      <c r="D1520" s="551"/>
      <c r="E1520" s="542"/>
      <c r="F1520" s="543"/>
    </row>
    <row r="1521" spans="1:6">
      <c r="A1521" s="548"/>
      <c r="B1521" s="545"/>
      <c r="C1521" s="548"/>
      <c r="D1521" s="548"/>
      <c r="E1521" s="545"/>
      <c r="F1521" s="546"/>
    </row>
    <row r="1522" spans="1:6">
      <c r="A1522" s="878" t="s">
        <v>1062</v>
      </c>
      <c r="B1522" s="879"/>
      <c r="C1522" s="879"/>
      <c r="D1522" s="906"/>
      <c r="E1522" s="559"/>
      <c r="F1522" s="560">
        <f>SUM(F1511:F1521)</f>
        <v>649999.51600000006</v>
      </c>
    </row>
    <row r="1523" spans="1:6">
      <c r="A1523" s="540" t="s">
        <v>1064</v>
      </c>
      <c r="B1523" s="880" t="s">
        <v>1065</v>
      </c>
      <c r="C1523" s="881"/>
      <c r="D1523" s="907"/>
      <c r="E1523" s="882"/>
      <c r="F1523" s="883"/>
    </row>
    <row r="1524" spans="1:6">
      <c r="A1524" s="542"/>
      <c r="B1524" s="884" t="s">
        <v>1066</v>
      </c>
      <c r="C1524" s="885"/>
      <c r="D1524" s="888"/>
      <c r="E1524" s="886"/>
      <c r="F1524" s="887"/>
    </row>
    <row r="1525" spans="1:6">
      <c r="A1525" s="542"/>
      <c r="B1525" s="886"/>
      <c r="C1525" s="887"/>
      <c r="D1525" s="888" t="s">
        <v>1067</v>
      </c>
      <c r="E1525" s="886"/>
      <c r="F1525" s="887"/>
    </row>
    <row r="1526" spans="1:6">
      <c r="A1526" s="542"/>
      <c r="B1526" s="884" t="s">
        <v>1068</v>
      </c>
      <c r="C1526" s="885"/>
      <c r="D1526" s="888"/>
      <c r="E1526" s="886"/>
      <c r="F1526" s="887"/>
    </row>
    <row r="1527" spans="1:6">
      <c r="A1527" s="542"/>
      <c r="B1527" s="886"/>
      <c r="C1527" s="887"/>
      <c r="D1527" s="888"/>
      <c r="E1527" s="886"/>
      <c r="F1527" s="887"/>
    </row>
    <row r="1528" spans="1:6">
      <c r="A1528" s="542"/>
      <c r="B1528" s="886"/>
      <c r="C1528" s="887"/>
      <c r="D1528" s="888"/>
      <c r="E1528" s="886"/>
      <c r="F1528" s="887"/>
    </row>
    <row r="1529" spans="1:6">
      <c r="A1529" s="542" t="s">
        <v>1069</v>
      </c>
      <c r="B1529" s="886"/>
      <c r="C1529" s="887"/>
      <c r="D1529" s="563" t="s">
        <v>1069</v>
      </c>
      <c r="E1529" s="886"/>
      <c r="F1529" s="887"/>
    </row>
    <row r="1530" spans="1:6">
      <c r="A1530" s="542" t="s">
        <v>1070</v>
      </c>
      <c r="B1530" s="891" t="s">
        <v>1071</v>
      </c>
      <c r="C1530" s="892"/>
      <c r="D1530" s="563" t="s">
        <v>1070</v>
      </c>
      <c r="E1530" s="893" t="s">
        <v>1072</v>
      </c>
      <c r="F1530" s="894"/>
    </row>
    <row r="1531" spans="1:6">
      <c r="A1531" s="542" t="s">
        <v>1073</v>
      </c>
      <c r="B1531" s="884" t="s">
        <v>1074</v>
      </c>
      <c r="C1531" s="885"/>
      <c r="D1531" s="563" t="s">
        <v>1073</v>
      </c>
      <c r="E1531" s="886" t="s">
        <v>1075</v>
      </c>
      <c r="F1531" s="887"/>
    </row>
    <row r="1532" spans="1:6">
      <c r="A1532" s="542"/>
      <c r="B1532" s="886"/>
      <c r="C1532" s="887"/>
      <c r="D1532" s="563"/>
      <c r="E1532" s="886"/>
      <c r="F1532" s="887"/>
    </row>
    <row r="1533" spans="1:6">
      <c r="A1533" s="542" t="s">
        <v>1045</v>
      </c>
      <c r="B1533" s="564"/>
      <c r="C1533" s="562"/>
      <c r="D1533" s="563" t="s">
        <v>1045</v>
      </c>
      <c r="E1533" s="564"/>
      <c r="F1533" s="565"/>
    </row>
    <row r="1534" spans="1:6">
      <c r="A1534" s="545"/>
      <c r="B1534" s="895"/>
      <c r="C1534" s="896"/>
      <c r="D1534" s="566"/>
      <c r="E1534" s="897"/>
      <c r="F1534" s="898"/>
    </row>
    <row r="1536" spans="1:6">
      <c r="A1536" s="838" t="s">
        <v>1037</v>
      </c>
      <c r="B1536" s="838"/>
      <c r="C1536" s="838"/>
      <c r="D1536" s="838"/>
      <c r="E1536" s="838"/>
      <c r="F1536" s="837"/>
    </row>
    <row r="1537" spans="1:6">
      <c r="A1537" s="837" t="s">
        <v>1038</v>
      </c>
      <c r="B1537" s="837"/>
      <c r="C1537" s="837"/>
      <c r="D1537" s="837"/>
      <c r="E1537" s="837"/>
      <c r="F1537" s="837"/>
    </row>
    <row r="1538" spans="1:6">
      <c r="A1538" s="571"/>
      <c r="B1538" s="571"/>
      <c r="C1538" s="571"/>
      <c r="D1538" s="571"/>
      <c r="E1538" s="571"/>
      <c r="F1538" s="571"/>
    </row>
    <row r="1539" spans="1:6" ht="15.75">
      <c r="A1539" s="872" t="s">
        <v>1039</v>
      </c>
      <c r="B1539" s="901"/>
      <c r="C1539" s="901"/>
      <c r="D1539" s="902"/>
      <c r="E1539" s="865" t="s">
        <v>1160</v>
      </c>
      <c r="F1539" s="866"/>
    </row>
    <row r="1540" spans="1:6">
      <c r="A1540" s="539" t="s">
        <v>1042</v>
      </c>
      <c r="B1540" s="874"/>
      <c r="C1540" s="897"/>
      <c r="D1540" s="898"/>
      <c r="E1540" s="540"/>
      <c r="F1540" s="541"/>
    </row>
    <row r="1541" spans="1:6" ht="18.75">
      <c r="A1541" s="539" t="s">
        <v>1043</v>
      </c>
      <c r="B1541" s="876" t="s">
        <v>1151</v>
      </c>
      <c r="C1541" s="903"/>
      <c r="D1541" s="904"/>
      <c r="E1541" s="542" t="s">
        <v>1045</v>
      </c>
      <c r="F1541" s="543"/>
    </row>
    <row r="1542" spans="1:6">
      <c r="A1542" s="544" t="s">
        <v>1046</v>
      </c>
      <c r="B1542" s="865" t="s">
        <v>1047</v>
      </c>
      <c r="C1542" s="905"/>
      <c r="D1542" s="866"/>
      <c r="E1542" s="545"/>
      <c r="F1542" s="546"/>
    </row>
    <row r="1543" spans="1:6">
      <c r="A1543" s="544" t="s">
        <v>1048</v>
      </c>
      <c r="B1543" s="889" t="s">
        <v>1049</v>
      </c>
      <c r="C1543" s="889" t="s">
        <v>1050</v>
      </c>
      <c r="D1543" s="547" t="s">
        <v>1051</v>
      </c>
      <c r="E1543" s="861" t="s">
        <v>1052</v>
      </c>
      <c r="F1543" s="862"/>
    </row>
    <row r="1544" spans="1:6">
      <c r="A1544" s="548" t="s">
        <v>1053</v>
      </c>
      <c r="B1544" s="890"/>
      <c r="C1544" s="890"/>
      <c r="D1544" s="549" t="s">
        <v>1054</v>
      </c>
      <c r="E1544" s="863"/>
      <c r="F1544" s="864"/>
    </row>
    <row r="1545" spans="1:6">
      <c r="A1545" s="544"/>
      <c r="B1545" s="578" t="s">
        <v>1055</v>
      </c>
      <c r="C1545" s="544"/>
      <c r="D1545" s="544">
        <v>300</v>
      </c>
      <c r="E1545" s="540"/>
      <c r="F1545" s="541"/>
    </row>
    <row r="1546" spans="1:6">
      <c r="A1546" s="551"/>
      <c r="B1546" s="542"/>
      <c r="C1546" s="551"/>
      <c r="D1546" s="551"/>
      <c r="E1546" s="542"/>
      <c r="F1546" s="543"/>
    </row>
    <row r="1547" spans="1:6">
      <c r="A1547" s="551"/>
      <c r="B1547" s="551" t="s">
        <v>1152</v>
      </c>
      <c r="C1547" s="551">
        <v>1919</v>
      </c>
      <c r="D1547" s="551"/>
      <c r="E1547" s="542"/>
      <c r="F1547" s="543"/>
    </row>
    <row r="1548" spans="1:6">
      <c r="A1548" s="551"/>
      <c r="B1548" s="551" t="s">
        <v>1153</v>
      </c>
      <c r="C1548" s="551"/>
      <c r="D1548" s="553"/>
      <c r="E1548" s="542"/>
      <c r="F1548" s="543"/>
    </row>
    <row r="1549" spans="1:6">
      <c r="A1549" s="551"/>
      <c r="B1549" s="551"/>
      <c r="C1549" s="551"/>
      <c r="D1549" s="551"/>
      <c r="E1549" s="542"/>
      <c r="F1549" s="543"/>
    </row>
    <row r="1550" spans="1:6">
      <c r="A1550" s="551"/>
      <c r="B1550" s="552" t="s">
        <v>1057</v>
      </c>
      <c r="C1550" s="551"/>
      <c r="D1550" s="551">
        <v>215</v>
      </c>
      <c r="E1550" s="542"/>
      <c r="F1550" s="543"/>
    </row>
    <row r="1551" spans="1:6">
      <c r="A1551" s="551"/>
      <c r="B1551" s="582" t="s">
        <v>1167</v>
      </c>
      <c r="C1551" s="551"/>
      <c r="D1551" s="551"/>
      <c r="E1551" s="542"/>
      <c r="F1551" s="543"/>
    </row>
    <row r="1552" spans="1:6">
      <c r="A1552" s="551"/>
      <c r="B1552" s="551" t="s">
        <v>1168</v>
      </c>
      <c r="C1552" s="591"/>
      <c r="D1552" s="591"/>
      <c r="E1552" s="542"/>
      <c r="F1552" s="554"/>
    </row>
    <row r="1553" spans="1:6">
      <c r="A1553" s="551"/>
      <c r="C1553" s="591"/>
      <c r="D1553" s="591"/>
      <c r="F1553" s="555"/>
    </row>
    <row r="1554" spans="1:6">
      <c r="A1554" s="551"/>
      <c r="B1554" s="542" t="s">
        <v>1102</v>
      </c>
      <c r="C1554" s="551"/>
      <c r="D1554" s="551"/>
      <c r="E1554" s="542"/>
      <c r="F1554" s="585">
        <f>'[1]POW bdf 2016'!F834</f>
        <v>126142.5</v>
      </c>
    </row>
    <row r="1555" spans="1:6">
      <c r="A1555" s="551"/>
      <c r="B1555" s="542" t="s">
        <v>1103</v>
      </c>
      <c r="C1555" s="551"/>
      <c r="D1555" s="551"/>
      <c r="E1555" s="542"/>
      <c r="F1555" s="586">
        <f>'[1]POW bdf 2016'!F835</f>
        <v>50457</v>
      </c>
    </row>
    <row r="1556" spans="1:6" ht="15.75">
      <c r="A1556" s="551"/>
      <c r="B1556" s="573" t="s">
        <v>1155</v>
      </c>
      <c r="C1556" s="556"/>
      <c r="D1556" s="551"/>
      <c r="E1556" s="542"/>
      <c r="F1556" s="592">
        <f>'[1]POW bdf 2016'!G836</f>
        <v>3400</v>
      </c>
    </row>
    <row r="1557" spans="1:6">
      <c r="A1557" s="551"/>
      <c r="B1557" s="573"/>
      <c r="C1557" s="584"/>
      <c r="D1557" s="551"/>
      <c r="E1557" s="542"/>
      <c r="F1557" s="587"/>
    </row>
    <row r="1558" spans="1:6">
      <c r="A1558" s="551"/>
      <c r="B1558" s="573"/>
      <c r="C1558" s="551"/>
      <c r="D1558" s="551"/>
      <c r="E1558" s="542"/>
      <c r="F1558" s="554"/>
    </row>
    <row r="1559" spans="1:6">
      <c r="A1559" s="551"/>
      <c r="B1559" s="573"/>
      <c r="C1559" s="551"/>
      <c r="D1559" s="551"/>
      <c r="E1559" s="542"/>
      <c r="F1559" s="554"/>
    </row>
    <row r="1560" spans="1:6">
      <c r="A1560" s="551"/>
      <c r="B1560" s="558"/>
      <c r="C1560" s="551"/>
      <c r="D1560" s="551"/>
      <c r="E1560" s="542"/>
      <c r="F1560" s="543"/>
    </row>
    <row r="1561" spans="1:6">
      <c r="A1561" s="551"/>
      <c r="B1561" s="558"/>
      <c r="C1561" s="551"/>
      <c r="D1561" s="551"/>
      <c r="E1561" s="542"/>
      <c r="F1561" s="543"/>
    </row>
    <row r="1562" spans="1:6">
      <c r="A1562" s="551"/>
      <c r="B1562" s="558"/>
      <c r="C1562" s="551"/>
      <c r="D1562" s="551"/>
      <c r="E1562" s="542"/>
      <c r="F1562" s="543"/>
    </row>
    <row r="1563" spans="1:6">
      <c r="A1563" s="551"/>
      <c r="B1563" s="542"/>
      <c r="C1563" s="551"/>
      <c r="D1563" s="551"/>
      <c r="E1563" s="542"/>
      <c r="F1563" s="543"/>
    </row>
    <row r="1564" spans="1:6">
      <c r="A1564" s="548"/>
      <c r="B1564" s="545"/>
      <c r="C1564" s="548"/>
      <c r="D1564" s="548"/>
      <c r="E1564" s="545"/>
      <c r="F1564" s="546"/>
    </row>
    <row r="1565" spans="1:6">
      <c r="A1565" s="878" t="s">
        <v>1062</v>
      </c>
      <c r="B1565" s="879"/>
      <c r="C1565" s="879"/>
      <c r="D1565" s="906"/>
      <c r="E1565" s="559"/>
      <c r="F1565" s="560">
        <f>SUM(F1554:F1564)</f>
        <v>179999.5</v>
      </c>
    </row>
    <row r="1566" spans="1:6">
      <c r="A1566" s="540" t="s">
        <v>1064</v>
      </c>
      <c r="B1566" s="880" t="s">
        <v>1065</v>
      </c>
      <c r="C1566" s="881"/>
      <c r="D1566" s="907"/>
      <c r="E1566" s="882"/>
      <c r="F1566" s="883"/>
    </row>
    <row r="1567" spans="1:6">
      <c r="A1567" s="542"/>
      <c r="B1567" s="884" t="s">
        <v>1066</v>
      </c>
      <c r="C1567" s="885"/>
      <c r="D1567" s="888"/>
      <c r="E1567" s="886"/>
      <c r="F1567" s="887"/>
    </row>
    <row r="1568" spans="1:6">
      <c r="A1568" s="542"/>
      <c r="B1568" s="886"/>
      <c r="C1568" s="887"/>
      <c r="D1568" s="888" t="s">
        <v>1067</v>
      </c>
      <c r="E1568" s="886"/>
      <c r="F1568" s="887"/>
    </row>
    <row r="1569" spans="1:6">
      <c r="A1569" s="542"/>
      <c r="B1569" s="884" t="s">
        <v>1068</v>
      </c>
      <c r="C1569" s="885"/>
      <c r="D1569" s="888"/>
      <c r="E1569" s="886"/>
      <c r="F1569" s="887"/>
    </row>
    <row r="1570" spans="1:6">
      <c r="A1570" s="542"/>
      <c r="B1570" s="886"/>
      <c r="C1570" s="887"/>
      <c r="D1570" s="888"/>
      <c r="E1570" s="886"/>
      <c r="F1570" s="887"/>
    </row>
    <row r="1571" spans="1:6">
      <c r="A1571" s="542"/>
      <c r="B1571" s="886"/>
      <c r="C1571" s="887"/>
      <c r="D1571" s="888"/>
      <c r="E1571" s="886"/>
      <c r="F1571" s="887"/>
    </row>
    <row r="1572" spans="1:6">
      <c r="A1572" s="542" t="s">
        <v>1069</v>
      </c>
      <c r="B1572" s="886"/>
      <c r="C1572" s="887"/>
      <c r="D1572" s="563" t="s">
        <v>1069</v>
      </c>
      <c r="E1572" s="886"/>
      <c r="F1572" s="887"/>
    </row>
    <row r="1573" spans="1:6">
      <c r="A1573" s="542" t="s">
        <v>1070</v>
      </c>
      <c r="B1573" s="891" t="s">
        <v>1071</v>
      </c>
      <c r="C1573" s="892"/>
      <c r="D1573" s="563" t="s">
        <v>1070</v>
      </c>
      <c r="E1573" s="893" t="s">
        <v>1072</v>
      </c>
      <c r="F1573" s="894"/>
    </row>
    <row r="1574" spans="1:6">
      <c r="A1574" s="542" t="s">
        <v>1073</v>
      </c>
      <c r="B1574" s="884" t="s">
        <v>1074</v>
      </c>
      <c r="C1574" s="885"/>
      <c r="D1574" s="563" t="s">
        <v>1073</v>
      </c>
      <c r="E1574" s="886" t="s">
        <v>1075</v>
      </c>
      <c r="F1574" s="887"/>
    </row>
    <row r="1575" spans="1:6">
      <c r="A1575" s="542"/>
      <c r="B1575" s="886"/>
      <c r="C1575" s="887"/>
      <c r="D1575" s="563"/>
      <c r="E1575" s="886"/>
      <c r="F1575" s="887"/>
    </row>
    <row r="1576" spans="1:6">
      <c r="A1576" s="542" t="s">
        <v>1045</v>
      </c>
      <c r="B1576" s="564"/>
      <c r="C1576" s="562"/>
      <c r="D1576" s="563" t="s">
        <v>1045</v>
      </c>
      <c r="E1576" s="564"/>
      <c r="F1576" s="565"/>
    </row>
    <row r="1577" spans="1:6">
      <c r="A1577" s="545"/>
      <c r="B1577" s="895"/>
      <c r="C1577" s="896"/>
      <c r="D1577" s="566"/>
      <c r="E1577" s="897"/>
      <c r="F1577" s="898"/>
    </row>
    <row r="1579" spans="1:6">
      <c r="A1579" s="838" t="s">
        <v>1037</v>
      </c>
      <c r="B1579" s="838"/>
      <c r="C1579" s="838"/>
      <c r="D1579" s="838"/>
      <c r="E1579" s="838"/>
      <c r="F1579" s="837"/>
    </row>
    <row r="1580" spans="1:6">
      <c r="A1580" s="837" t="s">
        <v>1038</v>
      </c>
      <c r="B1580" s="837"/>
      <c r="C1580" s="837"/>
      <c r="D1580" s="837"/>
      <c r="E1580" s="837"/>
      <c r="F1580" s="837"/>
    </row>
    <row r="1581" spans="1:6">
      <c r="A1581" s="571"/>
      <c r="B1581" s="571"/>
      <c r="C1581" s="571"/>
      <c r="D1581" s="571"/>
      <c r="E1581" s="571"/>
      <c r="F1581" s="571"/>
    </row>
    <row r="1582" spans="1:6" ht="15.75">
      <c r="A1582" s="872" t="s">
        <v>1039</v>
      </c>
      <c r="B1582" s="901"/>
      <c r="C1582" s="901"/>
      <c r="D1582" s="902"/>
      <c r="E1582" s="865" t="s">
        <v>1160</v>
      </c>
      <c r="F1582" s="866"/>
    </row>
    <row r="1583" spans="1:6">
      <c r="A1583" s="539" t="s">
        <v>1042</v>
      </c>
      <c r="B1583" s="874"/>
      <c r="C1583" s="897"/>
      <c r="D1583" s="898"/>
      <c r="E1583" s="540"/>
      <c r="F1583" s="541"/>
    </row>
    <row r="1584" spans="1:6" ht="18.75">
      <c r="A1584" s="539" t="s">
        <v>1043</v>
      </c>
      <c r="B1584" s="876" t="s">
        <v>1151</v>
      </c>
      <c r="C1584" s="903"/>
      <c r="D1584" s="904"/>
      <c r="E1584" s="542" t="s">
        <v>1045</v>
      </c>
      <c r="F1584" s="543"/>
    </row>
    <row r="1585" spans="1:6">
      <c r="A1585" s="544" t="s">
        <v>1046</v>
      </c>
      <c r="B1585" s="865" t="s">
        <v>1047</v>
      </c>
      <c r="C1585" s="905"/>
      <c r="D1585" s="866"/>
      <c r="E1585" s="545"/>
      <c r="F1585" s="546"/>
    </row>
    <row r="1586" spans="1:6">
      <c r="A1586" s="544" t="s">
        <v>1048</v>
      </c>
      <c r="B1586" s="889" t="s">
        <v>1049</v>
      </c>
      <c r="C1586" s="889" t="s">
        <v>1050</v>
      </c>
      <c r="D1586" s="547" t="s">
        <v>1051</v>
      </c>
      <c r="E1586" s="861" t="s">
        <v>1052</v>
      </c>
      <c r="F1586" s="862"/>
    </row>
    <row r="1587" spans="1:6">
      <c r="A1587" s="548" t="s">
        <v>1053</v>
      </c>
      <c r="B1587" s="890"/>
      <c r="C1587" s="890"/>
      <c r="D1587" s="549" t="s">
        <v>1054</v>
      </c>
      <c r="E1587" s="863"/>
      <c r="F1587" s="864"/>
    </row>
    <row r="1588" spans="1:6">
      <c r="A1588" s="544"/>
      <c r="B1588" s="578" t="s">
        <v>1055</v>
      </c>
      <c r="C1588" s="544"/>
      <c r="D1588" s="544">
        <v>300</v>
      </c>
      <c r="E1588" s="540"/>
      <c r="F1588" s="541"/>
    </row>
    <row r="1589" spans="1:6">
      <c r="A1589" s="551"/>
      <c r="B1589" s="542"/>
      <c r="C1589" s="551"/>
      <c r="D1589" s="551"/>
      <c r="E1589" s="542"/>
      <c r="F1589" s="543"/>
    </row>
    <row r="1590" spans="1:6">
      <c r="A1590" s="551"/>
      <c r="B1590" s="551" t="s">
        <v>1152</v>
      </c>
      <c r="C1590" s="551">
        <v>1919</v>
      </c>
      <c r="D1590" s="551"/>
      <c r="E1590" s="542"/>
      <c r="F1590" s="543"/>
    </row>
    <row r="1591" spans="1:6">
      <c r="A1591" s="551"/>
      <c r="B1591" s="551" t="s">
        <v>1153</v>
      </c>
      <c r="C1591" s="551"/>
      <c r="D1591" s="553"/>
      <c r="E1591" s="542"/>
      <c r="F1591" s="543"/>
    </row>
    <row r="1592" spans="1:6">
      <c r="A1592" s="551"/>
      <c r="B1592" s="551"/>
      <c r="C1592" s="551"/>
      <c r="D1592" s="551"/>
      <c r="E1592" s="542"/>
      <c r="F1592" s="543"/>
    </row>
    <row r="1593" spans="1:6">
      <c r="A1593" s="551"/>
      <c r="B1593" s="552" t="s">
        <v>1057</v>
      </c>
      <c r="C1593" s="551"/>
      <c r="D1593" s="551">
        <v>215</v>
      </c>
      <c r="E1593" s="542"/>
      <c r="F1593" s="543"/>
    </row>
    <row r="1594" spans="1:6">
      <c r="A1594" s="551"/>
      <c r="B1594" s="582" t="s">
        <v>1169</v>
      </c>
      <c r="C1594" s="551"/>
      <c r="D1594" s="551"/>
      <c r="E1594" s="542"/>
      <c r="F1594" s="543"/>
    </row>
    <row r="1595" spans="1:6">
      <c r="A1595" s="551"/>
      <c r="B1595" s="551" t="s">
        <v>1170</v>
      </c>
      <c r="C1595" s="591"/>
      <c r="D1595" s="591"/>
      <c r="E1595" s="542"/>
      <c r="F1595" s="554"/>
    </row>
    <row r="1596" spans="1:6">
      <c r="A1596" s="551"/>
      <c r="C1596" s="591"/>
      <c r="D1596" s="591"/>
      <c r="F1596" s="555"/>
    </row>
    <row r="1597" spans="1:6">
      <c r="A1597" s="551"/>
      <c r="B1597" s="542" t="s">
        <v>1102</v>
      </c>
      <c r="C1597" s="551"/>
      <c r="D1597" s="551"/>
      <c r="E1597" s="542"/>
      <c r="F1597" s="585">
        <f>'[1]POW Health Center lasang 2108'!F85</f>
        <v>208283</v>
      </c>
    </row>
    <row r="1598" spans="1:6">
      <c r="A1598" s="551"/>
      <c r="B1598" s="542" t="s">
        <v>1103</v>
      </c>
      <c r="C1598" s="551"/>
      <c r="D1598" s="551"/>
      <c r="E1598" s="542"/>
      <c r="F1598" s="586">
        <f>'[1]POW Health Center lasang 2108'!F86</f>
        <v>83313.2</v>
      </c>
    </row>
    <row r="1599" spans="1:6" ht="15.75">
      <c r="A1599" s="551"/>
      <c r="B1599" s="573" t="s">
        <v>1155</v>
      </c>
      <c r="C1599" s="556"/>
      <c r="D1599" s="551"/>
      <c r="E1599" s="542"/>
      <c r="F1599" s="592" t="e">
        <f>'[1]POW Health Center lasang 2108'!G117</f>
        <v>#REF!</v>
      </c>
    </row>
    <row r="1600" spans="1:6">
      <c r="A1600" s="551"/>
      <c r="B1600" s="573"/>
      <c r="C1600" s="584"/>
      <c r="D1600" s="551"/>
      <c r="E1600" s="542"/>
      <c r="F1600" s="587"/>
    </row>
    <row r="1601" spans="1:6">
      <c r="A1601" s="551"/>
      <c r="B1601" s="573"/>
      <c r="C1601" s="551"/>
      <c r="D1601" s="551"/>
      <c r="E1601" s="542"/>
      <c r="F1601" s="554"/>
    </row>
    <row r="1602" spans="1:6">
      <c r="A1602" s="551"/>
      <c r="B1602" s="573"/>
      <c r="C1602" s="551"/>
      <c r="D1602" s="551"/>
      <c r="E1602" s="542"/>
      <c r="F1602" s="554"/>
    </row>
    <row r="1603" spans="1:6">
      <c r="A1603" s="551"/>
      <c r="B1603" s="558"/>
      <c r="C1603" s="551"/>
      <c r="D1603" s="551"/>
      <c r="E1603" s="542"/>
      <c r="F1603" s="543"/>
    </row>
    <row r="1604" spans="1:6">
      <c r="A1604" s="551"/>
      <c r="B1604" s="558"/>
      <c r="C1604" s="551"/>
      <c r="D1604" s="551"/>
      <c r="E1604" s="542"/>
      <c r="F1604" s="543"/>
    </row>
    <row r="1605" spans="1:6">
      <c r="A1605" s="551"/>
      <c r="B1605" s="558"/>
      <c r="C1605" s="551"/>
      <c r="D1605" s="551"/>
      <c r="E1605" s="542"/>
      <c r="F1605" s="543"/>
    </row>
    <row r="1606" spans="1:6">
      <c r="A1606" s="551"/>
      <c r="B1606" s="542"/>
      <c r="C1606" s="551"/>
      <c r="D1606" s="551"/>
      <c r="E1606" s="542"/>
      <c r="F1606" s="543"/>
    </row>
    <row r="1607" spans="1:6">
      <c r="A1607" s="548"/>
      <c r="B1607" s="545"/>
      <c r="C1607" s="548"/>
      <c r="D1607" s="548"/>
      <c r="E1607" s="545"/>
      <c r="F1607" s="546"/>
    </row>
    <row r="1608" spans="1:6">
      <c r="A1608" s="878" t="s">
        <v>1062</v>
      </c>
      <c r="B1608" s="879"/>
      <c r="C1608" s="879"/>
      <c r="D1608" s="906"/>
      <c r="E1608" s="559"/>
      <c r="F1608" s="560" t="e">
        <f>SUM(F1597:F1607)</f>
        <v>#REF!</v>
      </c>
    </row>
    <row r="1609" spans="1:6">
      <c r="A1609" s="540" t="s">
        <v>1064</v>
      </c>
      <c r="B1609" s="880" t="s">
        <v>1065</v>
      </c>
      <c r="C1609" s="881"/>
      <c r="D1609" s="907"/>
      <c r="E1609" s="882"/>
      <c r="F1609" s="883"/>
    </row>
    <row r="1610" spans="1:6">
      <c r="A1610" s="542"/>
      <c r="B1610" s="884" t="s">
        <v>1066</v>
      </c>
      <c r="C1610" s="885"/>
      <c r="D1610" s="888"/>
      <c r="E1610" s="886"/>
      <c r="F1610" s="887"/>
    </row>
    <row r="1611" spans="1:6">
      <c r="A1611" s="542"/>
      <c r="B1611" s="886"/>
      <c r="C1611" s="887"/>
      <c r="D1611" s="888" t="s">
        <v>1067</v>
      </c>
      <c r="E1611" s="886"/>
      <c r="F1611" s="887"/>
    </row>
    <row r="1612" spans="1:6">
      <c r="A1612" s="542"/>
      <c r="B1612" s="884" t="s">
        <v>1068</v>
      </c>
      <c r="C1612" s="885"/>
      <c r="D1612" s="888"/>
      <c r="E1612" s="886"/>
      <c r="F1612" s="887"/>
    </row>
    <row r="1613" spans="1:6">
      <c r="A1613" s="542"/>
      <c r="B1613" s="886"/>
      <c r="C1613" s="887"/>
      <c r="D1613" s="888"/>
      <c r="E1613" s="886"/>
      <c r="F1613" s="887"/>
    </row>
    <row r="1614" spans="1:6">
      <c r="A1614" s="542"/>
      <c r="B1614" s="886"/>
      <c r="C1614" s="887"/>
      <c r="D1614" s="888"/>
      <c r="E1614" s="886"/>
      <c r="F1614" s="887"/>
    </row>
    <row r="1615" spans="1:6">
      <c r="A1615" s="542" t="s">
        <v>1069</v>
      </c>
      <c r="B1615" s="886"/>
      <c r="C1615" s="887"/>
      <c r="D1615" s="563" t="s">
        <v>1069</v>
      </c>
      <c r="E1615" s="886"/>
      <c r="F1615" s="887"/>
    </row>
    <row r="1616" spans="1:6">
      <c r="A1616" s="542" t="s">
        <v>1070</v>
      </c>
      <c r="B1616" s="891" t="s">
        <v>1071</v>
      </c>
      <c r="C1616" s="892"/>
      <c r="D1616" s="563" t="s">
        <v>1070</v>
      </c>
      <c r="E1616" s="893" t="s">
        <v>1072</v>
      </c>
      <c r="F1616" s="894"/>
    </row>
    <row r="1617" spans="1:6">
      <c r="A1617" s="542" t="s">
        <v>1073</v>
      </c>
      <c r="B1617" s="884" t="s">
        <v>1074</v>
      </c>
      <c r="C1617" s="885"/>
      <c r="D1617" s="563" t="s">
        <v>1073</v>
      </c>
      <c r="E1617" s="886" t="s">
        <v>1075</v>
      </c>
      <c r="F1617" s="887"/>
    </row>
    <row r="1618" spans="1:6">
      <c r="A1618" s="542"/>
      <c r="B1618" s="886"/>
      <c r="C1618" s="887"/>
      <c r="D1618" s="563"/>
      <c r="E1618" s="886"/>
      <c r="F1618" s="887"/>
    </row>
    <row r="1619" spans="1:6">
      <c r="A1619" s="542" t="s">
        <v>1045</v>
      </c>
      <c r="B1619" s="564"/>
      <c r="C1619" s="562"/>
      <c r="D1619" s="563" t="s">
        <v>1045</v>
      </c>
      <c r="E1619" s="564"/>
      <c r="F1619" s="565"/>
    </row>
    <row r="1620" spans="1:6">
      <c r="A1620" s="545"/>
      <c r="B1620" s="895"/>
      <c r="C1620" s="896"/>
      <c r="D1620" s="566"/>
      <c r="E1620" s="897"/>
      <c r="F1620" s="898"/>
    </row>
    <row r="1622" spans="1:6">
      <c r="A1622" s="838" t="s">
        <v>1037</v>
      </c>
      <c r="B1622" s="838"/>
      <c r="C1622" s="838"/>
      <c r="D1622" s="838"/>
      <c r="E1622" s="838"/>
      <c r="F1622" s="837"/>
    </row>
    <row r="1623" spans="1:6">
      <c r="A1623" s="837" t="s">
        <v>1038</v>
      </c>
      <c r="B1623" s="837"/>
      <c r="C1623" s="837"/>
      <c r="D1623" s="837"/>
      <c r="E1623" s="837"/>
      <c r="F1623" s="837"/>
    </row>
    <row r="1624" spans="1:6">
      <c r="A1624" s="571"/>
      <c r="B1624" s="571"/>
      <c r="C1624" s="571"/>
      <c r="D1624" s="571"/>
      <c r="E1624" s="571"/>
      <c r="F1624" s="571"/>
    </row>
    <row r="1625" spans="1:6" ht="15.75">
      <c r="A1625" s="872" t="s">
        <v>1039</v>
      </c>
      <c r="B1625" s="901"/>
      <c r="C1625" s="901"/>
      <c r="D1625" s="902"/>
      <c r="E1625" s="865" t="s">
        <v>1160</v>
      </c>
      <c r="F1625" s="866"/>
    </row>
    <row r="1626" spans="1:6">
      <c r="A1626" s="539" t="s">
        <v>1042</v>
      </c>
      <c r="B1626" s="874"/>
      <c r="C1626" s="897"/>
      <c r="D1626" s="898"/>
      <c r="E1626" s="540"/>
      <c r="F1626" s="541"/>
    </row>
    <row r="1627" spans="1:6" ht="18.75">
      <c r="A1627" s="539" t="s">
        <v>1043</v>
      </c>
      <c r="B1627" s="876" t="s">
        <v>1151</v>
      </c>
      <c r="C1627" s="903"/>
      <c r="D1627" s="904"/>
      <c r="E1627" s="542" t="s">
        <v>1045</v>
      </c>
      <c r="F1627" s="543"/>
    </row>
    <row r="1628" spans="1:6">
      <c r="A1628" s="544" t="s">
        <v>1046</v>
      </c>
      <c r="B1628" s="865" t="s">
        <v>1047</v>
      </c>
      <c r="C1628" s="905"/>
      <c r="D1628" s="866"/>
      <c r="E1628" s="545"/>
      <c r="F1628" s="546"/>
    </row>
    <row r="1629" spans="1:6">
      <c r="A1629" s="544" t="s">
        <v>1048</v>
      </c>
      <c r="B1629" s="889" t="s">
        <v>1049</v>
      </c>
      <c r="C1629" s="889" t="s">
        <v>1050</v>
      </c>
      <c r="D1629" s="547" t="s">
        <v>1051</v>
      </c>
      <c r="E1629" s="861" t="s">
        <v>1052</v>
      </c>
      <c r="F1629" s="862"/>
    </row>
    <row r="1630" spans="1:6">
      <c r="A1630" s="548" t="s">
        <v>1053</v>
      </c>
      <c r="B1630" s="890"/>
      <c r="C1630" s="890"/>
      <c r="D1630" s="549" t="s">
        <v>1054</v>
      </c>
      <c r="E1630" s="863"/>
      <c r="F1630" s="864"/>
    </row>
    <row r="1631" spans="1:6">
      <c r="A1631" s="544"/>
      <c r="B1631" s="578" t="s">
        <v>1055</v>
      </c>
      <c r="C1631" s="544"/>
      <c r="D1631" s="544">
        <v>300</v>
      </c>
      <c r="E1631" s="540"/>
      <c r="F1631" s="541"/>
    </row>
    <row r="1632" spans="1:6">
      <c r="A1632" s="551"/>
      <c r="B1632" s="542"/>
      <c r="C1632" s="551"/>
      <c r="D1632" s="551"/>
      <c r="E1632" s="542"/>
      <c r="F1632" s="543"/>
    </row>
    <row r="1633" spans="1:6">
      <c r="A1633" s="551"/>
      <c r="B1633" s="551" t="s">
        <v>1152</v>
      </c>
      <c r="C1633" s="551">
        <v>1919</v>
      </c>
      <c r="D1633" s="551"/>
      <c r="E1633" s="542"/>
      <c r="F1633" s="543"/>
    </row>
    <row r="1634" spans="1:6">
      <c r="A1634" s="551"/>
      <c r="B1634" s="551" t="s">
        <v>1153</v>
      </c>
      <c r="C1634" s="551"/>
      <c r="D1634" s="553"/>
      <c r="E1634" s="542"/>
      <c r="F1634" s="543"/>
    </row>
    <row r="1635" spans="1:6">
      <c r="A1635" s="551"/>
      <c r="B1635" s="551"/>
      <c r="C1635" s="551"/>
      <c r="D1635" s="551"/>
      <c r="E1635" s="542"/>
      <c r="F1635" s="543"/>
    </row>
    <row r="1636" spans="1:6">
      <c r="A1636" s="551"/>
      <c r="B1636" s="552" t="s">
        <v>1057</v>
      </c>
      <c r="C1636" s="551"/>
      <c r="D1636" s="551">
        <v>215</v>
      </c>
      <c r="E1636" s="542"/>
      <c r="F1636" s="543"/>
    </row>
    <row r="1637" spans="1:6">
      <c r="A1637" s="551"/>
      <c r="B1637" s="582" t="s">
        <v>1169</v>
      </c>
      <c r="C1637" s="551"/>
      <c r="D1637" s="551"/>
      <c r="E1637" s="542"/>
      <c r="F1637" s="543"/>
    </row>
    <row r="1638" spans="1:6">
      <c r="A1638" s="551"/>
      <c r="B1638" s="551" t="s">
        <v>1171</v>
      </c>
      <c r="C1638" s="591"/>
      <c r="D1638" s="591"/>
      <c r="E1638" s="542"/>
      <c r="F1638" s="554"/>
    </row>
    <row r="1639" spans="1:6">
      <c r="A1639" s="551"/>
      <c r="C1639" s="591"/>
      <c r="D1639" s="591"/>
      <c r="F1639" s="555"/>
    </row>
    <row r="1640" spans="1:6">
      <c r="A1640" s="551"/>
      <c r="B1640" s="542" t="s">
        <v>1102</v>
      </c>
      <c r="C1640" s="551"/>
      <c r="D1640" s="551"/>
      <c r="E1640" s="542"/>
      <c r="F1640" s="585">
        <f>'[1]POW Health Center lasang 2108'!F254</f>
        <v>348999</v>
      </c>
    </row>
    <row r="1641" spans="1:6">
      <c r="A1641" s="551"/>
      <c r="B1641" s="542" t="s">
        <v>1103</v>
      </c>
      <c r="C1641" s="551"/>
      <c r="D1641" s="551"/>
      <c r="E1641" s="542"/>
      <c r="F1641" s="586">
        <f>'[1]POW Health Center lasang 2108'!F255</f>
        <v>139599.6</v>
      </c>
    </row>
    <row r="1642" spans="1:6" ht="15.75">
      <c r="A1642" s="551"/>
      <c r="B1642" s="573" t="s">
        <v>1155</v>
      </c>
      <c r="C1642" s="556"/>
      <c r="D1642" s="551"/>
      <c r="E1642" s="542"/>
      <c r="F1642" s="592">
        <f>'[1]POW Health Center lasang 2108'!G262</f>
        <v>11400</v>
      </c>
    </row>
    <row r="1643" spans="1:6">
      <c r="A1643" s="551"/>
      <c r="B1643" s="573"/>
      <c r="C1643" s="584"/>
      <c r="D1643" s="551"/>
      <c r="E1643" s="542"/>
      <c r="F1643" s="587"/>
    </row>
    <row r="1644" spans="1:6">
      <c r="A1644" s="551"/>
      <c r="B1644" s="573"/>
      <c r="C1644" s="551"/>
      <c r="D1644" s="551"/>
      <c r="E1644" s="542"/>
      <c r="F1644" s="554"/>
    </row>
    <row r="1645" spans="1:6">
      <c r="A1645" s="551"/>
      <c r="B1645" s="573"/>
      <c r="C1645" s="551"/>
      <c r="D1645" s="551"/>
      <c r="E1645" s="542"/>
      <c r="F1645" s="554"/>
    </row>
    <row r="1646" spans="1:6">
      <c r="A1646" s="551"/>
      <c r="B1646" s="558"/>
      <c r="C1646" s="551"/>
      <c r="D1646" s="551"/>
      <c r="E1646" s="542"/>
      <c r="F1646" s="543"/>
    </row>
    <row r="1647" spans="1:6">
      <c r="A1647" s="551"/>
      <c r="B1647" s="558"/>
      <c r="C1647" s="551"/>
      <c r="D1647" s="551"/>
      <c r="E1647" s="542"/>
      <c r="F1647" s="543"/>
    </row>
    <row r="1648" spans="1:6">
      <c r="A1648" s="551"/>
      <c r="B1648" s="558"/>
      <c r="C1648" s="551"/>
      <c r="D1648" s="551"/>
      <c r="E1648" s="542"/>
      <c r="F1648" s="543"/>
    </row>
    <row r="1649" spans="1:6">
      <c r="A1649" s="551"/>
      <c r="B1649" s="542"/>
      <c r="C1649" s="551"/>
      <c r="D1649" s="551"/>
      <c r="E1649" s="542"/>
      <c r="F1649" s="543"/>
    </row>
    <row r="1650" spans="1:6">
      <c r="A1650" s="548"/>
      <c r="B1650" s="545"/>
      <c r="C1650" s="548"/>
      <c r="D1650" s="548"/>
      <c r="E1650" s="545"/>
      <c r="F1650" s="546"/>
    </row>
    <row r="1651" spans="1:6">
      <c r="A1651" s="878" t="s">
        <v>1062</v>
      </c>
      <c r="B1651" s="879"/>
      <c r="C1651" s="879"/>
      <c r="D1651" s="906"/>
      <c r="E1651" s="559"/>
      <c r="F1651" s="560">
        <f>SUM(F1640:F1650)</f>
        <v>499998.6</v>
      </c>
    </row>
    <row r="1652" spans="1:6">
      <c r="A1652" s="540" t="s">
        <v>1064</v>
      </c>
      <c r="B1652" s="880" t="s">
        <v>1065</v>
      </c>
      <c r="C1652" s="881"/>
      <c r="D1652" s="907"/>
      <c r="E1652" s="882"/>
      <c r="F1652" s="883"/>
    </row>
    <row r="1653" spans="1:6">
      <c r="A1653" s="542"/>
      <c r="B1653" s="884" t="s">
        <v>1066</v>
      </c>
      <c r="C1653" s="885"/>
      <c r="D1653" s="888"/>
      <c r="E1653" s="886"/>
      <c r="F1653" s="887"/>
    </row>
    <row r="1654" spans="1:6">
      <c r="A1654" s="542"/>
      <c r="B1654" s="886"/>
      <c r="C1654" s="887"/>
      <c r="D1654" s="888" t="s">
        <v>1067</v>
      </c>
      <c r="E1654" s="886"/>
      <c r="F1654" s="887"/>
    </row>
    <row r="1655" spans="1:6">
      <c r="A1655" s="542"/>
      <c r="B1655" s="884" t="s">
        <v>1068</v>
      </c>
      <c r="C1655" s="885"/>
      <c r="D1655" s="888"/>
      <c r="E1655" s="886"/>
      <c r="F1655" s="887"/>
    </row>
    <row r="1656" spans="1:6">
      <c r="A1656" s="542"/>
      <c r="B1656" s="886"/>
      <c r="C1656" s="887"/>
      <c r="D1656" s="888"/>
      <c r="E1656" s="886"/>
      <c r="F1656" s="887"/>
    </row>
    <row r="1657" spans="1:6">
      <c r="A1657" s="542"/>
      <c r="B1657" s="886"/>
      <c r="C1657" s="887"/>
      <c r="D1657" s="888"/>
      <c r="E1657" s="886"/>
      <c r="F1657" s="887"/>
    </row>
    <row r="1658" spans="1:6">
      <c r="A1658" s="542" t="s">
        <v>1069</v>
      </c>
      <c r="B1658" s="886"/>
      <c r="C1658" s="887"/>
      <c r="D1658" s="563" t="s">
        <v>1069</v>
      </c>
      <c r="E1658" s="886"/>
      <c r="F1658" s="887"/>
    </row>
    <row r="1659" spans="1:6">
      <c r="A1659" s="542" t="s">
        <v>1070</v>
      </c>
      <c r="B1659" s="891" t="s">
        <v>1071</v>
      </c>
      <c r="C1659" s="892"/>
      <c r="D1659" s="563" t="s">
        <v>1070</v>
      </c>
      <c r="E1659" s="893" t="s">
        <v>1072</v>
      </c>
      <c r="F1659" s="894"/>
    </row>
    <row r="1660" spans="1:6">
      <c r="A1660" s="542" t="s">
        <v>1073</v>
      </c>
      <c r="B1660" s="884" t="s">
        <v>1074</v>
      </c>
      <c r="C1660" s="885"/>
      <c r="D1660" s="563" t="s">
        <v>1073</v>
      </c>
      <c r="E1660" s="886" t="s">
        <v>1075</v>
      </c>
      <c r="F1660" s="887"/>
    </row>
    <row r="1661" spans="1:6">
      <c r="A1661" s="542"/>
      <c r="B1661" s="886"/>
      <c r="C1661" s="887"/>
      <c r="D1661" s="563"/>
      <c r="E1661" s="886"/>
      <c r="F1661" s="887"/>
    </row>
    <row r="1662" spans="1:6">
      <c r="A1662" s="542" t="s">
        <v>1045</v>
      </c>
      <c r="B1662" s="564"/>
      <c r="C1662" s="562"/>
      <c r="D1662" s="563" t="s">
        <v>1045</v>
      </c>
      <c r="E1662" s="564"/>
      <c r="F1662" s="565"/>
    </row>
    <row r="1663" spans="1:6">
      <c r="A1663" s="545"/>
      <c r="B1663" s="895"/>
      <c r="C1663" s="896"/>
      <c r="D1663" s="566"/>
      <c r="E1663" s="897"/>
      <c r="F1663" s="898"/>
    </row>
    <row r="1665" spans="1:6">
      <c r="A1665" s="838" t="s">
        <v>1037</v>
      </c>
      <c r="B1665" s="838"/>
      <c r="C1665" s="838"/>
      <c r="D1665" s="838"/>
      <c r="E1665" s="838"/>
      <c r="F1665" s="837"/>
    </row>
    <row r="1666" spans="1:6">
      <c r="A1666" s="837" t="s">
        <v>1038</v>
      </c>
      <c r="B1666" s="837"/>
      <c r="C1666" s="837"/>
      <c r="D1666" s="837"/>
      <c r="E1666" s="837"/>
      <c r="F1666" s="837"/>
    </row>
    <row r="1667" spans="1:6">
      <c r="A1667" s="571"/>
      <c r="B1667" s="571"/>
      <c r="C1667" s="571"/>
      <c r="D1667" s="571"/>
      <c r="E1667" s="571"/>
      <c r="F1667" s="571"/>
    </row>
    <row r="1668" spans="1:6" ht="15.75">
      <c r="A1668" s="872" t="s">
        <v>1039</v>
      </c>
      <c r="B1668" s="901"/>
      <c r="C1668" s="901"/>
      <c r="D1668" s="902"/>
      <c r="E1668" s="865" t="s">
        <v>1160</v>
      </c>
      <c r="F1668" s="866"/>
    </row>
    <row r="1669" spans="1:6">
      <c r="A1669" s="539" t="s">
        <v>1042</v>
      </c>
      <c r="B1669" s="874"/>
      <c r="C1669" s="897"/>
      <c r="D1669" s="898"/>
      <c r="E1669" s="540"/>
      <c r="F1669" s="541"/>
    </row>
    <row r="1670" spans="1:6" ht="18.75">
      <c r="A1670" s="539" t="s">
        <v>1043</v>
      </c>
      <c r="B1670" s="876" t="s">
        <v>1151</v>
      </c>
      <c r="C1670" s="903"/>
      <c r="D1670" s="904"/>
      <c r="E1670" s="542" t="s">
        <v>1045</v>
      </c>
      <c r="F1670" s="543"/>
    </row>
    <row r="1671" spans="1:6">
      <c r="A1671" s="544" t="s">
        <v>1046</v>
      </c>
      <c r="B1671" s="865" t="s">
        <v>1047</v>
      </c>
      <c r="C1671" s="905"/>
      <c r="D1671" s="866"/>
      <c r="E1671" s="545"/>
      <c r="F1671" s="546"/>
    </row>
    <row r="1672" spans="1:6">
      <c r="A1672" s="544" t="s">
        <v>1048</v>
      </c>
      <c r="B1672" s="889" t="s">
        <v>1049</v>
      </c>
      <c r="C1672" s="889" t="s">
        <v>1050</v>
      </c>
      <c r="D1672" s="547" t="s">
        <v>1051</v>
      </c>
      <c r="E1672" s="861" t="s">
        <v>1052</v>
      </c>
      <c r="F1672" s="862"/>
    </row>
    <row r="1673" spans="1:6">
      <c r="A1673" s="548" t="s">
        <v>1053</v>
      </c>
      <c r="B1673" s="890"/>
      <c r="C1673" s="890"/>
      <c r="D1673" s="549" t="s">
        <v>1054</v>
      </c>
      <c r="E1673" s="863"/>
      <c r="F1673" s="864"/>
    </row>
    <row r="1674" spans="1:6">
      <c r="A1674" s="544"/>
      <c r="B1674" s="578" t="s">
        <v>1055</v>
      </c>
      <c r="C1674" s="544"/>
      <c r="D1674" s="544">
        <v>300</v>
      </c>
      <c r="E1674" s="540"/>
      <c r="F1674" s="541"/>
    </row>
    <row r="1675" spans="1:6">
      <c r="A1675" s="551"/>
      <c r="B1675" s="542"/>
      <c r="C1675" s="551"/>
      <c r="D1675" s="551"/>
      <c r="E1675" s="542"/>
      <c r="F1675" s="543"/>
    </row>
    <row r="1676" spans="1:6">
      <c r="A1676" s="551"/>
      <c r="B1676" s="551" t="s">
        <v>1152</v>
      </c>
      <c r="C1676" s="551">
        <v>1919</v>
      </c>
      <c r="D1676" s="551"/>
      <c r="E1676" s="542"/>
      <c r="F1676" s="543"/>
    </row>
    <row r="1677" spans="1:6">
      <c r="A1677" s="551"/>
      <c r="B1677" s="551" t="s">
        <v>1153</v>
      </c>
      <c r="C1677" s="551"/>
      <c r="D1677" s="553"/>
      <c r="E1677" s="542"/>
      <c r="F1677" s="543"/>
    </row>
    <row r="1678" spans="1:6">
      <c r="A1678" s="551"/>
      <c r="B1678" s="551"/>
      <c r="C1678" s="551"/>
      <c r="D1678" s="551"/>
      <c r="E1678" s="542"/>
      <c r="F1678" s="543"/>
    </row>
    <row r="1679" spans="1:6">
      <c r="A1679" s="551"/>
      <c r="B1679" s="552" t="s">
        <v>1057</v>
      </c>
      <c r="C1679" s="551"/>
      <c r="D1679" s="551">
        <v>215</v>
      </c>
      <c r="E1679" s="542"/>
      <c r="F1679" s="543"/>
    </row>
    <row r="1680" spans="1:6">
      <c r="A1680" s="551"/>
      <c r="B1680" s="582" t="s">
        <v>1172</v>
      </c>
      <c r="C1680" s="551"/>
      <c r="D1680" s="551"/>
      <c r="E1680" s="542"/>
      <c r="F1680" s="543"/>
    </row>
    <row r="1681" spans="1:6">
      <c r="A1681" s="551"/>
      <c r="B1681" s="551" t="s">
        <v>1173</v>
      </c>
      <c r="C1681" s="591"/>
      <c r="D1681" s="591"/>
      <c r="E1681" s="542"/>
      <c r="F1681" s="554"/>
    </row>
    <row r="1682" spans="1:6">
      <c r="A1682" s="551"/>
      <c r="C1682" s="591"/>
      <c r="D1682" s="591"/>
      <c r="F1682" s="555"/>
    </row>
    <row r="1683" spans="1:6">
      <c r="A1683" s="551"/>
      <c r="B1683" s="542" t="s">
        <v>1102</v>
      </c>
      <c r="C1683" s="551"/>
      <c r="D1683" s="551"/>
      <c r="E1683" s="542"/>
      <c r="F1683" s="585">
        <f>'[1]POW Health Center lasang 2108'!F409</f>
        <v>470428</v>
      </c>
    </row>
    <row r="1684" spans="1:6">
      <c r="A1684" s="551"/>
      <c r="B1684" s="542" t="s">
        <v>1103</v>
      </c>
      <c r="C1684" s="551"/>
      <c r="D1684" s="551"/>
      <c r="E1684" s="542"/>
      <c r="F1684" s="586">
        <f>'[1]POW Health Center lasang 2108'!F410</f>
        <v>188171.2</v>
      </c>
    </row>
    <row r="1685" spans="1:6" ht="15.75">
      <c r="A1685" s="551"/>
      <c r="B1685" s="573" t="s">
        <v>1155</v>
      </c>
      <c r="C1685" s="556"/>
      <c r="D1685" s="551"/>
      <c r="E1685" s="542"/>
      <c r="F1685" s="592">
        <f>'[1]POW Health Center lasang 2108'!H418</f>
        <v>11400</v>
      </c>
    </row>
    <row r="1686" spans="1:6">
      <c r="A1686" s="551"/>
      <c r="B1686" s="573"/>
      <c r="C1686" s="584"/>
      <c r="D1686" s="551"/>
      <c r="E1686" s="542"/>
      <c r="F1686" s="587"/>
    </row>
    <row r="1687" spans="1:6">
      <c r="A1687" s="551"/>
      <c r="B1687" s="573"/>
      <c r="C1687" s="551"/>
      <c r="D1687" s="551"/>
      <c r="E1687" s="542"/>
      <c r="F1687" s="554"/>
    </row>
    <row r="1688" spans="1:6">
      <c r="A1688" s="551"/>
      <c r="B1688" s="573"/>
      <c r="C1688" s="551"/>
      <c r="D1688" s="551"/>
      <c r="E1688" s="542"/>
      <c r="F1688" s="554"/>
    </row>
    <row r="1689" spans="1:6">
      <c r="A1689" s="551"/>
      <c r="B1689" s="558"/>
      <c r="C1689" s="551"/>
      <c r="D1689" s="551"/>
      <c r="E1689" s="542"/>
      <c r="F1689" s="543"/>
    </row>
    <row r="1690" spans="1:6">
      <c r="A1690" s="551"/>
      <c r="B1690" s="558"/>
      <c r="C1690" s="551"/>
      <c r="D1690" s="551"/>
      <c r="E1690" s="542"/>
      <c r="F1690" s="543"/>
    </row>
    <row r="1691" spans="1:6">
      <c r="A1691" s="551"/>
      <c r="B1691" s="558"/>
      <c r="C1691" s="551"/>
      <c r="D1691" s="551"/>
      <c r="E1691" s="542"/>
      <c r="F1691" s="543"/>
    </row>
    <row r="1692" spans="1:6">
      <c r="A1692" s="551"/>
      <c r="B1692" s="542"/>
      <c r="C1692" s="551"/>
      <c r="D1692" s="551"/>
      <c r="E1692" s="542"/>
      <c r="F1692" s="543"/>
    </row>
    <row r="1693" spans="1:6">
      <c r="A1693" s="548"/>
      <c r="B1693" s="545"/>
      <c r="C1693" s="548"/>
      <c r="D1693" s="548"/>
      <c r="E1693" s="545"/>
      <c r="F1693" s="546"/>
    </row>
    <row r="1694" spans="1:6">
      <c r="A1694" s="878" t="s">
        <v>1062</v>
      </c>
      <c r="B1694" s="879"/>
      <c r="C1694" s="879"/>
      <c r="D1694" s="906"/>
      <c r="E1694" s="559"/>
      <c r="F1694" s="560">
        <f>SUM(F1683:F1693)</f>
        <v>669999.19999999995</v>
      </c>
    </row>
    <row r="1695" spans="1:6">
      <c r="A1695" s="540" t="s">
        <v>1064</v>
      </c>
      <c r="B1695" s="880" t="s">
        <v>1065</v>
      </c>
      <c r="C1695" s="881"/>
      <c r="D1695" s="907"/>
      <c r="E1695" s="882"/>
      <c r="F1695" s="883"/>
    </row>
    <row r="1696" spans="1:6">
      <c r="A1696" s="542"/>
      <c r="B1696" s="884" t="s">
        <v>1066</v>
      </c>
      <c r="C1696" s="885"/>
      <c r="D1696" s="888"/>
      <c r="E1696" s="886"/>
      <c r="F1696" s="887"/>
    </row>
    <row r="1697" spans="1:6">
      <c r="A1697" s="542"/>
      <c r="B1697" s="886"/>
      <c r="C1697" s="887"/>
      <c r="D1697" s="888" t="s">
        <v>1067</v>
      </c>
      <c r="E1697" s="886"/>
      <c r="F1697" s="887"/>
    </row>
    <row r="1698" spans="1:6">
      <c r="A1698" s="542"/>
      <c r="B1698" s="884" t="s">
        <v>1068</v>
      </c>
      <c r="C1698" s="885"/>
      <c r="D1698" s="888"/>
      <c r="E1698" s="886"/>
      <c r="F1698" s="887"/>
    </row>
    <row r="1699" spans="1:6">
      <c r="A1699" s="542"/>
      <c r="B1699" s="886"/>
      <c r="C1699" s="887"/>
      <c r="D1699" s="888"/>
      <c r="E1699" s="886"/>
      <c r="F1699" s="887"/>
    </row>
    <row r="1700" spans="1:6">
      <c r="A1700" s="542"/>
      <c r="B1700" s="886"/>
      <c r="C1700" s="887"/>
      <c r="D1700" s="888"/>
      <c r="E1700" s="886"/>
      <c r="F1700" s="887"/>
    </row>
    <row r="1701" spans="1:6">
      <c r="A1701" s="542" t="s">
        <v>1069</v>
      </c>
      <c r="B1701" s="886"/>
      <c r="C1701" s="887"/>
      <c r="D1701" s="563" t="s">
        <v>1069</v>
      </c>
      <c r="E1701" s="886"/>
      <c r="F1701" s="887"/>
    </row>
    <row r="1702" spans="1:6">
      <c r="A1702" s="542" t="s">
        <v>1070</v>
      </c>
      <c r="B1702" s="891" t="s">
        <v>1071</v>
      </c>
      <c r="C1702" s="892"/>
      <c r="D1702" s="563" t="s">
        <v>1070</v>
      </c>
      <c r="E1702" s="893" t="s">
        <v>1072</v>
      </c>
      <c r="F1702" s="894"/>
    </row>
    <row r="1703" spans="1:6">
      <c r="A1703" s="542" t="s">
        <v>1073</v>
      </c>
      <c r="B1703" s="884" t="s">
        <v>1074</v>
      </c>
      <c r="C1703" s="885"/>
      <c r="D1703" s="563" t="s">
        <v>1073</v>
      </c>
      <c r="E1703" s="886" t="s">
        <v>1075</v>
      </c>
      <c r="F1703" s="887"/>
    </row>
    <row r="1704" spans="1:6">
      <c r="A1704" s="542"/>
      <c r="B1704" s="886"/>
      <c r="C1704" s="887"/>
      <c r="D1704" s="563"/>
      <c r="E1704" s="886"/>
      <c r="F1704" s="887"/>
    </row>
    <row r="1705" spans="1:6">
      <c r="A1705" s="542" t="s">
        <v>1045</v>
      </c>
      <c r="B1705" s="564"/>
      <c r="C1705" s="562"/>
      <c r="D1705" s="563" t="s">
        <v>1045</v>
      </c>
      <c r="E1705" s="564"/>
      <c r="F1705" s="565"/>
    </row>
    <row r="1706" spans="1:6">
      <c r="A1706" s="545"/>
      <c r="B1706" s="895"/>
      <c r="C1706" s="896"/>
      <c r="D1706" s="566"/>
      <c r="E1706" s="897"/>
      <c r="F1706" s="898"/>
    </row>
  </sheetData>
  <mergeCells count="1290">
    <mergeCell ref="A1:F1"/>
    <mergeCell ref="A2:F2"/>
    <mergeCell ref="A3:F3"/>
    <mergeCell ref="A4:F4"/>
    <mergeCell ref="A5:D5"/>
    <mergeCell ref="B6:D6"/>
    <mergeCell ref="B7:D7"/>
    <mergeCell ref="B8:D8"/>
    <mergeCell ref="A24:D24"/>
    <mergeCell ref="B25:C25"/>
    <mergeCell ref="D25:F25"/>
    <mergeCell ref="B26:C26"/>
    <mergeCell ref="D26:F26"/>
    <mergeCell ref="B27:C27"/>
    <mergeCell ref="D27:F27"/>
    <mergeCell ref="B28:C28"/>
    <mergeCell ref="D28:F28"/>
    <mergeCell ref="C9:C10"/>
    <mergeCell ref="E9:F10"/>
    <mergeCell ref="B29:C29"/>
    <mergeCell ref="D29:F29"/>
    <mergeCell ref="B30:C30"/>
    <mergeCell ref="D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6:C36"/>
    <mergeCell ref="E36:F36"/>
    <mergeCell ref="A48:F48"/>
    <mergeCell ref="A49:F49"/>
    <mergeCell ref="A50:F50"/>
    <mergeCell ref="A51:D51"/>
    <mergeCell ref="B52:D52"/>
    <mergeCell ref="B53:D53"/>
    <mergeCell ref="B54:D54"/>
    <mergeCell ref="A71:D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C55:C56"/>
    <mergeCell ref="E55:F56"/>
    <mergeCell ref="B78:C78"/>
    <mergeCell ref="E78:F78"/>
    <mergeCell ref="B79:C79"/>
    <mergeCell ref="E79:F79"/>
    <mergeCell ref="B80:C80"/>
    <mergeCell ref="E80:F80"/>
    <mergeCell ref="B81:C81"/>
    <mergeCell ref="E81:F81"/>
    <mergeCell ref="B83:C83"/>
    <mergeCell ref="E83:F83"/>
    <mergeCell ref="A95:F95"/>
    <mergeCell ref="A96:F96"/>
    <mergeCell ref="A97:F97"/>
    <mergeCell ref="A98:D98"/>
    <mergeCell ref="B99:D99"/>
    <mergeCell ref="B100:D100"/>
    <mergeCell ref="B101:D101"/>
    <mergeCell ref="A118:D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30:C130"/>
    <mergeCell ref="E130:F130"/>
    <mergeCell ref="A142:F142"/>
    <mergeCell ref="A143:F143"/>
    <mergeCell ref="A144:F144"/>
    <mergeCell ref="A145:D145"/>
    <mergeCell ref="B146:D146"/>
    <mergeCell ref="B147:D147"/>
    <mergeCell ref="B148:D148"/>
    <mergeCell ref="A165:D165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7:C177"/>
    <mergeCell ref="E177:F177"/>
    <mergeCell ref="A189:F189"/>
    <mergeCell ref="A190:F190"/>
    <mergeCell ref="A191:F191"/>
    <mergeCell ref="A192:D192"/>
    <mergeCell ref="B193:D193"/>
    <mergeCell ref="B194:D194"/>
    <mergeCell ref="B195:D195"/>
    <mergeCell ref="A212:D212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C217"/>
    <mergeCell ref="D217:F217"/>
    <mergeCell ref="B218:C218"/>
    <mergeCell ref="D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4:C224"/>
    <mergeCell ref="E224:F224"/>
    <mergeCell ref="A238:F238"/>
    <mergeCell ref="A239:F239"/>
    <mergeCell ref="A240:F240"/>
    <mergeCell ref="A241:D241"/>
    <mergeCell ref="B242:D242"/>
    <mergeCell ref="B243:D243"/>
    <mergeCell ref="B244:D244"/>
    <mergeCell ref="A262:D262"/>
    <mergeCell ref="B263:C263"/>
    <mergeCell ref="D263:F263"/>
    <mergeCell ref="B264:C264"/>
    <mergeCell ref="D264:F264"/>
    <mergeCell ref="B265:C265"/>
    <mergeCell ref="D265:F265"/>
    <mergeCell ref="B266:C266"/>
    <mergeCell ref="D266:F266"/>
    <mergeCell ref="B267:C267"/>
    <mergeCell ref="D267:F267"/>
    <mergeCell ref="B268:C268"/>
    <mergeCell ref="D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4:C274"/>
    <mergeCell ref="E274:F274"/>
    <mergeCell ref="A282:F282"/>
    <mergeCell ref="A283:F283"/>
    <mergeCell ref="A284:F284"/>
    <mergeCell ref="A285:D285"/>
    <mergeCell ref="E285:F285"/>
    <mergeCell ref="B286:D286"/>
    <mergeCell ref="B287:D287"/>
    <mergeCell ref="B288:D288"/>
    <mergeCell ref="A305:D305"/>
    <mergeCell ref="B306:C306"/>
    <mergeCell ref="D306:F306"/>
    <mergeCell ref="B307:C307"/>
    <mergeCell ref="D307:F307"/>
    <mergeCell ref="B308:C308"/>
    <mergeCell ref="D308:F308"/>
    <mergeCell ref="B309:C309"/>
    <mergeCell ref="D309:F309"/>
    <mergeCell ref="B310:C310"/>
    <mergeCell ref="D310:F310"/>
    <mergeCell ref="B311:C311"/>
    <mergeCell ref="D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7:C317"/>
    <mergeCell ref="E317:F317"/>
    <mergeCell ref="A329:F329"/>
    <mergeCell ref="A330:F330"/>
    <mergeCell ref="A331:F331"/>
    <mergeCell ref="A332:D332"/>
    <mergeCell ref="E332:F332"/>
    <mergeCell ref="B333:D333"/>
    <mergeCell ref="B334:D334"/>
    <mergeCell ref="B335:D335"/>
    <mergeCell ref="A354:D354"/>
    <mergeCell ref="B355:C355"/>
    <mergeCell ref="D355:F355"/>
    <mergeCell ref="B356:C356"/>
    <mergeCell ref="D356:F356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6:C366"/>
    <mergeCell ref="E366:F366"/>
    <mergeCell ref="A376:F376"/>
    <mergeCell ref="A377:F377"/>
    <mergeCell ref="A378:F378"/>
    <mergeCell ref="A379:D379"/>
    <mergeCell ref="E379:F379"/>
    <mergeCell ref="B380:D380"/>
    <mergeCell ref="B381:D381"/>
    <mergeCell ref="B382:D382"/>
    <mergeCell ref="A401:D401"/>
    <mergeCell ref="B402:C402"/>
    <mergeCell ref="D402:F402"/>
    <mergeCell ref="B403:C403"/>
    <mergeCell ref="D403:F403"/>
    <mergeCell ref="B404:C404"/>
    <mergeCell ref="D404:F404"/>
    <mergeCell ref="B405:C405"/>
    <mergeCell ref="D405:F405"/>
    <mergeCell ref="B406:C406"/>
    <mergeCell ref="D406:F406"/>
    <mergeCell ref="B407:C407"/>
    <mergeCell ref="D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3:C413"/>
    <mergeCell ref="E413:F413"/>
    <mergeCell ref="A423:F423"/>
    <mergeCell ref="A424:F424"/>
    <mergeCell ref="A425:F425"/>
    <mergeCell ref="A426:D426"/>
    <mergeCell ref="E426:F426"/>
    <mergeCell ref="B427:D427"/>
    <mergeCell ref="B428:D428"/>
    <mergeCell ref="B429:D429"/>
    <mergeCell ref="A447:D447"/>
    <mergeCell ref="B448:C448"/>
    <mergeCell ref="D448:F448"/>
    <mergeCell ref="B449:C449"/>
    <mergeCell ref="D449:F449"/>
    <mergeCell ref="B450:C450"/>
    <mergeCell ref="D450:F450"/>
    <mergeCell ref="B451:C451"/>
    <mergeCell ref="D451:F451"/>
    <mergeCell ref="B452:C452"/>
    <mergeCell ref="D452:F452"/>
    <mergeCell ref="B453:C453"/>
    <mergeCell ref="D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9:C459"/>
    <mergeCell ref="E459:F459"/>
    <mergeCell ref="A471:F471"/>
    <mergeCell ref="A472:F472"/>
    <mergeCell ref="A473:F473"/>
    <mergeCell ref="A474:D474"/>
    <mergeCell ref="E474:F474"/>
    <mergeCell ref="B475:D475"/>
    <mergeCell ref="B476:D476"/>
    <mergeCell ref="B477:D477"/>
    <mergeCell ref="A495:D495"/>
    <mergeCell ref="B496:C496"/>
    <mergeCell ref="D496:F496"/>
    <mergeCell ref="B497:C497"/>
    <mergeCell ref="D497:F497"/>
    <mergeCell ref="B498:C498"/>
    <mergeCell ref="D498:F498"/>
    <mergeCell ref="B499:C499"/>
    <mergeCell ref="D499:F499"/>
    <mergeCell ref="B500:C500"/>
    <mergeCell ref="D500:F500"/>
    <mergeCell ref="B501:C501"/>
    <mergeCell ref="D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7:C507"/>
    <mergeCell ref="E507:F507"/>
    <mergeCell ref="A518:F518"/>
    <mergeCell ref="A519:F519"/>
    <mergeCell ref="A520:F520"/>
    <mergeCell ref="A521:D521"/>
    <mergeCell ref="E521:F521"/>
    <mergeCell ref="B522:D522"/>
    <mergeCell ref="B523:D523"/>
    <mergeCell ref="B524:D524"/>
    <mergeCell ref="A543:D543"/>
    <mergeCell ref="B544:C544"/>
    <mergeCell ref="D544:F544"/>
    <mergeCell ref="B545:C545"/>
    <mergeCell ref="D545:F545"/>
    <mergeCell ref="B546:C546"/>
    <mergeCell ref="D546:F546"/>
    <mergeCell ref="B547:C547"/>
    <mergeCell ref="D547:F547"/>
    <mergeCell ref="B548:C548"/>
    <mergeCell ref="D548:F548"/>
    <mergeCell ref="B549:C549"/>
    <mergeCell ref="D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5:C555"/>
    <mergeCell ref="E555:F555"/>
    <mergeCell ref="A565:F565"/>
    <mergeCell ref="A566:F566"/>
    <mergeCell ref="A567:F567"/>
    <mergeCell ref="A568:D568"/>
    <mergeCell ref="E568:F568"/>
    <mergeCell ref="B569:D569"/>
    <mergeCell ref="B570:D570"/>
    <mergeCell ref="B571:D571"/>
    <mergeCell ref="A590:D590"/>
    <mergeCell ref="B591:C591"/>
    <mergeCell ref="D591:F591"/>
    <mergeCell ref="B592:C592"/>
    <mergeCell ref="D592:F592"/>
    <mergeCell ref="B593:C593"/>
    <mergeCell ref="D593:F593"/>
    <mergeCell ref="B577:B578"/>
    <mergeCell ref="B641:C641"/>
    <mergeCell ref="D641:F641"/>
    <mergeCell ref="B642:C642"/>
    <mergeCell ref="D642:F642"/>
    <mergeCell ref="B620:B621"/>
    <mergeCell ref="B625:B626"/>
    <mergeCell ref="B594:C594"/>
    <mergeCell ref="D594:F594"/>
    <mergeCell ref="B595:C595"/>
    <mergeCell ref="D595:F595"/>
    <mergeCell ref="B596:C596"/>
    <mergeCell ref="D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2:C602"/>
    <mergeCell ref="E602:F602"/>
    <mergeCell ref="A613:F613"/>
    <mergeCell ref="B643:C643"/>
    <mergeCell ref="D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9:C649"/>
    <mergeCell ref="E649:F649"/>
    <mergeCell ref="A661:F661"/>
    <mergeCell ref="A662:F662"/>
    <mergeCell ref="A663:F663"/>
    <mergeCell ref="A664:D664"/>
    <mergeCell ref="E664:F664"/>
    <mergeCell ref="B665:D665"/>
    <mergeCell ref="B666:D666"/>
    <mergeCell ref="B667:D667"/>
    <mergeCell ref="A686:D686"/>
    <mergeCell ref="B687:C687"/>
    <mergeCell ref="D687:F687"/>
    <mergeCell ref="B688:C688"/>
    <mergeCell ref="D688:F688"/>
    <mergeCell ref="B689:C689"/>
    <mergeCell ref="D689:F689"/>
    <mergeCell ref="B690:C690"/>
    <mergeCell ref="D690:F690"/>
    <mergeCell ref="B691:C691"/>
    <mergeCell ref="D691:F691"/>
    <mergeCell ref="B692:C692"/>
    <mergeCell ref="D692:F692"/>
    <mergeCell ref="B693:C693"/>
    <mergeCell ref="E693:F693"/>
    <mergeCell ref="B668:B669"/>
    <mergeCell ref="B673:B674"/>
    <mergeCell ref="B694:C694"/>
    <mergeCell ref="E694:F694"/>
    <mergeCell ref="B695:C695"/>
    <mergeCell ref="E695:F695"/>
    <mergeCell ref="B696:C696"/>
    <mergeCell ref="E696:F696"/>
    <mergeCell ref="B698:C698"/>
    <mergeCell ref="E698:F698"/>
    <mergeCell ref="A707:F707"/>
    <mergeCell ref="A708:F708"/>
    <mergeCell ref="A709:F709"/>
    <mergeCell ref="A710:D710"/>
    <mergeCell ref="E710:F710"/>
    <mergeCell ref="B711:D711"/>
    <mergeCell ref="B712:D712"/>
    <mergeCell ref="B713:D713"/>
    <mergeCell ref="A736:D736"/>
    <mergeCell ref="B714:B715"/>
    <mergeCell ref="B719:B720"/>
    <mergeCell ref="B737:C737"/>
    <mergeCell ref="D737:F737"/>
    <mergeCell ref="B738:C738"/>
    <mergeCell ref="D738:F738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8:C748"/>
    <mergeCell ref="E748:F748"/>
    <mergeCell ref="A751:F751"/>
    <mergeCell ref="A752:F752"/>
    <mergeCell ref="A753:F753"/>
    <mergeCell ref="A754:D754"/>
    <mergeCell ref="E754:F754"/>
    <mergeCell ref="B755:D755"/>
    <mergeCell ref="B756:D756"/>
    <mergeCell ref="B757:D757"/>
    <mergeCell ref="B771:C771"/>
    <mergeCell ref="A780:D780"/>
    <mergeCell ref="B781:C781"/>
    <mergeCell ref="D781:F781"/>
    <mergeCell ref="B782:C782"/>
    <mergeCell ref="D782:F782"/>
    <mergeCell ref="B758:B759"/>
    <mergeCell ref="B827:C827"/>
    <mergeCell ref="D827:F827"/>
    <mergeCell ref="B828:C828"/>
    <mergeCell ref="D828:F828"/>
    <mergeCell ref="B829:C829"/>
    <mergeCell ref="D829:F829"/>
    <mergeCell ref="B803:B804"/>
    <mergeCell ref="B783:C783"/>
    <mergeCell ref="D783:F783"/>
    <mergeCell ref="B784:C784"/>
    <mergeCell ref="D784:F784"/>
    <mergeCell ref="B785:C785"/>
    <mergeCell ref="D785:F785"/>
    <mergeCell ref="B786:C786"/>
    <mergeCell ref="D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2:C792"/>
    <mergeCell ref="E792:F792"/>
    <mergeCell ref="A870:D870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C875"/>
    <mergeCell ref="D875:F875"/>
    <mergeCell ref="B876:C876"/>
    <mergeCell ref="D876:F876"/>
    <mergeCell ref="B848:B849"/>
    <mergeCell ref="B830:C830"/>
    <mergeCell ref="D830:F830"/>
    <mergeCell ref="B831:C831"/>
    <mergeCell ref="D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7:C837"/>
    <mergeCell ref="E837:F837"/>
    <mergeCell ref="A841:F841"/>
    <mergeCell ref="A842:F842"/>
    <mergeCell ref="A843:F843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2:C882"/>
    <mergeCell ref="E882:F882"/>
    <mergeCell ref="A889:F889"/>
    <mergeCell ref="A890:F890"/>
    <mergeCell ref="A891:F891"/>
    <mergeCell ref="A892:D892"/>
    <mergeCell ref="E892:F892"/>
    <mergeCell ref="B893:D893"/>
    <mergeCell ref="B894:D894"/>
    <mergeCell ref="B895:D895"/>
    <mergeCell ref="A918:D918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C923"/>
    <mergeCell ref="D923:F923"/>
    <mergeCell ref="B924:C924"/>
    <mergeCell ref="D924:F924"/>
    <mergeCell ref="B925:C925"/>
    <mergeCell ref="E925:F925"/>
    <mergeCell ref="B926:C926"/>
    <mergeCell ref="E926:F926"/>
    <mergeCell ref="B896:B897"/>
    <mergeCell ref="C896:C897"/>
    <mergeCell ref="E896:F897"/>
    <mergeCell ref="B927:C927"/>
    <mergeCell ref="E927:F927"/>
    <mergeCell ref="B928:C928"/>
    <mergeCell ref="E928:F928"/>
    <mergeCell ref="B930:C930"/>
    <mergeCell ref="E930:F930"/>
    <mergeCell ref="A934:F934"/>
    <mergeCell ref="A935:F935"/>
    <mergeCell ref="A936:F936"/>
    <mergeCell ref="A937:D937"/>
    <mergeCell ref="E937:F937"/>
    <mergeCell ref="B938:D938"/>
    <mergeCell ref="B939:D939"/>
    <mergeCell ref="B940:D940"/>
    <mergeCell ref="A963:D963"/>
    <mergeCell ref="B964:C964"/>
    <mergeCell ref="D964:F964"/>
    <mergeCell ref="B941:B942"/>
    <mergeCell ref="C941:C942"/>
    <mergeCell ref="E941:F942"/>
    <mergeCell ref="B965:C965"/>
    <mergeCell ref="D965:F965"/>
    <mergeCell ref="B966:C966"/>
    <mergeCell ref="D966:F966"/>
    <mergeCell ref="B967:C967"/>
    <mergeCell ref="D967:F967"/>
    <mergeCell ref="B968:C968"/>
    <mergeCell ref="D968:F968"/>
    <mergeCell ref="B969:C969"/>
    <mergeCell ref="D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5:C975"/>
    <mergeCell ref="E975:F975"/>
    <mergeCell ref="A977:F977"/>
    <mergeCell ref="A978:F978"/>
    <mergeCell ref="A979:F979"/>
    <mergeCell ref="A980:D980"/>
    <mergeCell ref="E980:F980"/>
    <mergeCell ref="B981:D981"/>
    <mergeCell ref="B982:D982"/>
    <mergeCell ref="B983:D983"/>
    <mergeCell ref="A1006:D1006"/>
    <mergeCell ref="B1007:C1007"/>
    <mergeCell ref="D1007:F1007"/>
    <mergeCell ref="B1008:C1008"/>
    <mergeCell ref="D1008:F1008"/>
    <mergeCell ref="B1009:C1009"/>
    <mergeCell ref="D1009:F1009"/>
    <mergeCell ref="B984:B985"/>
    <mergeCell ref="C984:C985"/>
    <mergeCell ref="E984:F985"/>
    <mergeCell ref="B1010:C1010"/>
    <mergeCell ref="D1010:F1010"/>
    <mergeCell ref="B1011:C1011"/>
    <mergeCell ref="D1011:F1011"/>
    <mergeCell ref="B1012:C1012"/>
    <mergeCell ref="D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8:C1018"/>
    <mergeCell ref="E1018:F1018"/>
    <mergeCell ref="A1020:F1020"/>
    <mergeCell ref="A1021:F1021"/>
    <mergeCell ref="A1022:F1022"/>
    <mergeCell ref="A1023:D1023"/>
    <mergeCell ref="E1023:F1023"/>
    <mergeCell ref="B1024:D1024"/>
    <mergeCell ref="B1025:D1025"/>
    <mergeCell ref="B1026:D1026"/>
    <mergeCell ref="A1049:D1049"/>
    <mergeCell ref="B1050:C1050"/>
    <mergeCell ref="D1050:F1050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27:B1028"/>
    <mergeCell ref="C1027:C1028"/>
    <mergeCell ref="E1027:F1028"/>
    <mergeCell ref="B1055:C1055"/>
    <mergeCell ref="D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1:C1061"/>
    <mergeCell ref="E1061:F1061"/>
    <mergeCell ref="A1063:F1063"/>
    <mergeCell ref="A1064:F1064"/>
    <mergeCell ref="A1065:F1065"/>
    <mergeCell ref="A1066:D1066"/>
    <mergeCell ref="E1066:F1066"/>
    <mergeCell ref="B1067:D1067"/>
    <mergeCell ref="B1068:D1068"/>
    <mergeCell ref="B1069:D1069"/>
    <mergeCell ref="A1092:D1092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C1097"/>
    <mergeCell ref="D1097:F1097"/>
    <mergeCell ref="B1098:C1098"/>
    <mergeCell ref="D1098:F1098"/>
    <mergeCell ref="B1099:C1099"/>
    <mergeCell ref="E1099:F1099"/>
    <mergeCell ref="B1070:B1071"/>
    <mergeCell ref="C1070:C1071"/>
    <mergeCell ref="E1070:F1071"/>
    <mergeCell ref="B1100:C1100"/>
    <mergeCell ref="E1100:F1100"/>
    <mergeCell ref="B1101:C1101"/>
    <mergeCell ref="E1101:F1101"/>
    <mergeCell ref="B1102:C1102"/>
    <mergeCell ref="E1102:F1102"/>
    <mergeCell ref="B1104:C1104"/>
    <mergeCell ref="E1104:F1104"/>
    <mergeCell ref="A1106:F1106"/>
    <mergeCell ref="A1107:F1107"/>
    <mergeCell ref="A1108:F1108"/>
    <mergeCell ref="A1109:D1109"/>
    <mergeCell ref="E1109:F1109"/>
    <mergeCell ref="B1110:D1110"/>
    <mergeCell ref="B1111:D1111"/>
    <mergeCell ref="B1112:D1112"/>
    <mergeCell ref="A1135:D1135"/>
    <mergeCell ref="B1113:B1114"/>
    <mergeCell ref="C1113:C1114"/>
    <mergeCell ref="E1113:F1114"/>
    <mergeCell ref="B1136:C1136"/>
    <mergeCell ref="D1136:F1136"/>
    <mergeCell ref="B1137:C1137"/>
    <mergeCell ref="D1137:F1137"/>
    <mergeCell ref="B1138:C1138"/>
    <mergeCell ref="D1138:F1138"/>
    <mergeCell ref="B1139:C1139"/>
    <mergeCell ref="D1139:F1139"/>
    <mergeCell ref="B1140:C1140"/>
    <mergeCell ref="D1140:F1140"/>
    <mergeCell ref="B1141:C1141"/>
    <mergeCell ref="D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7:C1147"/>
    <mergeCell ref="E1147:F1147"/>
    <mergeCell ref="A1149:F1149"/>
    <mergeCell ref="A1150:F1150"/>
    <mergeCell ref="A1151:F1151"/>
    <mergeCell ref="A1152:D1152"/>
    <mergeCell ref="E1152:F1152"/>
    <mergeCell ref="B1153:D1153"/>
    <mergeCell ref="B1154:D1154"/>
    <mergeCell ref="B1155:D1155"/>
    <mergeCell ref="A1178:D1178"/>
    <mergeCell ref="B1179:C1179"/>
    <mergeCell ref="D1179:F1179"/>
    <mergeCell ref="B1180:C1180"/>
    <mergeCell ref="D1180:F1180"/>
    <mergeCell ref="B1156:B1157"/>
    <mergeCell ref="C1156:C1157"/>
    <mergeCell ref="E1156:F1157"/>
    <mergeCell ref="B1181:C1181"/>
    <mergeCell ref="D1181:F1181"/>
    <mergeCell ref="B1182:C1182"/>
    <mergeCell ref="D1182:F1182"/>
    <mergeCell ref="B1183:C1183"/>
    <mergeCell ref="D1183:F1183"/>
    <mergeCell ref="B1184:C1184"/>
    <mergeCell ref="D1184:F1184"/>
    <mergeCell ref="B1185:C1185"/>
    <mergeCell ref="E1185:F1185"/>
    <mergeCell ref="B1186:C1186"/>
    <mergeCell ref="E1186:F1186"/>
    <mergeCell ref="B1187:C1187"/>
    <mergeCell ref="E1187:F1187"/>
    <mergeCell ref="B1188:C1188"/>
    <mergeCell ref="E1188:F1188"/>
    <mergeCell ref="B1190:C1190"/>
    <mergeCell ref="E1190:F1190"/>
    <mergeCell ref="A1192:F1192"/>
    <mergeCell ref="A1193:F1193"/>
    <mergeCell ref="A1194:F1194"/>
    <mergeCell ref="A1195:D1195"/>
    <mergeCell ref="E1195:F1195"/>
    <mergeCell ref="B1196:D1196"/>
    <mergeCell ref="B1197:D1197"/>
    <mergeCell ref="B1198:D1198"/>
    <mergeCell ref="A1221:D1221"/>
    <mergeCell ref="B1222:C1222"/>
    <mergeCell ref="D1222:F1222"/>
    <mergeCell ref="B1223:C1223"/>
    <mergeCell ref="D1223:F1223"/>
    <mergeCell ref="B1224:C1224"/>
    <mergeCell ref="D1224:F1224"/>
    <mergeCell ref="B1225:C1225"/>
    <mergeCell ref="D1225:F1225"/>
    <mergeCell ref="B1199:B1200"/>
    <mergeCell ref="C1199:C1200"/>
    <mergeCell ref="E1199:F1200"/>
    <mergeCell ref="B1226:C1226"/>
    <mergeCell ref="D1226:F1226"/>
    <mergeCell ref="B1227:C1227"/>
    <mergeCell ref="D1227:F1227"/>
    <mergeCell ref="B1228:C1228"/>
    <mergeCell ref="E1228:F1228"/>
    <mergeCell ref="B1229:C1229"/>
    <mergeCell ref="E1229:F1229"/>
    <mergeCell ref="B1230:C1230"/>
    <mergeCell ref="E1230:F1230"/>
    <mergeCell ref="B1231:C1231"/>
    <mergeCell ref="E1231:F1231"/>
    <mergeCell ref="B1233:C1233"/>
    <mergeCell ref="E1233:F1233"/>
    <mergeCell ref="A1235:F1235"/>
    <mergeCell ref="A1236:F1236"/>
    <mergeCell ref="A1237:F1237"/>
    <mergeCell ref="A1238:D1238"/>
    <mergeCell ref="E1238:F1238"/>
    <mergeCell ref="B1239:D1239"/>
    <mergeCell ref="B1240:D1240"/>
    <mergeCell ref="B1241:D1241"/>
    <mergeCell ref="A1264:D1264"/>
    <mergeCell ref="B1265:C1265"/>
    <mergeCell ref="D1265:F1265"/>
    <mergeCell ref="B1266:C1266"/>
    <mergeCell ref="D1266:F1266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42:B1243"/>
    <mergeCell ref="C1242:C1243"/>
    <mergeCell ref="E1242:F1243"/>
    <mergeCell ref="B1271:C1271"/>
    <mergeCell ref="E1271:F1271"/>
    <mergeCell ref="B1272:C1272"/>
    <mergeCell ref="E1272:F1272"/>
    <mergeCell ref="B1273:C1273"/>
    <mergeCell ref="E1273:F1273"/>
    <mergeCell ref="B1274:C1274"/>
    <mergeCell ref="E1274:F1274"/>
    <mergeCell ref="B1276:C1276"/>
    <mergeCell ref="E1276:F1276"/>
    <mergeCell ref="A1278:F1278"/>
    <mergeCell ref="A1279:F1279"/>
    <mergeCell ref="A1280:F1280"/>
    <mergeCell ref="A1281:D1281"/>
    <mergeCell ref="E1281:F1281"/>
    <mergeCell ref="B1282:D1282"/>
    <mergeCell ref="B1283:D1283"/>
    <mergeCell ref="B1284:D1284"/>
    <mergeCell ref="A1307:D1307"/>
    <mergeCell ref="B1308:C1308"/>
    <mergeCell ref="D1308:F1308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C1313"/>
    <mergeCell ref="D1313:F1313"/>
    <mergeCell ref="B1314:C1314"/>
    <mergeCell ref="E1314:F1314"/>
    <mergeCell ref="B1315:C1315"/>
    <mergeCell ref="E1315:F1315"/>
    <mergeCell ref="B1285:B1286"/>
    <mergeCell ref="C1285:C1286"/>
    <mergeCell ref="E1285:F1286"/>
    <mergeCell ref="B1316:C1316"/>
    <mergeCell ref="E1316:F1316"/>
    <mergeCell ref="B1317:C1317"/>
    <mergeCell ref="E1317:F1317"/>
    <mergeCell ref="B1319:C1319"/>
    <mergeCell ref="E1319:F1319"/>
    <mergeCell ref="A1321:F1321"/>
    <mergeCell ref="A1322:F1322"/>
    <mergeCell ref="A1323:F1323"/>
    <mergeCell ref="A1324:D1324"/>
    <mergeCell ref="E1324:F1324"/>
    <mergeCell ref="B1325:D1325"/>
    <mergeCell ref="B1326:D1326"/>
    <mergeCell ref="B1327:D1327"/>
    <mergeCell ref="A1350:D1350"/>
    <mergeCell ref="B1351:C1351"/>
    <mergeCell ref="D1351:F1351"/>
    <mergeCell ref="B1328:B1329"/>
    <mergeCell ref="C1328:C1329"/>
    <mergeCell ref="E1328:F1329"/>
    <mergeCell ref="B1352:C1352"/>
    <mergeCell ref="D1352:F1352"/>
    <mergeCell ref="B1353:C1353"/>
    <mergeCell ref="D1353:F1353"/>
    <mergeCell ref="B1354:C1354"/>
    <mergeCell ref="D1354:F1354"/>
    <mergeCell ref="B1355:C1355"/>
    <mergeCell ref="D1355:F1355"/>
    <mergeCell ref="B1356:C1356"/>
    <mergeCell ref="D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62:C1362"/>
    <mergeCell ref="E1362:F1362"/>
    <mergeCell ref="A1364:F1364"/>
    <mergeCell ref="A1365:F1365"/>
    <mergeCell ref="A1366:F1366"/>
    <mergeCell ref="A1367:D1367"/>
    <mergeCell ref="E1367:F1367"/>
    <mergeCell ref="B1368:D1368"/>
    <mergeCell ref="B1369:D1369"/>
    <mergeCell ref="B1370:D1370"/>
    <mergeCell ref="A1393:D1393"/>
    <mergeCell ref="B1394:C1394"/>
    <mergeCell ref="D1394:F1394"/>
    <mergeCell ref="B1395:C1395"/>
    <mergeCell ref="D1395:F1395"/>
    <mergeCell ref="B1396:C1396"/>
    <mergeCell ref="D1396:F1396"/>
    <mergeCell ref="B1371:B1372"/>
    <mergeCell ref="C1371:C1372"/>
    <mergeCell ref="E1371:F1372"/>
    <mergeCell ref="B1397:C1397"/>
    <mergeCell ref="D1397:F1397"/>
    <mergeCell ref="B1398:C1398"/>
    <mergeCell ref="D1398:F1398"/>
    <mergeCell ref="B1399:C1399"/>
    <mergeCell ref="D1399:F1399"/>
    <mergeCell ref="B1400:C1400"/>
    <mergeCell ref="E1400:F1400"/>
    <mergeCell ref="B1401:C1401"/>
    <mergeCell ref="E1401:F1401"/>
    <mergeCell ref="B1402:C1402"/>
    <mergeCell ref="E1402:F1402"/>
    <mergeCell ref="B1403:C1403"/>
    <mergeCell ref="E1403:F1403"/>
    <mergeCell ref="B1405:C1405"/>
    <mergeCell ref="E1405:F1405"/>
    <mergeCell ref="A1407:F1407"/>
    <mergeCell ref="A1408:F1408"/>
    <mergeCell ref="A1410:D1410"/>
    <mergeCell ref="E1410:F1410"/>
    <mergeCell ref="B1411:D1411"/>
    <mergeCell ref="B1412:D1412"/>
    <mergeCell ref="B1413:D1413"/>
    <mergeCell ref="A1436:D1436"/>
    <mergeCell ref="B1437:C1437"/>
    <mergeCell ref="D1437:F1437"/>
    <mergeCell ref="B1438:C1438"/>
    <mergeCell ref="D1438:F1438"/>
    <mergeCell ref="B1439:C1439"/>
    <mergeCell ref="D1439:F1439"/>
    <mergeCell ref="B1440:C1440"/>
    <mergeCell ref="D1440:F1440"/>
    <mergeCell ref="B1441:C1441"/>
    <mergeCell ref="D1441:F1441"/>
    <mergeCell ref="B1414:B1415"/>
    <mergeCell ref="C1414:C1415"/>
    <mergeCell ref="E1414:F1415"/>
    <mergeCell ref="B1442:C1442"/>
    <mergeCell ref="D1442:F1442"/>
    <mergeCell ref="B1443:C1443"/>
    <mergeCell ref="E1443:F1443"/>
    <mergeCell ref="B1444:C1444"/>
    <mergeCell ref="E1444:F1444"/>
    <mergeCell ref="B1445:C1445"/>
    <mergeCell ref="E1445:F1445"/>
    <mergeCell ref="B1446:C1446"/>
    <mergeCell ref="E1446:F1446"/>
    <mergeCell ref="B1448:C1448"/>
    <mergeCell ref="E1448:F1448"/>
    <mergeCell ref="A1450:F1450"/>
    <mergeCell ref="A1451:F1451"/>
    <mergeCell ref="A1453:D1453"/>
    <mergeCell ref="E1453:F1453"/>
    <mergeCell ref="B1454:D1454"/>
    <mergeCell ref="B1455:D1455"/>
    <mergeCell ref="B1456:D1456"/>
    <mergeCell ref="A1479:D1479"/>
    <mergeCell ref="B1480:C1480"/>
    <mergeCell ref="D1480:F1480"/>
    <mergeCell ref="B1481:C1481"/>
    <mergeCell ref="D1481:F1481"/>
    <mergeCell ref="B1482:C1482"/>
    <mergeCell ref="D1482:F1482"/>
    <mergeCell ref="B1483:C1483"/>
    <mergeCell ref="D1483:F1483"/>
    <mergeCell ref="B1484:C1484"/>
    <mergeCell ref="D1484:F1484"/>
    <mergeCell ref="B1485:C1485"/>
    <mergeCell ref="D1485:F1485"/>
    <mergeCell ref="B1486:C1486"/>
    <mergeCell ref="E1486:F1486"/>
    <mergeCell ref="B1457:B1458"/>
    <mergeCell ref="C1457:C1458"/>
    <mergeCell ref="E1457:F1458"/>
    <mergeCell ref="B1487:C1487"/>
    <mergeCell ref="E1487:F1487"/>
    <mergeCell ref="B1488:C1488"/>
    <mergeCell ref="E1488:F1488"/>
    <mergeCell ref="B1489:C1489"/>
    <mergeCell ref="E1489:F1489"/>
    <mergeCell ref="B1491:C1491"/>
    <mergeCell ref="E1491:F1491"/>
    <mergeCell ref="A1493:F1493"/>
    <mergeCell ref="A1494:F1494"/>
    <mergeCell ref="A1496:D1496"/>
    <mergeCell ref="E1496:F1496"/>
    <mergeCell ref="B1497:D1497"/>
    <mergeCell ref="B1498:D1498"/>
    <mergeCell ref="B1499:D1499"/>
    <mergeCell ref="A1522:D1522"/>
    <mergeCell ref="B1523:C1523"/>
    <mergeCell ref="D1523:F1523"/>
    <mergeCell ref="B1500:B1501"/>
    <mergeCell ref="C1500:C1501"/>
    <mergeCell ref="E1500:F1501"/>
    <mergeCell ref="B1524:C1524"/>
    <mergeCell ref="D1524:F1524"/>
    <mergeCell ref="B1525:C1525"/>
    <mergeCell ref="D1525:F1525"/>
    <mergeCell ref="B1526:C1526"/>
    <mergeCell ref="D1526:F1526"/>
    <mergeCell ref="B1527:C1527"/>
    <mergeCell ref="D1527:F1527"/>
    <mergeCell ref="B1528:C1528"/>
    <mergeCell ref="D1528:F1528"/>
    <mergeCell ref="B1529:C1529"/>
    <mergeCell ref="E1529:F1529"/>
    <mergeCell ref="B1530:C1530"/>
    <mergeCell ref="E1530:F1530"/>
    <mergeCell ref="B1531:C1531"/>
    <mergeCell ref="E1531:F1531"/>
    <mergeCell ref="B1532:C1532"/>
    <mergeCell ref="E1532:F1532"/>
    <mergeCell ref="B1534:C1534"/>
    <mergeCell ref="E1534:F1534"/>
    <mergeCell ref="A1536:F1536"/>
    <mergeCell ref="A1537:F1537"/>
    <mergeCell ref="A1539:D1539"/>
    <mergeCell ref="E1539:F1539"/>
    <mergeCell ref="B1540:D1540"/>
    <mergeCell ref="B1541:D1541"/>
    <mergeCell ref="B1542:D1542"/>
    <mergeCell ref="A1565:D1565"/>
    <mergeCell ref="B1566:C1566"/>
    <mergeCell ref="D1566:F1566"/>
    <mergeCell ref="B1567:C1567"/>
    <mergeCell ref="D1567:F1567"/>
    <mergeCell ref="B1568:C1568"/>
    <mergeCell ref="D1568:F1568"/>
    <mergeCell ref="B1569:C1569"/>
    <mergeCell ref="D1569:F1569"/>
    <mergeCell ref="B1543:B1544"/>
    <mergeCell ref="C1543:C1544"/>
    <mergeCell ref="E1543:F1544"/>
    <mergeCell ref="B1570:C1570"/>
    <mergeCell ref="D1570:F1570"/>
    <mergeCell ref="B1571:C1571"/>
    <mergeCell ref="D1571:F1571"/>
    <mergeCell ref="B1572:C1572"/>
    <mergeCell ref="E1572:F1572"/>
    <mergeCell ref="B1573:C1573"/>
    <mergeCell ref="E1573:F1573"/>
    <mergeCell ref="B1574:C1574"/>
    <mergeCell ref="E1574:F1574"/>
    <mergeCell ref="B1575:C1575"/>
    <mergeCell ref="E1575:F1575"/>
    <mergeCell ref="B1577:C1577"/>
    <mergeCell ref="E1577:F1577"/>
    <mergeCell ref="A1579:F1579"/>
    <mergeCell ref="A1580:F1580"/>
    <mergeCell ref="A1582:D1582"/>
    <mergeCell ref="E1582:F1582"/>
    <mergeCell ref="B1583:D1583"/>
    <mergeCell ref="B1584:D1584"/>
    <mergeCell ref="B1585:D1585"/>
    <mergeCell ref="A1608:D1608"/>
    <mergeCell ref="B1609:C1609"/>
    <mergeCell ref="D1609:F1609"/>
    <mergeCell ref="B1610:C1610"/>
    <mergeCell ref="D1610:F1610"/>
    <mergeCell ref="B1611:C1611"/>
    <mergeCell ref="D1611:F1611"/>
    <mergeCell ref="B1612:C1612"/>
    <mergeCell ref="D1612:F1612"/>
    <mergeCell ref="B1613:C1613"/>
    <mergeCell ref="D1613:F1613"/>
    <mergeCell ref="B1614:C1614"/>
    <mergeCell ref="D1614:F1614"/>
    <mergeCell ref="B1615:C1615"/>
    <mergeCell ref="E1615:F1615"/>
    <mergeCell ref="B1586:B1587"/>
    <mergeCell ref="C1586:C1587"/>
    <mergeCell ref="E1586:F1587"/>
    <mergeCell ref="B1616:C1616"/>
    <mergeCell ref="E1616:F1616"/>
    <mergeCell ref="B1617:C1617"/>
    <mergeCell ref="E1617:F1617"/>
    <mergeCell ref="B1618:C1618"/>
    <mergeCell ref="E1618:F1618"/>
    <mergeCell ref="B1620:C1620"/>
    <mergeCell ref="E1620:F1620"/>
    <mergeCell ref="A1622:F1622"/>
    <mergeCell ref="A1623:F1623"/>
    <mergeCell ref="A1625:D1625"/>
    <mergeCell ref="E1625:F1625"/>
    <mergeCell ref="B1626:D1626"/>
    <mergeCell ref="B1627:D1627"/>
    <mergeCell ref="B1628:D1628"/>
    <mergeCell ref="A1651:D1651"/>
    <mergeCell ref="B1652:C1652"/>
    <mergeCell ref="D1652:F1652"/>
    <mergeCell ref="B1629:B1630"/>
    <mergeCell ref="C1629:C1630"/>
    <mergeCell ref="E1629:F1630"/>
    <mergeCell ref="B1653:C1653"/>
    <mergeCell ref="D1653:F1653"/>
    <mergeCell ref="B1654:C1654"/>
    <mergeCell ref="D1654:F1654"/>
    <mergeCell ref="B1655:C1655"/>
    <mergeCell ref="D1655:F1655"/>
    <mergeCell ref="B1656:C1656"/>
    <mergeCell ref="D1656:F1656"/>
    <mergeCell ref="B1657:C1657"/>
    <mergeCell ref="D1657:F1657"/>
    <mergeCell ref="B1658:C1658"/>
    <mergeCell ref="E1658:F1658"/>
    <mergeCell ref="B1659:C1659"/>
    <mergeCell ref="E1659:F1659"/>
    <mergeCell ref="B1660:C1660"/>
    <mergeCell ref="E1660:F1660"/>
    <mergeCell ref="B1661:C1661"/>
    <mergeCell ref="E1661:F1661"/>
    <mergeCell ref="B1663:C1663"/>
    <mergeCell ref="E1663:F1663"/>
    <mergeCell ref="A1665:F1665"/>
    <mergeCell ref="A1666:F1666"/>
    <mergeCell ref="A1668:D1668"/>
    <mergeCell ref="E1668:F1668"/>
    <mergeCell ref="B1669:D1669"/>
    <mergeCell ref="B1670:D1670"/>
    <mergeCell ref="B1671:D1671"/>
    <mergeCell ref="A1694:D1694"/>
    <mergeCell ref="B1695:C1695"/>
    <mergeCell ref="D1695:F1695"/>
    <mergeCell ref="B1696:C1696"/>
    <mergeCell ref="D1696:F1696"/>
    <mergeCell ref="B1697:C1697"/>
    <mergeCell ref="D1697:F1697"/>
    <mergeCell ref="B1698:C1698"/>
    <mergeCell ref="D1698:F1698"/>
    <mergeCell ref="B1672:B1673"/>
    <mergeCell ref="C1672:C1673"/>
    <mergeCell ref="E1672:F1673"/>
    <mergeCell ref="B1699:C1699"/>
    <mergeCell ref="D1699:F1699"/>
    <mergeCell ref="B1700:C1700"/>
    <mergeCell ref="D1700:F1700"/>
    <mergeCell ref="B1701:C1701"/>
    <mergeCell ref="E1701:F1701"/>
    <mergeCell ref="B1702:C1702"/>
    <mergeCell ref="E1702:F1702"/>
    <mergeCell ref="B1703:C1703"/>
    <mergeCell ref="E1703:F1703"/>
    <mergeCell ref="B1704:C1704"/>
    <mergeCell ref="E1704:F1704"/>
    <mergeCell ref="B1706:C1706"/>
    <mergeCell ref="E1706:F1706"/>
    <mergeCell ref="B9:B10"/>
    <mergeCell ref="B55:B56"/>
    <mergeCell ref="B102:B103"/>
    <mergeCell ref="B149:B150"/>
    <mergeCell ref="B196:B197"/>
    <mergeCell ref="B245:B246"/>
    <mergeCell ref="B289:B290"/>
    <mergeCell ref="B336:B337"/>
    <mergeCell ref="B341:B342"/>
    <mergeCell ref="B383:B384"/>
    <mergeCell ref="B388:B389"/>
    <mergeCell ref="B430:B431"/>
    <mergeCell ref="B435:B436"/>
    <mergeCell ref="B478:B479"/>
    <mergeCell ref="B483:B484"/>
    <mergeCell ref="B525:B526"/>
    <mergeCell ref="B530:B531"/>
    <mergeCell ref="B572:B573"/>
    <mergeCell ref="C102:C103"/>
    <mergeCell ref="C149:C150"/>
    <mergeCell ref="C196:C197"/>
    <mergeCell ref="C245:C246"/>
    <mergeCell ref="C289:C290"/>
    <mergeCell ref="C336:C337"/>
    <mergeCell ref="C383:C384"/>
    <mergeCell ref="C430:C431"/>
    <mergeCell ref="C478:C479"/>
    <mergeCell ref="C525:C526"/>
    <mergeCell ref="C572:C573"/>
    <mergeCell ref="C620:C621"/>
    <mergeCell ref="C668:C669"/>
    <mergeCell ref="C714:C715"/>
    <mergeCell ref="C758:C759"/>
    <mergeCell ref="C803:C804"/>
    <mergeCell ref="C848:C849"/>
    <mergeCell ref="A844:D844"/>
    <mergeCell ref="B845:D845"/>
    <mergeCell ref="B846:D846"/>
    <mergeCell ref="B847:D847"/>
    <mergeCell ref="A796:F796"/>
    <mergeCell ref="A797:F797"/>
    <mergeCell ref="A798:F798"/>
    <mergeCell ref="A799:D799"/>
    <mergeCell ref="E799:F799"/>
    <mergeCell ref="B800:D800"/>
    <mergeCell ref="B801:D801"/>
    <mergeCell ref="B802:D802"/>
    <mergeCell ref="A825:D825"/>
    <mergeCell ref="B826:C826"/>
    <mergeCell ref="D826:F826"/>
    <mergeCell ref="E102:F103"/>
    <mergeCell ref="E149:F150"/>
    <mergeCell ref="E196:F197"/>
    <mergeCell ref="E245:F246"/>
    <mergeCell ref="E289:F290"/>
    <mergeCell ref="E336:F337"/>
    <mergeCell ref="E383:F384"/>
    <mergeCell ref="E430:F431"/>
    <mergeCell ref="E478:F479"/>
    <mergeCell ref="E525:F526"/>
    <mergeCell ref="E572:F573"/>
    <mergeCell ref="E620:F621"/>
    <mergeCell ref="E668:F669"/>
    <mergeCell ref="E714:F715"/>
    <mergeCell ref="E758:F759"/>
    <mergeCell ref="E803:F804"/>
    <mergeCell ref="E848:F849"/>
    <mergeCell ref="E844:F844"/>
    <mergeCell ref="A614:F614"/>
    <mergeCell ref="A615:F615"/>
    <mergeCell ref="A616:D616"/>
    <mergeCell ref="E616:F616"/>
    <mergeCell ref="B617:D617"/>
    <mergeCell ref="B618:D618"/>
    <mergeCell ref="B619:D619"/>
    <mergeCell ref="A637:D637"/>
    <mergeCell ref="B638:C638"/>
    <mergeCell ref="D638:F638"/>
    <mergeCell ref="B639:C639"/>
    <mergeCell ref="D639:F639"/>
    <mergeCell ref="B640:C640"/>
    <mergeCell ref="D640:F640"/>
  </mergeCells>
  <pageMargins left="0.45" right="0.34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O238" sqref="O238"/>
    </sheetView>
  </sheetViews>
  <sheetFormatPr defaultColWidth="9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2"/>
  <sheetViews>
    <sheetView topLeftCell="A83" workbookViewId="0">
      <selection activeCell="O238" sqref="O238"/>
    </sheetView>
  </sheetViews>
  <sheetFormatPr defaultColWidth="9.140625" defaultRowHeight="15" customHeight="1"/>
  <cols>
    <col min="1" max="1" width="16.85546875" style="489" customWidth="1"/>
    <col min="2" max="2" width="30.5703125" style="489" customWidth="1"/>
    <col min="3" max="3" width="38.85546875" style="490" customWidth="1"/>
    <col min="4" max="4" width="16.42578125" style="489" customWidth="1"/>
    <col min="5" max="5" width="14.5703125" style="489" customWidth="1"/>
    <col min="6" max="7" width="13.85546875" style="489" customWidth="1"/>
    <col min="8" max="8" width="19.5703125" style="489" customWidth="1"/>
    <col min="9" max="9" width="15.140625" style="489" customWidth="1"/>
    <col min="10" max="10" width="10" style="489" customWidth="1"/>
    <col min="11" max="11" width="28.42578125" style="489" customWidth="1"/>
    <col min="12" max="13" width="9.140625" style="489"/>
    <col min="14" max="14" width="14" style="489" customWidth="1"/>
    <col min="15" max="16384" width="9.140625" style="489"/>
  </cols>
  <sheetData>
    <row r="1" spans="1:20" ht="15" customHeight="1">
      <c r="A1" s="928" t="s">
        <v>1174</v>
      </c>
      <c r="B1" s="928"/>
      <c r="C1" s="928"/>
      <c r="D1" s="928"/>
      <c r="E1" s="928"/>
      <c r="F1" s="928"/>
      <c r="G1" s="928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</row>
    <row r="2" spans="1:20" ht="15" customHeight="1">
      <c r="A2" s="928" t="s">
        <v>1175</v>
      </c>
      <c r="B2" s="928"/>
      <c r="C2" s="928"/>
      <c r="D2" s="928"/>
      <c r="E2" s="928"/>
      <c r="F2" s="928"/>
      <c r="G2" s="928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</row>
    <row r="3" spans="1:20" ht="15" customHeight="1">
      <c r="A3" s="928" t="s">
        <v>1176</v>
      </c>
      <c r="B3" s="928"/>
      <c r="C3" s="928"/>
      <c r="D3" s="928"/>
      <c r="E3" s="928"/>
      <c r="F3" s="928"/>
      <c r="G3" s="928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</row>
    <row r="4" spans="1:20" ht="15" customHeight="1">
      <c r="A4" s="928" t="s">
        <v>1177</v>
      </c>
      <c r="B4" s="928"/>
      <c r="C4" s="928"/>
      <c r="D4" s="928"/>
      <c r="E4" s="928"/>
      <c r="F4" s="928"/>
      <c r="G4" s="928"/>
      <c r="H4" s="491"/>
      <c r="I4" s="923">
        <v>9</v>
      </c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</row>
    <row r="5" spans="1:20" ht="15" customHeight="1">
      <c r="A5" s="492" t="s">
        <v>1178</v>
      </c>
      <c r="B5" s="492" t="s">
        <v>1179</v>
      </c>
      <c r="D5" s="233"/>
      <c r="E5" s="233"/>
      <c r="F5" s="233"/>
      <c r="I5" s="923"/>
    </row>
    <row r="6" spans="1:20" ht="15" customHeight="1">
      <c r="A6" s="492" t="s">
        <v>1180</v>
      </c>
      <c r="B6" s="492" t="s">
        <v>1181</v>
      </c>
      <c r="D6" s="233"/>
      <c r="E6" s="233"/>
      <c r="F6" s="233"/>
    </row>
    <row r="7" spans="1:20" ht="15" customHeight="1">
      <c r="A7" s="492" t="s">
        <v>1182</v>
      </c>
      <c r="B7" s="493">
        <f>G245</f>
        <v>9764779.997967992</v>
      </c>
      <c r="D7" s="233"/>
      <c r="E7" s="233"/>
      <c r="F7" s="233"/>
      <c r="H7" s="489">
        <v>1.1000000000000001</v>
      </c>
    </row>
    <row r="8" spans="1:20" ht="15" customHeight="1">
      <c r="A8" s="494"/>
      <c r="B8" s="494"/>
      <c r="C8" s="495"/>
    </row>
    <row r="9" spans="1:20" ht="22.5" customHeight="1">
      <c r="A9" s="929" t="s">
        <v>1183</v>
      </c>
      <c r="B9" s="929"/>
      <c r="C9" s="929"/>
      <c r="D9" s="929"/>
      <c r="E9" s="929"/>
      <c r="F9" s="929"/>
      <c r="G9" s="929"/>
    </row>
    <row r="10" spans="1:20" ht="13.5" customHeight="1">
      <c r="A10" s="496"/>
      <c r="B10" s="496"/>
      <c r="C10" s="496"/>
      <c r="D10" s="496"/>
      <c r="E10" s="496"/>
      <c r="F10" s="496"/>
      <c r="G10" s="496"/>
    </row>
    <row r="11" spans="1:20" ht="15" customHeight="1">
      <c r="A11" s="494" t="s">
        <v>1184</v>
      </c>
      <c r="B11" s="497" t="s">
        <v>1185</v>
      </c>
      <c r="C11" s="495"/>
      <c r="D11" s="498"/>
      <c r="E11" s="498"/>
      <c r="F11" s="499"/>
      <c r="G11" s="499"/>
    </row>
    <row r="12" spans="1:20" ht="15" customHeight="1">
      <c r="A12" s="497"/>
      <c r="B12" s="497"/>
      <c r="C12" s="495"/>
      <c r="D12" s="498"/>
      <c r="E12" s="498"/>
      <c r="F12" s="499"/>
      <c r="G12" s="499"/>
    </row>
    <row r="13" spans="1:20" ht="15" customHeight="1">
      <c r="A13" s="494" t="s">
        <v>1186</v>
      </c>
      <c r="B13" s="497" t="s">
        <v>1187</v>
      </c>
      <c r="C13" s="500" t="s">
        <v>1188</v>
      </c>
      <c r="D13" s="501">
        <v>1</v>
      </c>
      <c r="E13" s="498" t="s">
        <v>307</v>
      </c>
      <c r="F13" s="499"/>
      <c r="G13" s="499"/>
    </row>
    <row r="14" spans="1:20" ht="15" customHeight="1">
      <c r="A14" s="497"/>
      <c r="B14" s="926" t="s">
        <v>1189</v>
      </c>
      <c r="C14" s="495"/>
      <c r="D14" s="498"/>
      <c r="E14" s="498"/>
      <c r="F14" s="499"/>
      <c r="G14" s="499"/>
    </row>
    <row r="15" spans="1:20" ht="15" customHeight="1">
      <c r="A15" s="497"/>
      <c r="B15" s="926"/>
    </row>
    <row r="16" spans="1:20" ht="15" customHeight="1">
      <c r="A16" s="497"/>
      <c r="B16" s="502"/>
    </row>
    <row r="17" spans="1:7" ht="15" customHeight="1">
      <c r="A17" s="497"/>
      <c r="B17" s="497"/>
      <c r="C17" s="495"/>
      <c r="D17" s="498"/>
      <c r="E17" s="498"/>
      <c r="F17" s="499"/>
      <c r="G17" s="499"/>
    </row>
    <row r="18" spans="1:7" ht="15" customHeight="1">
      <c r="A18" s="497"/>
      <c r="B18" s="497"/>
      <c r="C18" s="927" t="s">
        <v>1190</v>
      </c>
      <c r="D18" s="920">
        <v>18</v>
      </c>
      <c r="E18" s="920" t="s">
        <v>165</v>
      </c>
      <c r="F18" s="920">
        <v>444444.44444444397</v>
      </c>
      <c r="G18" s="922">
        <f>D18*F18</f>
        <v>7999999.9999999916</v>
      </c>
    </row>
    <row r="19" spans="1:7" ht="15" customHeight="1">
      <c r="A19" s="497"/>
      <c r="B19" s="497"/>
      <c r="C19" s="927"/>
      <c r="D19" s="920"/>
      <c r="E19" s="920"/>
      <c r="F19" s="920"/>
      <c r="G19" s="922"/>
    </row>
    <row r="20" spans="1:7" ht="15" customHeight="1">
      <c r="A20" s="497"/>
      <c r="B20" s="497"/>
      <c r="C20" s="927" t="s">
        <v>1191</v>
      </c>
      <c r="D20" s="920"/>
      <c r="E20" s="920"/>
      <c r="F20" s="920"/>
      <c r="G20" s="922"/>
    </row>
    <row r="21" spans="1:7" ht="30" customHeight="1">
      <c r="A21" s="497"/>
      <c r="B21" s="497"/>
      <c r="C21" s="927"/>
      <c r="D21" s="920"/>
      <c r="E21" s="920"/>
      <c r="F21" s="920"/>
      <c r="G21" s="922"/>
    </row>
    <row r="22" spans="1:7" ht="15" customHeight="1">
      <c r="A22" s="497"/>
      <c r="B22" s="497"/>
      <c r="C22" s="927" t="s">
        <v>1192</v>
      </c>
      <c r="D22" s="920"/>
      <c r="E22" s="920"/>
      <c r="F22" s="920"/>
      <c r="G22" s="922"/>
    </row>
    <row r="23" spans="1:7" ht="15" customHeight="1">
      <c r="A23" s="497"/>
      <c r="B23" s="497"/>
      <c r="C23" s="927"/>
      <c r="D23" s="920"/>
      <c r="E23" s="920"/>
      <c r="F23" s="920"/>
      <c r="G23" s="922"/>
    </row>
    <row r="24" spans="1:7" ht="15" customHeight="1">
      <c r="A24" s="497"/>
      <c r="B24" s="497"/>
      <c r="C24" s="361" t="s">
        <v>1193</v>
      </c>
      <c r="D24" s="920"/>
      <c r="E24" s="920"/>
      <c r="F24" s="920"/>
      <c r="G24" s="922"/>
    </row>
    <row r="25" spans="1:7" ht="15" customHeight="1">
      <c r="A25" s="497"/>
      <c r="B25" s="497"/>
      <c r="C25" s="924" t="s">
        <v>1194</v>
      </c>
      <c r="D25" s="920"/>
      <c r="E25" s="920"/>
      <c r="F25" s="920"/>
      <c r="G25" s="922"/>
    </row>
    <row r="26" spans="1:7" ht="15" customHeight="1">
      <c r="A26" s="497"/>
      <c r="B26" s="497"/>
      <c r="C26" s="924"/>
      <c r="D26" s="920"/>
      <c r="E26" s="920"/>
      <c r="F26" s="920"/>
      <c r="G26" s="922"/>
    </row>
    <row r="27" spans="1:7" ht="30.75" customHeight="1">
      <c r="A27" s="497"/>
      <c r="B27" s="497"/>
      <c r="C27" s="506" t="s">
        <v>1195</v>
      </c>
      <c r="D27" s="920"/>
      <c r="E27" s="920"/>
      <c r="F27" s="920"/>
      <c r="G27" s="922"/>
    </row>
    <row r="28" spans="1:7" ht="15" customHeight="1">
      <c r="A28" s="497"/>
      <c r="B28" s="497"/>
      <c r="C28" s="924" t="s">
        <v>1196</v>
      </c>
      <c r="D28" s="920"/>
      <c r="E28" s="920"/>
      <c r="F28" s="920"/>
      <c r="G28" s="922"/>
    </row>
    <row r="29" spans="1:7" ht="15" customHeight="1">
      <c r="A29" s="497"/>
      <c r="B29" s="497"/>
      <c r="C29" s="924"/>
      <c r="D29" s="920"/>
      <c r="E29" s="920"/>
      <c r="F29" s="920"/>
      <c r="G29" s="922"/>
    </row>
    <row r="30" spans="1:7" ht="30.75" customHeight="1">
      <c r="A30" s="497"/>
      <c r="B30" s="497"/>
      <c r="C30" s="924"/>
      <c r="D30" s="920"/>
      <c r="E30" s="920"/>
      <c r="F30" s="920"/>
      <c r="G30" s="922"/>
    </row>
    <row r="31" spans="1:7" ht="15" customHeight="1">
      <c r="A31" s="497"/>
      <c r="B31" s="497"/>
      <c r="C31" s="505" t="s">
        <v>1197</v>
      </c>
      <c r="D31" s="920"/>
      <c r="E31" s="920"/>
      <c r="F31" s="920"/>
      <c r="G31" s="922"/>
    </row>
    <row r="32" spans="1:7" ht="15" customHeight="1">
      <c r="A32" s="497"/>
      <c r="B32" s="497"/>
      <c r="C32" s="505" t="s">
        <v>1198</v>
      </c>
      <c r="D32" s="920"/>
      <c r="E32" s="920"/>
      <c r="F32" s="920"/>
      <c r="G32" s="922"/>
    </row>
    <row r="33" spans="1:7" ht="28.5" customHeight="1">
      <c r="A33" s="497"/>
      <c r="B33" s="497"/>
      <c r="C33" s="505" t="s">
        <v>1199</v>
      </c>
      <c r="D33" s="920"/>
      <c r="E33" s="920"/>
      <c r="F33" s="920"/>
      <c r="G33" s="922"/>
    </row>
    <row r="34" spans="1:7" ht="32.25" customHeight="1">
      <c r="A34" s="497"/>
      <c r="B34" s="497"/>
      <c r="C34" s="505" t="s">
        <v>1200</v>
      </c>
      <c r="D34" s="920"/>
      <c r="E34" s="920"/>
      <c r="F34" s="920"/>
      <c r="G34" s="922"/>
    </row>
    <row r="35" spans="1:7" ht="36" customHeight="1">
      <c r="A35" s="497"/>
      <c r="B35" s="497"/>
      <c r="C35" s="505" t="s">
        <v>1201</v>
      </c>
      <c r="D35" s="920"/>
      <c r="E35" s="920"/>
      <c r="F35" s="920"/>
      <c r="G35" s="922"/>
    </row>
    <row r="36" spans="1:7" ht="34.5" customHeight="1">
      <c r="A36" s="497"/>
      <c r="B36" s="497"/>
      <c r="C36" s="505" t="s">
        <v>1202</v>
      </c>
      <c r="D36" s="920"/>
      <c r="E36" s="920"/>
      <c r="F36" s="920"/>
      <c r="G36" s="922"/>
    </row>
    <row r="37" spans="1:7" ht="15" customHeight="1">
      <c r="A37" s="497"/>
      <c r="B37" s="497"/>
      <c r="C37" s="505" t="s">
        <v>1203</v>
      </c>
      <c r="D37" s="920"/>
      <c r="E37" s="920"/>
      <c r="F37" s="920"/>
      <c r="G37" s="922"/>
    </row>
    <row r="38" spans="1:7" ht="15" customHeight="1">
      <c r="A38" s="497"/>
      <c r="B38" s="497"/>
      <c r="C38" s="505" t="s">
        <v>1204</v>
      </c>
      <c r="D38" s="920"/>
      <c r="E38" s="920"/>
      <c r="F38" s="920"/>
      <c r="G38" s="922"/>
    </row>
    <row r="39" spans="1:7" ht="15" customHeight="1">
      <c r="A39" s="497"/>
      <c r="B39" s="497"/>
      <c r="C39" s="505" t="s">
        <v>1205</v>
      </c>
      <c r="D39" s="920"/>
      <c r="E39" s="920"/>
      <c r="F39" s="920"/>
      <c r="G39" s="922"/>
    </row>
    <row r="40" spans="1:7" ht="15" customHeight="1">
      <c r="A40" s="497"/>
      <c r="B40" s="497"/>
      <c r="C40" s="505" t="s">
        <v>1206</v>
      </c>
      <c r="D40" s="920"/>
      <c r="E40" s="920"/>
      <c r="F40" s="920"/>
      <c r="G40" s="922"/>
    </row>
    <row r="41" spans="1:7" ht="15" customHeight="1">
      <c r="A41" s="497"/>
      <c r="B41" s="497"/>
      <c r="C41" s="505" t="s">
        <v>1207</v>
      </c>
      <c r="D41" s="920"/>
      <c r="E41" s="920"/>
      <c r="F41" s="920"/>
      <c r="G41" s="922"/>
    </row>
    <row r="42" spans="1:7" ht="15" customHeight="1">
      <c r="A42" s="497"/>
      <c r="B42" s="497"/>
      <c r="C42" s="505" t="s">
        <v>1208</v>
      </c>
      <c r="D42" s="920"/>
      <c r="E42" s="920"/>
      <c r="F42" s="920"/>
      <c r="G42" s="922"/>
    </row>
    <row r="43" spans="1:7" ht="15" customHeight="1">
      <c r="A43" s="497"/>
      <c r="B43" s="497"/>
      <c r="C43" s="505" t="s">
        <v>1209</v>
      </c>
      <c r="D43" s="920"/>
      <c r="E43" s="920"/>
      <c r="F43" s="920"/>
      <c r="G43" s="922"/>
    </row>
    <row r="44" spans="1:7" ht="15" customHeight="1">
      <c r="A44" s="497"/>
      <c r="B44" s="497"/>
      <c r="C44" s="505" t="s">
        <v>1210</v>
      </c>
      <c r="D44" s="920"/>
      <c r="E44" s="920"/>
      <c r="F44" s="920"/>
      <c r="G44" s="922"/>
    </row>
    <row r="45" spans="1:7" ht="15" customHeight="1">
      <c r="A45" s="497"/>
      <c r="B45" s="497"/>
      <c r="C45" s="505"/>
      <c r="D45" s="503"/>
      <c r="E45" s="503"/>
      <c r="F45" s="507" t="s">
        <v>1211</v>
      </c>
      <c r="G45" s="494">
        <f>G18</f>
        <v>7999999.9999999916</v>
      </c>
    </row>
    <row r="46" spans="1:7" ht="15" customHeight="1">
      <c r="A46" s="497"/>
      <c r="B46" s="497"/>
      <c r="C46" s="505"/>
      <c r="D46" s="503"/>
      <c r="E46" s="503"/>
      <c r="F46" s="507"/>
      <c r="G46" s="494"/>
    </row>
    <row r="47" spans="1:7" ht="15" customHeight="1">
      <c r="A47" s="497"/>
      <c r="B47" s="497"/>
      <c r="C47" s="505"/>
      <c r="D47" s="503"/>
      <c r="E47" s="503"/>
      <c r="F47" s="507" t="s">
        <v>1212</v>
      </c>
      <c r="G47" s="499">
        <f>G45</f>
        <v>7999999.9999999916</v>
      </c>
    </row>
    <row r="48" spans="1:7" ht="15" customHeight="1">
      <c r="A48" s="497"/>
      <c r="B48" s="497"/>
      <c r="C48" s="505"/>
      <c r="D48" s="503"/>
      <c r="E48" s="503"/>
      <c r="F48" s="507" t="s">
        <v>1213</v>
      </c>
      <c r="G48" s="499">
        <f>G47/D18</f>
        <v>444444.44444444397</v>
      </c>
    </row>
    <row r="49" spans="1:11" ht="15" customHeight="1">
      <c r="A49" s="497"/>
      <c r="B49" s="497"/>
      <c r="C49" s="505"/>
      <c r="D49" s="503"/>
      <c r="E49" s="503"/>
      <c r="F49" s="507"/>
      <c r="G49" s="499"/>
    </row>
    <row r="50" spans="1:11" ht="15" customHeight="1">
      <c r="A50" s="494" t="str">
        <f>'[2]DUPA KCES1'!F446</f>
        <v>SPL-5</v>
      </c>
      <c r="B50" s="497" t="s">
        <v>167</v>
      </c>
      <c r="C50" s="500" t="s">
        <v>1188</v>
      </c>
      <c r="D50" s="501">
        <v>1</v>
      </c>
      <c r="E50" s="498" t="s">
        <v>307</v>
      </c>
      <c r="F50" s="499"/>
      <c r="G50" s="499"/>
      <c r="I50" s="516" t="s">
        <v>1214</v>
      </c>
      <c r="J50" s="489">
        <f>D50/17</f>
        <v>5.8823529411764705E-2</v>
      </c>
      <c r="K50" s="489">
        <f>J50*28</f>
        <v>1.6470588235294117</v>
      </c>
    </row>
    <row r="51" spans="1:11" ht="15" customHeight="1">
      <c r="A51" s="497"/>
      <c r="B51" s="497"/>
      <c r="C51" s="508"/>
      <c r="D51" s="509"/>
      <c r="E51" s="509"/>
      <c r="F51" s="499"/>
      <c r="G51" s="499"/>
    </row>
    <row r="52" spans="1:11" ht="15" customHeight="1">
      <c r="A52" s="497" t="s">
        <v>1215</v>
      </c>
    </row>
    <row r="53" spans="1:11" ht="15" customHeight="1">
      <c r="A53" s="497"/>
      <c r="B53" s="497"/>
      <c r="C53" s="508"/>
      <c r="D53" s="498" t="s">
        <v>173</v>
      </c>
      <c r="E53" s="498" t="s">
        <v>297</v>
      </c>
      <c r="F53" s="507" t="s">
        <v>1216</v>
      </c>
      <c r="G53" s="499" t="s">
        <v>1217</v>
      </c>
    </row>
    <row r="54" spans="1:11" ht="15" customHeight="1">
      <c r="A54" s="497"/>
      <c r="B54" s="497"/>
      <c r="C54" s="510"/>
      <c r="D54" s="498"/>
      <c r="E54" s="498"/>
      <c r="F54" s="507"/>
      <c r="G54" s="499"/>
    </row>
    <row r="55" spans="1:11" ht="15" customHeight="1">
      <c r="A55" s="497"/>
      <c r="B55" s="497"/>
      <c r="C55" s="370" t="s">
        <v>1218</v>
      </c>
      <c r="D55" s="365">
        <v>500</v>
      </c>
      <c r="E55" s="365" t="s">
        <v>585</v>
      </c>
      <c r="F55" s="365">
        <v>32.200000000000003</v>
      </c>
      <c r="G55" s="504">
        <f>D55*F55</f>
        <v>16100.000000000002</v>
      </c>
    </row>
    <row r="56" spans="1:11" ht="15" customHeight="1">
      <c r="A56" s="497"/>
      <c r="B56" s="497"/>
      <c r="C56" s="511" t="s">
        <v>1219</v>
      </c>
      <c r="D56" s="365">
        <v>300</v>
      </c>
      <c r="E56" s="365" t="s">
        <v>585</v>
      </c>
      <c r="F56" s="365">
        <v>32.200000000000003</v>
      </c>
      <c r="G56" s="504">
        <f t="shared" ref="G56:G62" si="0">D56*F56</f>
        <v>9660</v>
      </c>
    </row>
    <row r="57" spans="1:11" ht="15" customHeight="1">
      <c r="A57" s="497"/>
      <c r="B57" s="497"/>
      <c r="C57" s="511" t="s">
        <v>1220</v>
      </c>
      <c r="D57" s="365">
        <v>8</v>
      </c>
      <c r="E57" s="365" t="s">
        <v>1221</v>
      </c>
      <c r="F57" s="365">
        <v>900</v>
      </c>
      <c r="G57" s="504">
        <f t="shared" si="0"/>
        <v>7200</v>
      </c>
    </row>
    <row r="58" spans="1:11" ht="15" customHeight="1">
      <c r="A58" s="497"/>
      <c r="B58" s="497"/>
      <c r="C58" s="370" t="s">
        <v>376</v>
      </c>
      <c r="D58" s="365">
        <v>20</v>
      </c>
      <c r="E58" s="365" t="s">
        <v>16</v>
      </c>
      <c r="F58" s="365">
        <v>35</v>
      </c>
      <c r="G58" s="504">
        <f t="shared" si="0"/>
        <v>700</v>
      </c>
    </row>
    <row r="59" spans="1:11" ht="15" customHeight="1">
      <c r="A59" s="497"/>
      <c r="B59" s="497"/>
      <c r="C59" s="370" t="s">
        <v>1222</v>
      </c>
      <c r="D59" s="512">
        <v>15</v>
      </c>
      <c r="E59" s="509" t="s">
        <v>469</v>
      </c>
      <c r="F59" s="513">
        <v>35</v>
      </c>
      <c r="G59" s="504">
        <f t="shared" si="0"/>
        <v>525</v>
      </c>
    </row>
    <row r="60" spans="1:11" ht="15" customHeight="1">
      <c r="A60" s="497"/>
      <c r="B60" s="497"/>
      <c r="C60" t="s">
        <v>1223</v>
      </c>
      <c r="D60" s="512">
        <v>15</v>
      </c>
      <c r="E60" s="509" t="s">
        <v>238</v>
      </c>
      <c r="F60" s="513">
        <v>85</v>
      </c>
      <c r="G60" s="504">
        <f t="shared" si="0"/>
        <v>1275</v>
      </c>
    </row>
    <row r="61" spans="1:11" ht="15" customHeight="1">
      <c r="A61" s="497"/>
      <c r="B61" s="497"/>
      <c r="C61" t="s">
        <v>1224</v>
      </c>
      <c r="D61" s="512">
        <v>15</v>
      </c>
      <c r="E61" s="509" t="s">
        <v>238</v>
      </c>
      <c r="F61" s="514">
        <v>85</v>
      </c>
      <c r="G61" s="504">
        <f t="shared" si="0"/>
        <v>1275</v>
      </c>
    </row>
    <row r="62" spans="1:11" ht="15" customHeight="1">
      <c r="A62" s="497"/>
      <c r="B62" s="497"/>
      <c r="C62" t="s">
        <v>1225</v>
      </c>
      <c r="D62" s="512">
        <v>5</v>
      </c>
      <c r="E62" s="509" t="s">
        <v>238</v>
      </c>
      <c r="F62" s="513">
        <v>85</v>
      </c>
      <c r="G62" s="515">
        <f t="shared" si="0"/>
        <v>425</v>
      </c>
    </row>
    <row r="63" spans="1:11" ht="15" customHeight="1">
      <c r="A63" s="497"/>
      <c r="B63" s="497"/>
      <c r="C63"/>
      <c r="D63" s="498"/>
      <c r="E63" s="498"/>
      <c r="F63" s="507" t="s">
        <v>1211</v>
      </c>
      <c r="G63" s="494">
        <f>SUM(G55:G62)</f>
        <v>37160</v>
      </c>
    </row>
    <row r="64" spans="1:11" ht="15" customHeight="1">
      <c r="A64" s="497"/>
      <c r="B64" s="497"/>
      <c r="C64" s="495"/>
      <c r="D64" s="498"/>
      <c r="E64" s="498"/>
      <c r="F64" s="507"/>
      <c r="G64" s="499"/>
    </row>
    <row r="65" spans="1:11" ht="15" customHeight="1">
      <c r="A65" s="497"/>
      <c r="B65" s="497"/>
      <c r="C65" s="495"/>
      <c r="D65" s="498"/>
      <c r="E65" s="498"/>
      <c r="F65" s="507" t="s">
        <v>1212</v>
      </c>
      <c r="G65" s="499">
        <f>G63</f>
        <v>37160</v>
      </c>
    </row>
    <row r="66" spans="1:11" ht="15" customHeight="1">
      <c r="A66" s="497"/>
      <c r="B66" s="497"/>
      <c r="C66" s="495"/>
      <c r="D66" s="498"/>
      <c r="E66" s="498"/>
      <c r="F66" s="507" t="s">
        <v>1213</v>
      </c>
      <c r="G66" s="499">
        <f>G65/D50</f>
        <v>37160</v>
      </c>
    </row>
    <row r="68" spans="1:11" ht="15" customHeight="1">
      <c r="A68" s="494"/>
      <c r="B68" s="497" t="s">
        <v>1226</v>
      </c>
      <c r="C68" s="500" t="s">
        <v>1188</v>
      </c>
      <c r="D68" s="501">
        <f>I4*3</f>
        <v>27</v>
      </c>
      <c r="E68" s="498" t="s">
        <v>398</v>
      </c>
      <c r="F68" s="499"/>
      <c r="G68" s="499"/>
      <c r="I68" s="516" t="s">
        <v>1214</v>
      </c>
      <c r="J68" s="489">
        <f>D68/17</f>
        <v>1.588235294117647</v>
      </c>
      <c r="K68" s="489">
        <f>J68*28</f>
        <v>44.470588235294116</v>
      </c>
    </row>
    <row r="69" spans="1:11" ht="15" customHeight="1">
      <c r="A69" s="497"/>
      <c r="B69" s="497"/>
      <c r="C69" s="508"/>
      <c r="D69" s="509"/>
      <c r="E69" s="509"/>
      <c r="F69" s="499"/>
      <c r="G69" s="499"/>
    </row>
    <row r="70" spans="1:11" ht="15" customHeight="1">
      <c r="A70" s="497" t="s">
        <v>1215</v>
      </c>
    </row>
    <row r="71" spans="1:11" ht="15" customHeight="1">
      <c r="A71" s="497"/>
      <c r="B71" s="497"/>
      <c r="C71" s="508"/>
      <c r="D71" s="498" t="s">
        <v>173</v>
      </c>
      <c r="E71" s="498" t="s">
        <v>297</v>
      </c>
      <c r="F71" s="507" t="s">
        <v>1216</v>
      </c>
      <c r="G71" s="499" t="s">
        <v>1217</v>
      </c>
    </row>
    <row r="72" spans="1:11" ht="15" customHeight="1">
      <c r="A72" s="497"/>
      <c r="B72" s="497"/>
      <c r="C72" s="495"/>
      <c r="D72" s="498"/>
      <c r="E72" s="498"/>
      <c r="F72" s="507"/>
      <c r="G72" s="499"/>
    </row>
    <row r="73" spans="1:11" ht="15" customHeight="1">
      <c r="A73" s="497"/>
      <c r="B73" s="497"/>
      <c r="C73" s="517" t="s">
        <v>1227</v>
      </c>
      <c r="D73" s="365">
        <f>ROUNDUP((D$68*I73)/6,0)+1</f>
        <v>45</v>
      </c>
      <c r="E73" s="366" t="s">
        <v>350</v>
      </c>
      <c r="F73" s="367">
        <v>2410</v>
      </c>
      <c r="G73" s="499">
        <f t="shared" ref="G73:G78" si="1">F73*D73</f>
        <v>108450</v>
      </c>
      <c r="I73" s="489">
        <f>4.88+4.8</f>
        <v>9.68</v>
      </c>
    </row>
    <row r="74" spans="1:11" ht="15" customHeight="1">
      <c r="A74" s="497"/>
      <c r="B74" s="497"/>
      <c r="C74" s="517" t="s">
        <v>1228</v>
      </c>
      <c r="D74" s="365">
        <f t="shared" ref="D74" si="2">ROUNDUP((D$68*I74)/6,0)+1</f>
        <v>66</v>
      </c>
      <c r="E74" s="366" t="s">
        <v>350</v>
      </c>
      <c r="F74" s="367">
        <v>1765</v>
      </c>
      <c r="G74" s="499">
        <f t="shared" si="1"/>
        <v>116490</v>
      </c>
      <c r="I74" s="489">
        <f>6.57*2+1.1</f>
        <v>14.24</v>
      </c>
    </row>
    <row r="75" spans="1:11" ht="15" customHeight="1">
      <c r="A75" s="497"/>
      <c r="B75" s="497"/>
      <c r="C75" s="517" t="s">
        <v>1229</v>
      </c>
      <c r="D75" s="365">
        <f>ROUNDUP(((D$68*I75)/(1.22*2.44))+1,0)</f>
        <v>2</v>
      </c>
      <c r="E75" s="366" t="s">
        <v>605</v>
      </c>
      <c r="F75" s="367">
        <v>6350</v>
      </c>
      <c r="G75" s="518">
        <f t="shared" si="1"/>
        <v>12700</v>
      </c>
      <c r="I75" s="489">
        <f>0.32*0.08*0.5*2</f>
        <v>2.5600000000000001E-2</v>
      </c>
      <c r="K75" s="489">
        <f>9*3</f>
        <v>27</v>
      </c>
    </row>
    <row r="76" spans="1:11" ht="15" customHeight="1">
      <c r="A76" s="497"/>
      <c r="B76" s="497"/>
      <c r="C76" s="517" t="s">
        <v>1230</v>
      </c>
      <c r="D76" s="365">
        <f>ROUNDUP(((D$68*I76)/6)+1,0)</f>
        <v>2</v>
      </c>
      <c r="E76" s="366" t="s">
        <v>605</v>
      </c>
      <c r="F76" s="367">
        <v>6350</v>
      </c>
      <c r="G76" s="518">
        <f t="shared" si="1"/>
        <v>12700</v>
      </c>
      <c r="I76" s="489">
        <f>0.25*0.25*2</f>
        <v>0.125</v>
      </c>
    </row>
    <row r="77" spans="1:11" s="488" customFormat="1" ht="15" customHeight="1">
      <c r="A77" s="497"/>
      <c r="B77" s="497"/>
      <c r="C77" s="517" t="s">
        <v>1231</v>
      </c>
      <c r="D77" s="365">
        <f>D68*I77</f>
        <v>27</v>
      </c>
      <c r="E77" s="366" t="str">
        <f>'[2]DUPA KCES1'!O550</f>
        <v>pcs</v>
      </c>
      <c r="F77" s="367">
        <v>120</v>
      </c>
      <c r="G77" s="518">
        <f t="shared" si="1"/>
        <v>3240</v>
      </c>
      <c r="I77" s="488">
        <v>1</v>
      </c>
    </row>
    <row r="78" spans="1:11" ht="15" customHeight="1">
      <c r="A78" s="497"/>
      <c r="B78" s="497"/>
      <c r="C78" s="517" t="s">
        <v>1232</v>
      </c>
      <c r="D78" s="365">
        <f>D68*I78</f>
        <v>108</v>
      </c>
      <c r="E78" s="366" t="s">
        <v>238</v>
      </c>
      <c r="F78" s="367">
        <v>150</v>
      </c>
      <c r="G78" s="519">
        <f t="shared" si="1"/>
        <v>16200</v>
      </c>
      <c r="I78" s="489">
        <v>4</v>
      </c>
    </row>
    <row r="79" spans="1:11" ht="15" customHeight="1">
      <c r="A79" s="497"/>
      <c r="B79" s="497"/>
      <c r="C79" s="495"/>
      <c r="D79" s="498"/>
      <c r="E79" s="498"/>
      <c r="F79" s="507" t="s">
        <v>1211</v>
      </c>
      <c r="G79" s="494">
        <f>SUM(G73:G78)</f>
        <v>269780</v>
      </c>
    </row>
    <row r="80" spans="1:11" ht="15" customHeight="1">
      <c r="A80" s="497"/>
      <c r="B80" s="497"/>
      <c r="C80" s="495"/>
      <c r="D80" s="498"/>
      <c r="E80" s="498"/>
      <c r="I80" s="489">
        <f>(0.72/(1.22*2.44))*27</f>
        <v>6.5305025530771301</v>
      </c>
    </row>
    <row r="81" spans="1:11" ht="15" customHeight="1">
      <c r="A81" s="497" t="s">
        <v>1233</v>
      </c>
      <c r="F81" s="507"/>
      <c r="G81" s="494"/>
    </row>
    <row r="82" spans="1:11" ht="15" customHeight="1">
      <c r="C82" s="520" t="s">
        <v>1234</v>
      </c>
      <c r="D82" s="513">
        <v>7</v>
      </c>
      <c r="E82" s="489" t="s">
        <v>171</v>
      </c>
      <c r="F82" s="514">
        <v>350</v>
      </c>
      <c r="G82" s="521">
        <f>F82*D82</f>
        <v>2450</v>
      </c>
    </row>
    <row r="83" spans="1:11" ht="15" customHeight="1">
      <c r="C83" s="490" t="s">
        <v>1235</v>
      </c>
      <c r="D83" s="513">
        <v>7</v>
      </c>
      <c r="E83" s="489" t="s">
        <v>171</v>
      </c>
      <c r="F83" s="513">
        <v>500</v>
      </c>
      <c r="G83" s="522">
        <f>F83*D83</f>
        <v>3500</v>
      </c>
    </row>
    <row r="84" spans="1:11" ht="15" customHeight="1">
      <c r="A84" s="497"/>
      <c r="B84" s="497"/>
      <c r="C84" s="495"/>
      <c r="D84" s="498"/>
      <c r="E84" s="498"/>
      <c r="F84" s="507" t="s">
        <v>1211</v>
      </c>
      <c r="G84" s="494">
        <f>G82+G83</f>
        <v>5950</v>
      </c>
    </row>
    <row r="85" spans="1:11" ht="15" customHeight="1">
      <c r="A85" s="497"/>
      <c r="B85" s="497"/>
      <c r="C85" s="495"/>
      <c r="D85" s="498"/>
      <c r="E85" s="498"/>
      <c r="F85" s="507"/>
      <c r="G85" s="499"/>
    </row>
    <row r="86" spans="1:11" ht="15" customHeight="1">
      <c r="A86" s="497"/>
      <c r="B86" s="497"/>
      <c r="C86" s="495"/>
      <c r="D86" s="498"/>
      <c r="E86" s="498"/>
      <c r="F86" s="507" t="s">
        <v>1212</v>
      </c>
      <c r="G86" s="499">
        <f>G84+G79</f>
        <v>275730</v>
      </c>
    </row>
    <row r="87" spans="1:11" ht="15" customHeight="1">
      <c r="F87" s="507" t="s">
        <v>1213</v>
      </c>
      <c r="G87" s="499">
        <f>G86/D68</f>
        <v>10212.222222222223</v>
      </c>
    </row>
    <row r="89" spans="1:11" ht="15" customHeight="1">
      <c r="A89" s="494"/>
      <c r="B89" s="497" t="s">
        <v>1236</v>
      </c>
      <c r="C89" s="500" t="s">
        <v>1188</v>
      </c>
      <c r="D89" s="501">
        <v>2</v>
      </c>
      <c r="E89" s="498" t="s">
        <v>398</v>
      </c>
      <c r="F89" s="499"/>
      <c r="G89" s="499"/>
      <c r="I89" s="516" t="s">
        <v>1214</v>
      </c>
      <c r="J89" s="489">
        <f>D89/17</f>
        <v>0.11764705882352941</v>
      </c>
      <c r="K89" s="489">
        <f>J89*28</f>
        <v>3.2941176470588234</v>
      </c>
    </row>
    <row r="90" spans="1:11" ht="15" customHeight="1">
      <c r="A90" s="497"/>
      <c r="B90" s="497"/>
      <c r="C90" s="508"/>
      <c r="D90" s="509"/>
      <c r="E90" s="509"/>
      <c r="F90" s="499"/>
      <c r="G90" s="499"/>
    </row>
    <row r="91" spans="1:11" ht="15" customHeight="1">
      <c r="A91" s="497" t="s">
        <v>1215</v>
      </c>
    </row>
    <row r="92" spans="1:11" ht="15" customHeight="1">
      <c r="A92" s="497"/>
      <c r="B92" s="497"/>
      <c r="C92" s="508"/>
      <c r="D92" s="498" t="s">
        <v>173</v>
      </c>
      <c r="E92" s="498" t="s">
        <v>297</v>
      </c>
      <c r="F92" s="507" t="s">
        <v>1216</v>
      </c>
      <c r="G92" s="499" t="s">
        <v>1217</v>
      </c>
    </row>
    <row r="93" spans="1:11" ht="15" customHeight="1">
      <c r="A93" s="497"/>
      <c r="B93" s="497"/>
      <c r="C93" s="495"/>
      <c r="D93" s="498"/>
      <c r="E93" s="498"/>
      <c r="F93" s="507"/>
      <c r="G93" s="499"/>
    </row>
    <row r="94" spans="1:11" ht="15" customHeight="1">
      <c r="A94" s="497"/>
      <c r="B94" s="497"/>
      <c r="C94" s="517" t="s">
        <v>1237</v>
      </c>
      <c r="D94" s="365">
        <f>ROUNDUP((I94/6)*D89,0)+2</f>
        <v>73</v>
      </c>
      <c r="E94" s="366" t="s">
        <v>350</v>
      </c>
      <c r="F94" s="367">
        <v>880</v>
      </c>
      <c r="G94" s="504">
        <f>F94*D94</f>
        <v>64240</v>
      </c>
      <c r="I94" s="489">
        <f>(62.8*2+0.3*2)+1.04*63+0.3*64</f>
        <v>210.91999999999996</v>
      </c>
    </row>
    <row r="95" spans="1:11" ht="15" customHeight="1">
      <c r="A95" s="497"/>
      <c r="B95" s="497"/>
      <c r="C95" s="517" t="s">
        <v>1231</v>
      </c>
      <c r="D95" s="365">
        <f>ROUNDUP(D77*0.5,0)</f>
        <v>14</v>
      </c>
      <c r="E95" s="366" t="s">
        <v>21</v>
      </c>
      <c r="F95" s="367">
        <v>120</v>
      </c>
      <c r="G95" s="523">
        <f>F95*D95</f>
        <v>1680</v>
      </c>
      <c r="I95" s="489">
        <v>3</v>
      </c>
    </row>
    <row r="96" spans="1:11" ht="15" customHeight="1">
      <c r="A96" s="497"/>
      <c r="B96" s="497"/>
      <c r="C96" s="517" t="s">
        <v>1232</v>
      </c>
      <c r="D96" s="365">
        <f>D78*0.5</f>
        <v>54</v>
      </c>
      <c r="E96" s="366" t="s">
        <v>238</v>
      </c>
      <c r="F96" s="367">
        <v>150</v>
      </c>
      <c r="G96" s="515">
        <f>F96*D96</f>
        <v>8100</v>
      </c>
      <c r="I96" s="489">
        <v>4</v>
      </c>
    </row>
    <row r="97" spans="1:11" ht="15" customHeight="1">
      <c r="A97" s="497"/>
      <c r="B97" s="497"/>
      <c r="C97" s="495"/>
      <c r="D97" s="498"/>
      <c r="E97" s="498"/>
      <c r="F97" s="507" t="s">
        <v>1211</v>
      </c>
      <c r="G97" s="494">
        <f>SUM(G94:G96)</f>
        <v>74020</v>
      </c>
    </row>
    <row r="98" spans="1:11" ht="15" customHeight="1">
      <c r="A98" s="497"/>
      <c r="B98" s="497"/>
      <c r="C98" s="495"/>
      <c r="D98" s="498"/>
      <c r="E98" s="498"/>
    </row>
    <row r="99" spans="1:11" ht="15" customHeight="1">
      <c r="A99" s="497" t="s">
        <v>1233</v>
      </c>
      <c r="F99" s="507"/>
      <c r="G99" s="494"/>
    </row>
    <row r="100" spans="1:11" ht="15" customHeight="1">
      <c r="C100" s="490" t="s">
        <v>1235</v>
      </c>
      <c r="D100" s="513">
        <f>D83</f>
        <v>7</v>
      </c>
      <c r="E100" s="489" t="s">
        <v>171</v>
      </c>
      <c r="F100" s="513">
        <v>500</v>
      </c>
      <c r="G100" s="522">
        <f>F100*D100</f>
        <v>3500</v>
      </c>
    </row>
    <row r="101" spans="1:11" ht="15" customHeight="1">
      <c r="A101" s="497"/>
      <c r="B101" s="497"/>
      <c r="C101" s="495"/>
      <c r="D101" s="498"/>
      <c r="E101" s="498"/>
      <c r="F101" s="507" t="s">
        <v>1211</v>
      </c>
      <c r="G101" s="494">
        <f>G100</f>
        <v>3500</v>
      </c>
    </row>
    <row r="102" spans="1:11" ht="15" customHeight="1">
      <c r="A102" s="497"/>
      <c r="B102" s="497"/>
      <c r="C102" s="495"/>
      <c r="D102" s="498"/>
      <c r="E102" s="498"/>
      <c r="F102" s="507"/>
      <c r="G102" s="499"/>
    </row>
    <row r="103" spans="1:11" ht="15" customHeight="1">
      <c r="A103" s="497"/>
      <c r="B103" s="497"/>
      <c r="C103" s="495"/>
      <c r="D103" s="498"/>
      <c r="E103" s="498"/>
      <c r="F103" s="507" t="s">
        <v>1212</v>
      </c>
      <c r="G103" s="499">
        <f>G101+G97</f>
        <v>77520</v>
      </c>
    </row>
    <row r="104" spans="1:11" ht="15" customHeight="1">
      <c r="F104" s="507" t="s">
        <v>1213</v>
      </c>
      <c r="G104" s="499">
        <f>G103/D89</f>
        <v>38760</v>
      </c>
    </row>
    <row r="106" spans="1:11" ht="15" customHeight="1">
      <c r="A106" s="494"/>
      <c r="B106" s="524" t="s">
        <v>1238</v>
      </c>
      <c r="C106" s="500" t="s">
        <v>1188</v>
      </c>
      <c r="D106" s="501">
        <v>2</v>
      </c>
      <c r="E106" s="498" t="s">
        <v>404</v>
      </c>
      <c r="F106" s="499"/>
      <c r="G106" s="499"/>
      <c r="I106" s="516" t="s">
        <v>1214</v>
      </c>
      <c r="J106" s="489">
        <f>D106/17</f>
        <v>0.11764705882352941</v>
      </c>
      <c r="K106" s="489">
        <f>J106*28</f>
        <v>3.2941176470588234</v>
      </c>
    </row>
    <row r="107" spans="1:11" ht="15" customHeight="1">
      <c r="A107" s="497"/>
      <c r="B107" s="497"/>
      <c r="C107" s="508"/>
      <c r="D107" s="509"/>
      <c r="E107" s="509"/>
      <c r="F107" s="499"/>
      <c r="G107" s="499"/>
    </row>
    <row r="108" spans="1:11" ht="15" customHeight="1">
      <c r="A108" s="497" t="s">
        <v>1215</v>
      </c>
    </row>
    <row r="109" spans="1:11" ht="15" customHeight="1">
      <c r="A109" s="497"/>
      <c r="B109" s="497"/>
      <c r="C109" s="508"/>
      <c r="D109" s="498" t="s">
        <v>173</v>
      </c>
      <c r="E109" s="498" t="s">
        <v>297</v>
      </c>
      <c r="F109" s="507" t="s">
        <v>1216</v>
      </c>
      <c r="G109" s="499" t="s">
        <v>1217</v>
      </c>
      <c r="K109" s="489">
        <f>(6.32/6)*16</f>
        <v>16.853333333333335</v>
      </c>
    </row>
    <row r="110" spans="1:11" ht="15" customHeight="1">
      <c r="A110" s="497"/>
      <c r="B110" s="497"/>
      <c r="C110" s="495"/>
      <c r="D110" s="498"/>
      <c r="E110" s="498"/>
      <c r="F110" s="507"/>
      <c r="G110" s="499"/>
    </row>
    <row r="111" spans="1:11" ht="15" customHeight="1">
      <c r="A111" s="497"/>
      <c r="B111" s="497"/>
      <c r="C111" s="517" t="s">
        <v>1239</v>
      </c>
      <c r="D111" s="365">
        <f>ROUNDUP((I111/6)*D106,0)+2</f>
        <v>74</v>
      </c>
      <c r="E111" s="366" t="s">
        <v>350</v>
      </c>
      <c r="F111" s="367">
        <v>550</v>
      </c>
      <c r="G111" s="504">
        <f>F111*D111</f>
        <v>40700</v>
      </c>
      <c r="I111" s="489">
        <f>(66.8*2+0.2*2)+1.02*67+0.2*67</f>
        <v>215.74</v>
      </c>
    </row>
    <row r="112" spans="1:11" ht="14.25" customHeight="1">
      <c r="A112" s="497"/>
      <c r="B112" s="497"/>
      <c r="C112" s="517" t="s">
        <v>1231</v>
      </c>
      <c r="D112" s="365">
        <f>D95</f>
        <v>14</v>
      </c>
      <c r="E112" s="366" t="s">
        <v>21</v>
      </c>
      <c r="F112" s="367">
        <v>120</v>
      </c>
      <c r="G112" s="523">
        <f>F112*D112</f>
        <v>1680</v>
      </c>
      <c r="I112" s="489">
        <v>3</v>
      </c>
    </row>
    <row r="113" spans="1:11" ht="15" customHeight="1">
      <c r="A113" s="497"/>
      <c r="B113" s="497"/>
      <c r="C113" s="517" t="s">
        <v>1232</v>
      </c>
      <c r="D113" s="365">
        <f>D96</f>
        <v>54</v>
      </c>
      <c r="E113" s="366" t="s">
        <v>238</v>
      </c>
      <c r="F113" s="367">
        <v>150</v>
      </c>
      <c r="G113" s="515">
        <f>F113*D113</f>
        <v>8100</v>
      </c>
      <c r="I113" s="489">
        <v>4</v>
      </c>
    </row>
    <row r="114" spans="1:11" ht="15" customHeight="1">
      <c r="A114" s="497"/>
      <c r="B114" s="497"/>
      <c r="C114" s="495"/>
      <c r="D114" s="498"/>
      <c r="E114" s="498"/>
      <c r="F114" s="507" t="s">
        <v>1211</v>
      </c>
      <c r="G114" s="494">
        <f>SUM(G111:G113)</f>
        <v>50480</v>
      </c>
    </row>
    <row r="115" spans="1:11" ht="15" customHeight="1">
      <c r="A115" s="497"/>
      <c r="B115" s="497"/>
      <c r="C115" s="495"/>
      <c r="D115" s="498"/>
      <c r="E115" s="498"/>
    </row>
    <row r="116" spans="1:11" ht="15" customHeight="1">
      <c r="A116" s="497" t="s">
        <v>1233</v>
      </c>
      <c r="F116" s="507"/>
      <c r="G116" s="494"/>
    </row>
    <row r="117" spans="1:11" ht="15" customHeight="1">
      <c r="C117" s="490" t="s">
        <v>1235</v>
      </c>
      <c r="D117" s="513">
        <f>D100</f>
        <v>7</v>
      </c>
      <c r="E117" s="489" t="s">
        <v>171</v>
      </c>
      <c r="F117" s="513">
        <v>500</v>
      </c>
      <c r="G117" s="522">
        <f>F117*D117</f>
        <v>3500</v>
      </c>
    </row>
    <row r="118" spans="1:11" ht="15" customHeight="1">
      <c r="A118" s="497"/>
      <c r="B118" s="497"/>
      <c r="C118" s="495"/>
      <c r="D118" s="498"/>
      <c r="E118" s="498"/>
      <c r="F118" s="507" t="s">
        <v>1211</v>
      </c>
      <c r="G118" s="494">
        <f>G117</f>
        <v>3500</v>
      </c>
    </row>
    <row r="119" spans="1:11" ht="15" customHeight="1">
      <c r="A119" s="497"/>
      <c r="B119" s="497"/>
      <c r="C119" s="495"/>
      <c r="D119" s="498"/>
      <c r="E119" s="498"/>
      <c r="F119" s="507"/>
      <c r="G119" s="499"/>
    </row>
    <row r="120" spans="1:11" ht="15" customHeight="1">
      <c r="A120" s="497"/>
      <c r="B120" s="497"/>
      <c r="C120" s="495"/>
      <c r="D120" s="498"/>
      <c r="E120" s="498"/>
      <c r="F120" s="507" t="s">
        <v>1212</v>
      </c>
      <c r="G120" s="499">
        <f>G118+G114</f>
        <v>53980</v>
      </c>
    </row>
    <row r="121" spans="1:11" ht="15" customHeight="1">
      <c r="F121" s="507" t="s">
        <v>1213</v>
      </c>
      <c r="G121" s="499">
        <f>G120/D106</f>
        <v>26990</v>
      </c>
    </row>
    <row r="123" spans="1:11" ht="15" customHeight="1">
      <c r="A123" s="494"/>
      <c r="B123" s="524" t="s">
        <v>1240</v>
      </c>
      <c r="C123" s="500" t="s">
        <v>1188</v>
      </c>
      <c r="D123" s="498">
        <f>66.8*4.88*1.3</f>
        <v>423.7792</v>
      </c>
      <c r="E123" s="498" t="s">
        <v>112</v>
      </c>
      <c r="F123" s="499"/>
      <c r="G123" s="499"/>
      <c r="I123" s="516" t="s">
        <v>1214</v>
      </c>
      <c r="J123" s="489">
        <f>D123/17</f>
        <v>24.928188235294119</v>
      </c>
      <c r="K123" s="489">
        <f>J123*28</f>
        <v>697.98927058823529</v>
      </c>
    </row>
    <row r="124" spans="1:11" ht="15" customHeight="1">
      <c r="A124" s="497"/>
      <c r="B124" s="497"/>
      <c r="C124" s="508"/>
      <c r="D124" s="509"/>
      <c r="E124" s="509"/>
      <c r="F124" s="499"/>
      <c r="G124" s="499"/>
    </row>
    <row r="125" spans="1:11" ht="15" customHeight="1">
      <c r="A125" s="497" t="s">
        <v>1215</v>
      </c>
    </row>
    <row r="126" spans="1:11" ht="15" customHeight="1">
      <c r="A126" s="497"/>
      <c r="B126" s="497"/>
      <c r="C126" s="508"/>
      <c r="D126" s="498" t="s">
        <v>173</v>
      </c>
      <c r="E126" s="498" t="s">
        <v>297</v>
      </c>
      <c r="F126" s="507" t="s">
        <v>1216</v>
      </c>
      <c r="G126" s="499" t="s">
        <v>1217</v>
      </c>
      <c r="K126" s="489">
        <f>(6.32/6)*16</f>
        <v>16.853333333333335</v>
      </c>
    </row>
    <row r="127" spans="1:11" ht="15" customHeight="1">
      <c r="A127" s="497"/>
      <c r="B127" s="497"/>
      <c r="C127" s="495"/>
      <c r="D127" s="498"/>
      <c r="E127" s="498"/>
      <c r="F127" s="507"/>
      <c r="G127" s="499"/>
    </row>
    <row r="128" spans="1:11" ht="15" customHeight="1">
      <c r="A128" s="497"/>
      <c r="B128" s="497"/>
      <c r="C128" s="517" t="s">
        <v>1241</v>
      </c>
      <c r="D128" s="365">
        <f>D123</f>
        <v>423.7792</v>
      </c>
      <c r="E128" s="366" t="s">
        <v>112</v>
      </c>
      <c r="F128" s="367">
        <v>260</v>
      </c>
      <c r="G128" s="504">
        <f t="shared" ref="G128:G134" si="3">F128*D128</f>
        <v>110182.592</v>
      </c>
    </row>
    <row r="129" spans="1:9" ht="15" customHeight="1">
      <c r="A129" s="497"/>
      <c r="B129" s="497"/>
      <c r="C129" s="517" t="s">
        <v>1242</v>
      </c>
      <c r="D129" s="365">
        <f>((66.8*2)+(1.3*2))*0.7</f>
        <v>95.339999999999989</v>
      </c>
      <c r="E129" s="366" t="s">
        <v>112</v>
      </c>
      <c r="F129" s="367">
        <v>52</v>
      </c>
      <c r="G129" s="504">
        <f t="shared" si="3"/>
        <v>4957.6799999999994</v>
      </c>
    </row>
    <row r="130" spans="1:9" ht="15" customHeight="1">
      <c r="A130" s="497"/>
      <c r="B130" s="497"/>
      <c r="C130" s="517" t="s">
        <v>1243</v>
      </c>
      <c r="D130" s="365">
        <f>ROUNDUP((4.88/7)*66.8,0)+2</f>
        <v>49</v>
      </c>
      <c r="E130" s="366" t="s">
        <v>350</v>
      </c>
      <c r="F130" s="367">
        <v>640</v>
      </c>
      <c r="G130" s="504">
        <f t="shared" si="3"/>
        <v>31360</v>
      </c>
    </row>
    <row r="131" spans="1:9" ht="15" customHeight="1">
      <c r="A131" s="497"/>
      <c r="B131" s="497"/>
      <c r="C131" s="517" t="s">
        <v>687</v>
      </c>
      <c r="D131" s="365">
        <v>10</v>
      </c>
      <c r="E131" s="366" t="s">
        <v>691</v>
      </c>
      <c r="F131" s="367">
        <v>900</v>
      </c>
      <c r="G131" s="504">
        <f t="shared" si="3"/>
        <v>9000</v>
      </c>
    </row>
    <row r="132" spans="1:9" ht="15" customHeight="1">
      <c r="A132" s="497"/>
      <c r="B132" s="497"/>
      <c r="C132" s="517" t="s">
        <v>1244</v>
      </c>
      <c r="D132" s="365">
        <v>600</v>
      </c>
      <c r="E132" s="366" t="s">
        <v>21</v>
      </c>
      <c r="F132" s="367">
        <v>3</v>
      </c>
      <c r="G132" s="504">
        <f t="shared" si="3"/>
        <v>1800</v>
      </c>
    </row>
    <row r="133" spans="1:9" ht="15" customHeight="1">
      <c r="A133" s="497"/>
      <c r="B133" s="497"/>
      <c r="C133" s="517" t="s">
        <v>1245</v>
      </c>
      <c r="D133" s="365">
        <f>D112*0.7</f>
        <v>9.7999999999999989</v>
      </c>
      <c r="E133" s="366" t="s">
        <v>21</v>
      </c>
      <c r="F133" s="367">
        <v>120</v>
      </c>
      <c r="G133" s="504">
        <f t="shared" si="3"/>
        <v>1175.9999999999998</v>
      </c>
    </row>
    <row r="134" spans="1:9" ht="15" customHeight="1">
      <c r="A134" s="497"/>
      <c r="B134" s="497"/>
      <c r="C134" s="517" t="s">
        <v>1232</v>
      </c>
      <c r="D134" s="365">
        <f>D113*0.7</f>
        <v>37.799999999999997</v>
      </c>
      <c r="E134" s="366" t="s">
        <v>238</v>
      </c>
      <c r="F134" s="367">
        <v>150</v>
      </c>
      <c r="G134" s="515">
        <f t="shared" si="3"/>
        <v>5670</v>
      </c>
      <c r="I134" s="489" t="e">
        <f>-G134+#REF!</f>
        <v>#REF!</v>
      </c>
    </row>
    <row r="135" spans="1:9" ht="15" customHeight="1">
      <c r="A135" s="497"/>
      <c r="B135" s="497"/>
      <c r="C135" s="495"/>
      <c r="D135" s="498"/>
      <c r="E135" s="498"/>
      <c r="F135" s="507" t="s">
        <v>1211</v>
      </c>
      <c r="G135" s="516">
        <f>SUM(G128:G134)</f>
        <v>164146.272</v>
      </c>
    </row>
    <row r="136" spans="1:9" ht="15" customHeight="1">
      <c r="A136" s="497"/>
      <c r="B136" s="497"/>
      <c r="C136" s="495"/>
      <c r="D136" s="498"/>
      <c r="E136" s="498"/>
    </row>
    <row r="137" spans="1:9" ht="15" customHeight="1">
      <c r="A137" s="497" t="s">
        <v>1233</v>
      </c>
      <c r="F137" s="507"/>
      <c r="G137" s="494"/>
    </row>
    <row r="138" spans="1:9" ht="15" customHeight="1">
      <c r="C138" s="490" t="s">
        <v>1235</v>
      </c>
      <c r="D138" s="525">
        <f>D117</f>
        <v>7</v>
      </c>
      <c r="E138" s="489" t="s">
        <v>171</v>
      </c>
      <c r="F138" s="489">
        <v>500</v>
      </c>
      <c r="G138" s="521">
        <f>F138*D138</f>
        <v>3500</v>
      </c>
    </row>
    <row r="139" spans="1:9" ht="15" customHeight="1">
      <c r="C139" s="490" t="s">
        <v>1246</v>
      </c>
      <c r="D139" s="525">
        <f>D138</f>
        <v>7</v>
      </c>
      <c r="E139" s="489" t="s">
        <v>171</v>
      </c>
      <c r="F139" s="489">
        <v>350</v>
      </c>
      <c r="G139" s="521">
        <f>F139*D139</f>
        <v>2450</v>
      </c>
    </row>
    <row r="140" spans="1:9" ht="15" customHeight="1">
      <c r="A140" s="497"/>
      <c r="B140" s="497"/>
      <c r="C140" s="520" t="s">
        <v>1234</v>
      </c>
      <c r="D140" s="525">
        <f>D139</f>
        <v>7</v>
      </c>
      <c r="E140" s="489" t="s">
        <v>171</v>
      </c>
      <c r="F140" s="489">
        <v>350</v>
      </c>
      <c r="G140" s="522">
        <f>F140*D140</f>
        <v>2450</v>
      </c>
    </row>
    <row r="141" spans="1:9" ht="15" customHeight="1">
      <c r="A141" s="497"/>
      <c r="B141" s="497"/>
      <c r="C141" s="520"/>
      <c r="F141" s="507" t="s">
        <v>1211</v>
      </c>
      <c r="G141" s="494">
        <f>G138+G140+G139</f>
        <v>8400</v>
      </c>
    </row>
    <row r="142" spans="1:9" ht="15" customHeight="1">
      <c r="A142" s="497"/>
      <c r="B142" s="497"/>
      <c r="C142" s="495"/>
      <c r="D142" s="498"/>
      <c r="E142" s="498"/>
    </row>
    <row r="143" spans="1:9" ht="15" customHeight="1">
      <c r="F143" s="507" t="s">
        <v>1212</v>
      </c>
      <c r="G143" s="499">
        <f>G135+G141</f>
        <v>172546.272</v>
      </c>
    </row>
    <row r="144" spans="1:9" ht="15" customHeight="1">
      <c r="F144" s="507" t="s">
        <v>1213</v>
      </c>
      <c r="G144" s="499">
        <f>G143/D123</f>
        <v>407.16078561666075</v>
      </c>
    </row>
    <row r="146" spans="1:12" ht="15" customHeight="1">
      <c r="A146" s="494"/>
      <c r="B146" s="524" t="s">
        <v>1247</v>
      </c>
      <c r="C146" s="500" t="s">
        <v>1188</v>
      </c>
      <c r="D146" s="498">
        <f>L156</f>
        <v>412.13450399999999</v>
      </c>
      <c r="E146" s="498" t="s">
        <v>112</v>
      </c>
      <c r="F146" s="499"/>
      <c r="G146" s="499"/>
      <c r="I146" s="516" t="s">
        <v>1214</v>
      </c>
      <c r="J146" s="489">
        <f>D146/17</f>
        <v>24.243206117647059</v>
      </c>
    </row>
    <row r="147" spans="1:12" ht="15" customHeight="1">
      <c r="A147" s="497"/>
      <c r="B147" s="497"/>
      <c r="C147" s="508"/>
      <c r="D147" s="509"/>
      <c r="E147" s="509"/>
      <c r="F147" s="499"/>
      <c r="G147" s="499"/>
    </row>
    <row r="148" spans="1:12" ht="15" customHeight="1">
      <c r="A148" s="497" t="s">
        <v>1215</v>
      </c>
    </row>
    <row r="149" spans="1:12" ht="15" customHeight="1">
      <c r="A149" s="497"/>
      <c r="B149" s="497"/>
      <c r="C149" s="508"/>
      <c r="D149" s="498" t="s">
        <v>173</v>
      </c>
      <c r="E149" s="498" t="s">
        <v>297</v>
      </c>
      <c r="F149" s="507" t="s">
        <v>1216</v>
      </c>
      <c r="G149" s="499" t="s">
        <v>1217</v>
      </c>
      <c r="I149" s="489" t="s">
        <v>1248</v>
      </c>
      <c r="K149" s="489" t="s">
        <v>299</v>
      </c>
      <c r="L149" s="489" t="s">
        <v>1249</v>
      </c>
    </row>
    <row r="150" spans="1:12" ht="15" customHeight="1">
      <c r="A150" s="497"/>
      <c r="B150" s="497"/>
      <c r="C150" s="495"/>
      <c r="D150" s="498"/>
      <c r="E150" s="498"/>
      <c r="F150" s="507"/>
      <c r="G150" s="499"/>
      <c r="I150" s="489" t="s">
        <v>1250</v>
      </c>
      <c r="J150" s="489">
        <v>5.0799999999999998E-2</v>
      </c>
      <c r="K150" s="489">
        <f>D73*6</f>
        <v>270</v>
      </c>
      <c r="L150" s="489">
        <f>3.14*(J150)*K150</f>
        <v>43.068239999999996</v>
      </c>
    </row>
    <row r="151" spans="1:12" ht="15" customHeight="1">
      <c r="A151" s="497"/>
      <c r="B151" s="497"/>
      <c r="C151" s="517" t="s">
        <v>1251</v>
      </c>
      <c r="D151" s="365">
        <f>ROUNDUP(0.05*D$146,0)+2</f>
        <v>23</v>
      </c>
      <c r="E151" s="366" t="s">
        <v>692</v>
      </c>
      <c r="F151" s="367">
        <v>575</v>
      </c>
      <c r="G151" s="504">
        <f t="shared" ref="G151:G156" si="4">F151*D151</f>
        <v>13225</v>
      </c>
      <c r="I151" s="489" t="s">
        <v>1252</v>
      </c>
      <c r="J151" s="489">
        <v>3.8100000000000002E-2</v>
      </c>
      <c r="K151" s="489">
        <f>D74*6</f>
        <v>396</v>
      </c>
      <c r="L151" s="489">
        <f>3.14*(J151)*K151</f>
        <v>47.375064000000002</v>
      </c>
    </row>
    <row r="152" spans="1:12" ht="15" customHeight="1">
      <c r="A152" s="497"/>
      <c r="B152" s="497"/>
      <c r="C152" s="517" t="s">
        <v>1253</v>
      </c>
      <c r="D152" s="365">
        <f>ROUNDUP(0.05*D$146,0)+2</f>
        <v>23</v>
      </c>
      <c r="E152" s="366" t="s">
        <v>692</v>
      </c>
      <c r="F152" s="367">
        <v>980</v>
      </c>
      <c r="G152" s="504">
        <f t="shared" si="4"/>
        <v>22540</v>
      </c>
      <c r="I152" s="489" t="s">
        <v>1254</v>
      </c>
      <c r="J152" s="489">
        <v>0.04</v>
      </c>
      <c r="K152" s="489">
        <f>D94*6</f>
        <v>438</v>
      </c>
      <c r="L152" s="489">
        <f>J152*2*K152*2</f>
        <v>70.08</v>
      </c>
    </row>
    <row r="153" spans="1:12" ht="15" customHeight="1">
      <c r="A153" s="497"/>
      <c r="B153" s="497"/>
      <c r="C153" s="517" t="s">
        <v>1255</v>
      </c>
      <c r="D153" s="365">
        <f>ROUNDUP(0.05*D$146,0)+2</f>
        <v>23</v>
      </c>
      <c r="E153" s="366" t="s">
        <v>692</v>
      </c>
      <c r="F153" s="367">
        <v>575</v>
      </c>
      <c r="G153" s="504">
        <f t="shared" si="4"/>
        <v>13225</v>
      </c>
    </row>
    <row r="154" spans="1:12" ht="15" customHeight="1">
      <c r="A154" s="497"/>
      <c r="B154" s="497"/>
      <c r="C154" s="517" t="s">
        <v>1256</v>
      </c>
      <c r="D154" s="365">
        <v>10</v>
      </c>
      <c r="E154" s="366" t="s">
        <v>21</v>
      </c>
      <c r="F154" s="367">
        <v>135</v>
      </c>
      <c r="G154" s="504">
        <f t="shared" si="4"/>
        <v>1350</v>
      </c>
      <c r="I154" s="489" t="s">
        <v>1257</v>
      </c>
      <c r="J154" s="489">
        <v>2.5000000000000001E-2</v>
      </c>
      <c r="K154" s="489">
        <f>D111*6</f>
        <v>444</v>
      </c>
      <c r="L154" s="489">
        <f>J154*2*K154*2</f>
        <v>44.400000000000006</v>
      </c>
    </row>
    <row r="155" spans="1:12" ht="15" customHeight="1">
      <c r="A155" s="497"/>
      <c r="B155" s="497"/>
      <c r="C155" s="517" t="s">
        <v>1258</v>
      </c>
      <c r="D155" s="365">
        <v>10</v>
      </c>
      <c r="E155" s="366" t="s">
        <v>21</v>
      </c>
      <c r="F155" s="367">
        <v>56</v>
      </c>
      <c r="G155" s="504">
        <f t="shared" si="4"/>
        <v>560</v>
      </c>
      <c r="I155" s="489" t="s">
        <v>1259</v>
      </c>
      <c r="J155" s="489">
        <v>0.1762</v>
      </c>
      <c r="K155" s="489">
        <f>D130*6</f>
        <v>294</v>
      </c>
      <c r="L155" s="489">
        <f>J155*2*K155*2</f>
        <v>207.21119999999999</v>
      </c>
    </row>
    <row r="156" spans="1:12" ht="15" customHeight="1">
      <c r="A156" s="497"/>
      <c r="B156" s="497"/>
      <c r="C156" s="517" t="s">
        <v>1260</v>
      </c>
      <c r="D156" s="365">
        <v>10</v>
      </c>
      <c r="E156" s="366" t="s">
        <v>21</v>
      </c>
      <c r="F156" s="367">
        <v>46</v>
      </c>
      <c r="G156" s="515">
        <f t="shared" si="4"/>
        <v>460</v>
      </c>
      <c r="L156" s="530">
        <f>SUM(L150:L155)</f>
        <v>412.13450399999999</v>
      </c>
    </row>
    <row r="157" spans="1:12" ht="15" customHeight="1">
      <c r="A157" s="497"/>
      <c r="B157" s="497"/>
      <c r="C157" s="495"/>
      <c r="D157" s="498"/>
      <c r="E157" s="498"/>
      <c r="F157" s="507" t="s">
        <v>1211</v>
      </c>
      <c r="G157" s="516">
        <f>SUM(G151:G156)</f>
        <v>51360</v>
      </c>
    </row>
    <row r="158" spans="1:12" ht="15" customHeight="1">
      <c r="A158" s="497"/>
      <c r="B158" s="497"/>
      <c r="C158" s="495"/>
      <c r="D158" s="498"/>
      <c r="E158" s="498"/>
    </row>
    <row r="159" spans="1:12" ht="15" customHeight="1">
      <c r="A159" s="497"/>
      <c r="B159" s="497"/>
      <c r="C159" s="495"/>
      <c r="D159" s="498"/>
      <c r="E159" s="498"/>
      <c r="F159" s="507" t="s">
        <v>1212</v>
      </c>
      <c r="G159" s="499">
        <f>G157</f>
        <v>51360</v>
      </c>
    </row>
    <row r="160" spans="1:12" ht="15" customHeight="1">
      <c r="A160" s="497"/>
      <c r="B160" s="497"/>
      <c r="C160" s="495"/>
      <c r="D160" s="498"/>
      <c r="E160" s="498"/>
      <c r="F160" s="507" t="s">
        <v>1213</v>
      </c>
      <c r="G160" s="499">
        <f>G159/D146</f>
        <v>124.61951013934033</v>
      </c>
    </row>
    <row r="161" spans="1:9" ht="15" customHeight="1">
      <c r="A161" s="497"/>
      <c r="B161" s="497"/>
      <c r="C161" s="495"/>
      <c r="D161" s="498"/>
      <c r="E161" s="498"/>
    </row>
    <row r="162" spans="1:9" ht="15" customHeight="1">
      <c r="A162" s="494"/>
      <c r="B162" s="524" t="s">
        <v>1261</v>
      </c>
      <c r="C162" s="500" t="s">
        <v>1188</v>
      </c>
      <c r="D162" s="498">
        <v>1</v>
      </c>
      <c r="E162" s="498" t="s">
        <v>307</v>
      </c>
      <c r="F162" s="499"/>
      <c r="G162" s="499"/>
      <c r="I162" s="516"/>
    </row>
    <row r="163" spans="1:9" ht="15" customHeight="1">
      <c r="A163" s="497"/>
      <c r="B163" s="497"/>
      <c r="C163" s="508"/>
      <c r="D163" s="509"/>
      <c r="E163" s="509"/>
      <c r="F163" s="499"/>
      <c r="G163" s="499"/>
    </row>
    <row r="164" spans="1:9" ht="15" customHeight="1">
      <c r="A164" s="497" t="s">
        <v>1215</v>
      </c>
    </row>
    <row r="165" spans="1:9" ht="15" customHeight="1">
      <c r="A165" s="497"/>
      <c r="B165" s="497"/>
      <c r="C165" s="508"/>
      <c r="D165" s="498" t="s">
        <v>173</v>
      </c>
      <c r="E165" s="498" t="s">
        <v>297</v>
      </c>
      <c r="F165" s="507" t="s">
        <v>1216</v>
      </c>
      <c r="G165" s="499" t="s">
        <v>1217</v>
      </c>
    </row>
    <row r="166" spans="1:9" ht="15" customHeight="1">
      <c r="A166" s="497"/>
      <c r="B166" s="497"/>
      <c r="C166" s="495"/>
      <c r="D166" s="498"/>
      <c r="E166" s="498"/>
      <c r="F166" s="507"/>
      <c r="G166" s="499"/>
    </row>
    <row r="167" spans="1:9" ht="15" customHeight="1">
      <c r="A167" s="497"/>
      <c r="B167" s="497"/>
      <c r="C167" s="517" t="s">
        <v>1262</v>
      </c>
      <c r="D167" s="365">
        <v>19</v>
      </c>
      <c r="E167" s="366" t="s">
        <v>21</v>
      </c>
      <c r="F167" s="367">
        <f>420*1.2</f>
        <v>504</v>
      </c>
      <c r="G167" s="504">
        <f t="shared" ref="G167:G174" si="5">F167*D167</f>
        <v>9576</v>
      </c>
    </row>
    <row r="168" spans="1:9" ht="15" customHeight="1">
      <c r="A168" s="497"/>
      <c r="B168" s="497"/>
      <c r="C168" s="517" t="s">
        <v>905</v>
      </c>
      <c r="D168" s="365">
        <v>19</v>
      </c>
      <c r="E168" s="366" t="s">
        <v>21</v>
      </c>
      <c r="F168" s="367">
        <v>72</v>
      </c>
      <c r="G168" s="504">
        <f t="shared" si="5"/>
        <v>1368</v>
      </c>
    </row>
    <row r="169" spans="1:9" ht="15" customHeight="1">
      <c r="A169" s="497"/>
      <c r="B169" s="497"/>
      <c r="C169" s="370" t="s">
        <v>1263</v>
      </c>
      <c r="D169" s="365">
        <v>5</v>
      </c>
      <c r="E169" s="366" t="s">
        <v>469</v>
      </c>
      <c r="F169" s="367">
        <v>3350</v>
      </c>
      <c r="G169" s="504">
        <f t="shared" si="5"/>
        <v>16750</v>
      </c>
    </row>
    <row r="170" spans="1:9" ht="15" customHeight="1">
      <c r="A170" s="497"/>
      <c r="B170" s="497"/>
      <c r="C170" s="517" t="s">
        <v>1264</v>
      </c>
      <c r="D170" s="365">
        <v>350</v>
      </c>
      <c r="E170" s="366" t="s">
        <v>16</v>
      </c>
      <c r="F170" s="367">
        <v>18</v>
      </c>
      <c r="G170" s="504">
        <f t="shared" si="5"/>
        <v>6300</v>
      </c>
    </row>
    <row r="171" spans="1:9" ht="15" customHeight="1">
      <c r="A171" s="497"/>
      <c r="B171" s="497"/>
      <c r="C171" s="517" t="s">
        <v>1265</v>
      </c>
      <c r="D171" s="365">
        <v>19</v>
      </c>
      <c r="E171" s="366" t="s">
        <v>21</v>
      </c>
      <c r="F171" s="367">
        <v>55</v>
      </c>
      <c r="G171" s="504">
        <f t="shared" si="5"/>
        <v>1045</v>
      </c>
    </row>
    <row r="172" spans="1:9" ht="15" customHeight="1">
      <c r="A172" s="497"/>
      <c r="B172" s="497"/>
      <c r="C172" s="517" t="s">
        <v>852</v>
      </c>
      <c r="D172" s="365">
        <v>10</v>
      </c>
      <c r="E172" s="366" t="s">
        <v>21</v>
      </c>
      <c r="F172" s="367">
        <v>60</v>
      </c>
      <c r="G172" s="504">
        <f t="shared" si="5"/>
        <v>600</v>
      </c>
    </row>
    <row r="173" spans="1:9" ht="15" customHeight="1">
      <c r="A173" s="497"/>
      <c r="B173" s="497"/>
      <c r="C173" s="517" t="s">
        <v>961</v>
      </c>
      <c r="D173" s="365">
        <v>19</v>
      </c>
      <c r="E173" s="366" t="s">
        <v>21</v>
      </c>
      <c r="F173" s="367">
        <v>45</v>
      </c>
      <c r="G173" s="523">
        <f t="shared" si="5"/>
        <v>855</v>
      </c>
    </row>
    <row r="174" spans="1:9" ht="15" customHeight="1">
      <c r="A174" s="497"/>
      <c r="B174" s="497"/>
      <c r="C174" s="517" t="s">
        <v>1266</v>
      </c>
      <c r="D174" s="365">
        <v>19</v>
      </c>
      <c r="E174" s="366" t="s">
        <v>21</v>
      </c>
      <c r="F174" s="367">
        <v>200</v>
      </c>
      <c r="G174" s="515">
        <f t="shared" si="5"/>
        <v>3800</v>
      </c>
    </row>
    <row r="175" spans="1:9" ht="15" customHeight="1">
      <c r="A175" s="497"/>
      <c r="B175" s="497"/>
      <c r="C175" s="495"/>
      <c r="D175" s="498"/>
      <c r="E175" s="498"/>
      <c r="F175" s="507" t="s">
        <v>1211</v>
      </c>
      <c r="G175" s="516">
        <f>SUM(G167:G174)</f>
        <v>40294</v>
      </c>
    </row>
    <row r="177" spans="1:11" ht="15" customHeight="1">
      <c r="F177" s="507" t="s">
        <v>1212</v>
      </c>
      <c r="G177" s="499">
        <f>G175</f>
        <v>40294</v>
      </c>
    </row>
    <row r="178" spans="1:11" ht="15" customHeight="1">
      <c r="F178" s="507" t="s">
        <v>1213</v>
      </c>
      <c r="G178" s="499">
        <f>G177/D162</f>
        <v>40294</v>
      </c>
    </row>
    <row r="180" spans="1:11" ht="15" customHeight="1">
      <c r="A180" s="494"/>
      <c r="B180" s="524" t="s">
        <v>1267</v>
      </c>
      <c r="C180" s="500" t="s">
        <v>1188</v>
      </c>
      <c r="D180" s="498">
        <f>62.8*3+11.1*2+7*2</f>
        <v>224.59999999999997</v>
      </c>
      <c r="E180" s="498" t="s">
        <v>112</v>
      </c>
      <c r="F180" s="499"/>
      <c r="G180" s="499"/>
    </row>
    <row r="181" spans="1:11" ht="15" customHeight="1">
      <c r="A181" s="497"/>
      <c r="B181" s="497"/>
      <c r="C181" s="508"/>
      <c r="D181" s="509"/>
      <c r="E181" s="509"/>
      <c r="F181" s="499"/>
      <c r="G181" s="499"/>
    </row>
    <row r="182" spans="1:11" ht="15" customHeight="1">
      <c r="A182" s="497" t="s">
        <v>1215</v>
      </c>
    </row>
    <row r="183" spans="1:11" ht="15" customHeight="1">
      <c r="A183" s="497"/>
      <c r="B183" s="497"/>
      <c r="C183" s="508"/>
      <c r="D183" s="498" t="s">
        <v>173</v>
      </c>
      <c r="E183" s="498" t="s">
        <v>297</v>
      </c>
      <c r="F183" s="507" t="s">
        <v>1216</v>
      </c>
      <c r="G183" s="499" t="s">
        <v>1217</v>
      </c>
    </row>
    <row r="184" spans="1:11" ht="15" customHeight="1">
      <c r="A184" s="497"/>
      <c r="B184" s="497"/>
      <c r="C184" s="495"/>
      <c r="D184" s="498"/>
      <c r="E184" s="498"/>
      <c r="F184" s="507"/>
      <c r="G184" s="499"/>
    </row>
    <row r="185" spans="1:11" ht="33.75" customHeight="1">
      <c r="A185" s="497"/>
      <c r="B185" s="497"/>
      <c r="C185" s="526" t="s">
        <v>1268</v>
      </c>
      <c r="D185" s="503">
        <f>ROUNDUP(D180/0.16,0)+5</f>
        <v>1409</v>
      </c>
      <c r="E185" s="527" t="s">
        <v>112</v>
      </c>
      <c r="F185" s="528">
        <v>30</v>
      </c>
      <c r="G185" s="504">
        <f t="shared" ref="G185:G186" si="6">F185*D185</f>
        <v>42270</v>
      </c>
      <c r="I185" s="489" t="s">
        <v>1269</v>
      </c>
      <c r="K185" s="489" t="s">
        <v>1270</v>
      </c>
    </row>
    <row r="186" spans="1:11" ht="15" customHeight="1">
      <c r="A186" s="497"/>
      <c r="B186" s="497"/>
      <c r="C186" s="517" t="s">
        <v>1271</v>
      </c>
      <c r="D186" s="365">
        <f>I186</f>
        <v>56.149999999999991</v>
      </c>
      <c r="E186" s="366" t="s">
        <v>23</v>
      </c>
      <c r="F186" s="367">
        <v>600</v>
      </c>
      <c r="G186" s="504">
        <f t="shared" si="6"/>
        <v>33689.999999999993</v>
      </c>
      <c r="I186" s="489">
        <f>D180*0.25</f>
        <v>56.149999999999991</v>
      </c>
      <c r="K186" s="489">
        <f>(73.93*2+3*2)*(0.045)*9.3</f>
        <v>64.390410000000003</v>
      </c>
    </row>
    <row r="187" spans="1:11" ht="15" customHeight="1">
      <c r="A187" s="497"/>
      <c r="B187" s="497"/>
      <c r="C187" s="517" t="s">
        <v>1272</v>
      </c>
      <c r="D187" s="365">
        <f>ROUNDUP(K186+K187,)+3</f>
        <v>107</v>
      </c>
      <c r="E187" s="366" t="s">
        <v>336</v>
      </c>
      <c r="F187" s="367">
        <v>305</v>
      </c>
      <c r="G187" s="504">
        <f t="shared" ref="G187:G188" si="7">F187*D187</f>
        <v>32635</v>
      </c>
      <c r="K187" s="489">
        <v>39</v>
      </c>
    </row>
    <row r="188" spans="1:11" ht="15" customHeight="1">
      <c r="A188" s="497"/>
      <c r="B188" s="497"/>
      <c r="C188" s="517" t="s">
        <v>1273</v>
      </c>
      <c r="D188" s="365">
        <f>ROUNDUP(73.93*3*12.5,0)+5</f>
        <v>2778</v>
      </c>
      <c r="E188" s="366" t="s">
        <v>21</v>
      </c>
      <c r="F188" s="367">
        <v>12</v>
      </c>
      <c r="G188" s="523">
        <f t="shared" si="7"/>
        <v>33336</v>
      </c>
    </row>
    <row r="189" spans="1:11" ht="15" customHeight="1">
      <c r="A189" s="497"/>
      <c r="B189" s="497"/>
      <c r="C189" s="517" t="s">
        <v>1274</v>
      </c>
      <c r="D189" s="365">
        <f>284.33+72</f>
        <v>356.33</v>
      </c>
      <c r="E189" s="366" t="s">
        <v>238</v>
      </c>
      <c r="F189" s="367">
        <v>49</v>
      </c>
      <c r="G189" s="523">
        <f t="shared" ref="G189:G190" si="8">F189*D189</f>
        <v>17460.169999999998</v>
      </c>
    </row>
    <row r="190" spans="1:11" ht="15" customHeight="1">
      <c r="A190" s="497"/>
      <c r="B190" s="497"/>
      <c r="C190" s="517" t="s">
        <v>1275</v>
      </c>
      <c r="D190" s="365">
        <v>10</v>
      </c>
      <c r="E190" s="366" t="s">
        <v>238</v>
      </c>
      <c r="F190" s="367">
        <v>115</v>
      </c>
      <c r="G190" s="515">
        <f t="shared" si="8"/>
        <v>1150</v>
      </c>
    </row>
    <row r="191" spans="1:11" ht="15" customHeight="1">
      <c r="A191" s="497"/>
      <c r="B191" s="497"/>
      <c r="C191" s="495"/>
      <c r="D191" s="498"/>
      <c r="E191" s="498"/>
      <c r="F191" s="507" t="s">
        <v>1211</v>
      </c>
      <c r="G191" s="516">
        <f>SUM(G185:G188)</f>
        <v>141931</v>
      </c>
      <c r="H191" s="529"/>
      <c r="J191" s="516"/>
      <c r="K191" s="531"/>
    </row>
    <row r="192" spans="1:11" ht="15" customHeight="1">
      <c r="A192" s="497"/>
      <c r="B192" s="497"/>
      <c r="C192" s="495"/>
      <c r="D192" s="498"/>
      <c r="E192" s="498"/>
      <c r="F192" s="507"/>
      <c r="G192" s="516"/>
      <c r="H192" s="529"/>
      <c r="I192" s="489">
        <f>73.93</f>
        <v>73.930000000000007</v>
      </c>
      <c r="J192" s="516"/>
      <c r="K192" s="531"/>
    </row>
    <row r="193" spans="1:11" ht="15" customHeight="1">
      <c r="A193" s="497"/>
      <c r="B193" s="497"/>
      <c r="C193" s="495"/>
      <c r="D193" s="498"/>
      <c r="E193" s="498"/>
      <c r="F193" s="507" t="s">
        <v>1212</v>
      </c>
      <c r="G193" s="499">
        <f>G191</f>
        <v>141931</v>
      </c>
      <c r="H193" s="529"/>
      <c r="J193" s="516"/>
      <c r="K193" s="531"/>
    </row>
    <row r="194" spans="1:11" ht="15" customHeight="1">
      <c r="A194" s="497"/>
      <c r="B194" s="497"/>
      <c r="C194" s="495"/>
      <c r="D194" s="498"/>
      <c r="E194" s="498"/>
      <c r="F194" s="507" t="s">
        <v>1213</v>
      </c>
      <c r="G194" s="499">
        <f>G193/D180</f>
        <v>631.92787177203923</v>
      </c>
      <c r="H194" s="529"/>
      <c r="J194" s="516"/>
      <c r="K194" s="531"/>
    </row>
    <row r="195" spans="1:11" ht="15" customHeight="1">
      <c r="A195" s="497"/>
      <c r="B195" s="497"/>
      <c r="C195" s="495"/>
      <c r="D195" s="498"/>
      <c r="E195" s="498"/>
      <c r="F195" s="507"/>
      <c r="G195" s="516"/>
      <c r="H195" s="529"/>
      <c r="J195" s="516"/>
      <c r="K195" s="531"/>
    </row>
    <row r="196" spans="1:11" ht="15" customHeight="1">
      <c r="A196" s="494"/>
      <c r="B196" s="524" t="s">
        <v>1276</v>
      </c>
      <c r="C196" s="500" t="s">
        <v>1188</v>
      </c>
      <c r="D196" s="498">
        <f>D123</f>
        <v>423.7792</v>
      </c>
      <c r="E196" s="498" t="s">
        <v>112</v>
      </c>
      <c r="F196" s="499"/>
      <c r="G196" s="499"/>
      <c r="H196" s="529"/>
      <c r="J196" s="516"/>
      <c r="K196" s="531"/>
    </row>
    <row r="197" spans="1:11" ht="15" customHeight="1">
      <c r="A197" s="497"/>
      <c r="B197" s="497"/>
      <c r="C197" s="508"/>
      <c r="D197" s="509"/>
      <c r="E197" s="509"/>
      <c r="F197" s="499"/>
      <c r="G197" s="499"/>
      <c r="H197" s="529"/>
      <c r="J197" s="516"/>
      <c r="K197" s="531"/>
    </row>
    <row r="198" spans="1:11" ht="15" customHeight="1">
      <c r="A198" s="497" t="s">
        <v>1215</v>
      </c>
      <c r="H198" s="529"/>
      <c r="J198" s="516"/>
      <c r="K198" s="531"/>
    </row>
    <row r="199" spans="1:11" ht="15" customHeight="1">
      <c r="A199" s="497"/>
      <c r="B199" s="497"/>
      <c r="C199" s="508"/>
      <c r="D199" s="498" t="s">
        <v>173</v>
      </c>
      <c r="E199" s="498" t="s">
        <v>297</v>
      </c>
      <c r="F199" s="507" t="s">
        <v>1216</v>
      </c>
      <c r="G199" s="499" t="s">
        <v>1217</v>
      </c>
      <c r="H199" s="529"/>
      <c r="J199" s="516"/>
      <c r="K199" s="531"/>
    </row>
    <row r="200" spans="1:11" ht="15" customHeight="1">
      <c r="A200" s="497"/>
      <c r="B200" s="497"/>
      <c r="C200" s="495"/>
      <c r="D200" s="498"/>
      <c r="E200" s="498"/>
      <c r="F200" s="507"/>
      <c r="G200" s="499"/>
      <c r="H200" s="529"/>
      <c r="J200" s="516"/>
      <c r="K200" s="531"/>
    </row>
    <row r="201" spans="1:11" ht="15" customHeight="1">
      <c r="A201" s="497"/>
      <c r="B201" s="497"/>
      <c r="C201" s="517" t="s">
        <v>1277</v>
      </c>
      <c r="D201" s="920">
        <f>4.88*73.93</f>
        <v>360.77840000000003</v>
      </c>
      <c r="E201" s="925" t="s">
        <v>299</v>
      </c>
      <c r="F201" s="921">
        <f>148*1.2</f>
        <v>177.6</v>
      </c>
      <c r="G201" s="922">
        <f t="shared" ref="G201" si="9">F201*D201</f>
        <v>64074.243840000003</v>
      </c>
      <c r="H201" s="529"/>
      <c r="J201" s="516"/>
      <c r="K201" s="531"/>
    </row>
    <row r="202" spans="1:11" ht="15" customHeight="1">
      <c r="A202" s="497"/>
      <c r="B202" s="497"/>
      <c r="C202" s="517" t="s">
        <v>1278</v>
      </c>
      <c r="D202" s="920"/>
      <c r="E202" s="925"/>
      <c r="F202" s="921"/>
      <c r="G202" s="922"/>
      <c r="H202" s="529"/>
      <c r="J202" s="516"/>
      <c r="K202" s="531"/>
    </row>
    <row r="203" spans="1:11" ht="15" customHeight="1">
      <c r="A203" s="497"/>
      <c r="B203" s="497"/>
      <c r="C203" s="495"/>
      <c r="D203" s="498"/>
      <c r="E203" s="498"/>
      <c r="F203" s="507" t="s">
        <v>1211</v>
      </c>
      <c r="G203" s="516">
        <f>SUM(G201:G202)</f>
        <v>64074.243840000003</v>
      </c>
      <c r="H203" s="529"/>
      <c r="J203" s="516"/>
      <c r="K203" s="531"/>
    </row>
    <row r="204" spans="1:11" ht="15" customHeight="1">
      <c r="H204" s="529"/>
      <c r="J204" s="516"/>
      <c r="K204" s="531"/>
    </row>
    <row r="205" spans="1:11" ht="15" customHeight="1">
      <c r="F205" s="507" t="s">
        <v>1212</v>
      </c>
      <c r="G205" s="499">
        <f>G203</f>
        <v>64074.243840000003</v>
      </c>
      <c r="H205" s="529"/>
      <c r="J205" s="516"/>
      <c r="K205" s="531"/>
    </row>
    <row r="206" spans="1:11" ht="15" customHeight="1">
      <c r="F206" s="507" t="s">
        <v>1213</v>
      </c>
      <c r="G206" s="499">
        <f>G205/D196</f>
        <v>151.1972362966375</v>
      </c>
      <c r="H206" s="529"/>
      <c r="J206" s="516"/>
      <c r="K206" s="531"/>
    </row>
    <row r="207" spans="1:11" ht="15" customHeight="1">
      <c r="H207" s="529"/>
      <c r="J207" s="516"/>
      <c r="K207" s="531"/>
    </row>
    <row r="208" spans="1:11" ht="15" customHeight="1">
      <c r="H208" s="529"/>
      <c r="J208" s="516"/>
      <c r="K208" s="531"/>
    </row>
    <row r="209" spans="1:11" ht="15" customHeight="1">
      <c r="A209" s="494"/>
      <c r="B209" s="524" t="s">
        <v>1279</v>
      </c>
      <c r="C209" s="500" t="s">
        <v>1188</v>
      </c>
      <c r="D209" s="498">
        <v>32</v>
      </c>
      <c r="E209" s="498" t="s">
        <v>398</v>
      </c>
      <c r="F209" s="499"/>
      <c r="G209" s="499"/>
      <c r="H209" s="529"/>
      <c r="J209" s="516"/>
      <c r="K209" s="531"/>
    </row>
    <row r="210" spans="1:11" ht="15" customHeight="1">
      <c r="A210" s="497"/>
      <c r="B210" s="497"/>
      <c r="C210" s="508"/>
      <c r="D210" s="509"/>
      <c r="E210" s="509"/>
      <c r="F210" s="499"/>
      <c r="G210" s="499"/>
      <c r="H210" s="529"/>
      <c r="J210" s="516"/>
      <c r="K210" s="531"/>
    </row>
    <row r="211" spans="1:11" ht="15" customHeight="1">
      <c r="A211" s="497" t="s">
        <v>1215</v>
      </c>
      <c r="H211" s="529"/>
      <c r="J211" s="516"/>
      <c r="K211" s="531"/>
    </row>
    <row r="212" spans="1:11" ht="15" customHeight="1">
      <c r="A212" s="497"/>
      <c r="B212" s="497"/>
      <c r="C212" s="508"/>
      <c r="D212" s="498" t="s">
        <v>173</v>
      </c>
      <c r="E212" s="498" t="s">
        <v>297</v>
      </c>
      <c r="F212" s="507" t="s">
        <v>1216</v>
      </c>
      <c r="G212" s="499" t="s">
        <v>1217</v>
      </c>
      <c r="H212" s="529"/>
      <c r="J212" s="516"/>
      <c r="K212" s="531"/>
    </row>
    <row r="213" spans="1:11" ht="15" customHeight="1">
      <c r="A213" s="497"/>
      <c r="B213" s="497"/>
      <c r="C213" s="495"/>
      <c r="D213" s="498"/>
      <c r="E213" s="498"/>
      <c r="F213" s="507"/>
      <c r="G213" s="499"/>
      <c r="H213" s="529"/>
      <c r="J213" s="516"/>
      <c r="K213" s="531"/>
    </row>
    <row r="214" spans="1:11" ht="15" customHeight="1">
      <c r="A214" s="497"/>
      <c r="B214" s="497"/>
      <c r="C214" s="517" t="s">
        <v>1280</v>
      </c>
      <c r="D214" s="365">
        <f>D209</f>
        <v>32</v>
      </c>
      <c r="E214" s="532" t="str">
        <f>E209</f>
        <v>sets</v>
      </c>
      <c r="F214" s="367">
        <f>8000*1.2</f>
        <v>9600</v>
      </c>
      <c r="G214" s="504">
        <f t="shared" ref="G214:G215" si="10">F214*D214</f>
        <v>307200</v>
      </c>
      <c r="J214" s="516"/>
    </row>
    <row r="215" spans="1:11" ht="15" customHeight="1">
      <c r="A215" s="497"/>
      <c r="B215" s="497"/>
      <c r="C215" s="517" t="s">
        <v>1281</v>
      </c>
      <c r="D215" s="365">
        <v>1</v>
      </c>
      <c r="E215" s="366" t="s">
        <v>1282</v>
      </c>
      <c r="F215" s="367">
        <f>F214*0.2</f>
        <v>1920</v>
      </c>
      <c r="G215" s="515">
        <f t="shared" si="10"/>
        <v>1920</v>
      </c>
    </row>
    <row r="216" spans="1:11" ht="15" customHeight="1">
      <c r="A216" s="497"/>
      <c r="B216" s="497"/>
      <c r="C216" s="495"/>
      <c r="D216" s="498"/>
      <c r="E216" s="498"/>
      <c r="F216" s="507" t="s">
        <v>1211</v>
      </c>
      <c r="G216" s="516">
        <f>SUM(G214:G215)</f>
        <v>309120</v>
      </c>
    </row>
    <row r="217" spans="1:11" ht="15" customHeight="1">
      <c r="A217" s="497"/>
      <c r="B217" s="497"/>
      <c r="C217" s="495"/>
      <c r="D217" s="498"/>
      <c r="E217" s="498"/>
      <c r="F217" s="507"/>
      <c r="G217" s="516"/>
    </row>
    <row r="218" spans="1:11" ht="15" customHeight="1">
      <c r="A218" s="497"/>
      <c r="B218" s="497"/>
      <c r="C218" s="495"/>
      <c r="D218" s="498"/>
      <c r="E218" s="498"/>
      <c r="F218" s="507" t="s">
        <v>1212</v>
      </c>
      <c r="G218" s="499">
        <f>G216</f>
        <v>309120</v>
      </c>
    </row>
    <row r="219" spans="1:11" ht="15" customHeight="1">
      <c r="A219" s="497"/>
      <c r="B219" s="497"/>
      <c r="C219" s="495"/>
      <c r="D219" s="498"/>
      <c r="E219" s="498"/>
      <c r="F219" s="507" t="s">
        <v>1213</v>
      </c>
      <c r="G219" s="499">
        <f>G218/D209</f>
        <v>9660</v>
      </c>
    </row>
    <row r="220" spans="1:11" ht="15" customHeight="1">
      <c r="A220" s="497"/>
      <c r="B220" s="497"/>
      <c r="C220" s="495"/>
      <c r="D220" s="498"/>
      <c r="E220" s="498"/>
      <c r="F220" s="507"/>
      <c r="G220" s="516"/>
    </row>
    <row r="221" spans="1:11" ht="15" customHeight="1">
      <c r="A221" s="494"/>
      <c r="B221" s="524" t="s">
        <v>1283</v>
      </c>
      <c r="C221" s="500" t="s">
        <v>1188</v>
      </c>
      <c r="D221" s="498">
        <v>1</v>
      </c>
      <c r="E221" s="498" t="s">
        <v>165</v>
      </c>
      <c r="F221" s="499"/>
      <c r="G221" s="499"/>
    </row>
    <row r="222" spans="1:11" ht="15" customHeight="1">
      <c r="A222" s="497"/>
      <c r="B222" s="497"/>
      <c r="C222" s="508"/>
      <c r="D222" s="509"/>
      <c r="E222" s="509"/>
      <c r="F222" s="499"/>
      <c r="G222" s="499"/>
    </row>
    <row r="223" spans="1:11" ht="15" customHeight="1">
      <c r="A223" s="497" t="s">
        <v>1215</v>
      </c>
    </row>
    <row r="224" spans="1:11" ht="15" customHeight="1">
      <c r="A224" s="497"/>
      <c r="B224" s="497"/>
      <c r="C224" s="508"/>
      <c r="D224" s="498" t="s">
        <v>173</v>
      </c>
      <c r="E224" s="498" t="s">
        <v>297</v>
      </c>
      <c r="F224" s="507" t="s">
        <v>1216</v>
      </c>
      <c r="G224" s="499" t="s">
        <v>1217</v>
      </c>
    </row>
    <row r="225" spans="1:15" ht="15" customHeight="1">
      <c r="A225" s="497"/>
      <c r="B225" s="497"/>
      <c r="C225" s="495"/>
      <c r="D225" s="498"/>
      <c r="E225" s="498"/>
      <c r="F225" s="507"/>
      <c r="G225" s="499"/>
    </row>
    <row r="226" spans="1:15" ht="15" customHeight="1">
      <c r="A226" s="497"/>
      <c r="B226" s="497"/>
      <c r="C226" s="517" t="s">
        <v>1284</v>
      </c>
      <c r="D226" s="365">
        <f>(3*17*2)/6</f>
        <v>17</v>
      </c>
      <c r="E226" s="366" t="s">
        <v>350</v>
      </c>
      <c r="F226" s="367">
        <f>800*1.2</f>
        <v>960</v>
      </c>
      <c r="G226" s="504">
        <f t="shared" ref="G226:G234" si="11">F226*D226</f>
        <v>16320</v>
      </c>
      <c r="K226" s="489">
        <v>440000</v>
      </c>
    </row>
    <row r="227" spans="1:15" ht="15" customHeight="1">
      <c r="A227" s="497"/>
      <c r="B227" s="497"/>
      <c r="C227" s="517" t="s">
        <v>1285</v>
      </c>
      <c r="D227" s="365">
        <f>17*2</f>
        <v>34</v>
      </c>
      <c r="E227" s="366" t="s">
        <v>350</v>
      </c>
      <c r="F227" s="367">
        <f>605*1.2</f>
        <v>726</v>
      </c>
      <c r="G227" s="523">
        <f t="shared" si="11"/>
        <v>24684</v>
      </c>
      <c r="K227" s="489">
        <v>19</v>
      </c>
    </row>
    <row r="228" spans="1:15" ht="15" customHeight="1">
      <c r="A228" s="497"/>
      <c r="B228" s="497"/>
      <c r="C228" s="517" t="s">
        <v>1286</v>
      </c>
      <c r="D228" s="365">
        <f>17*2</f>
        <v>34</v>
      </c>
      <c r="E228" s="366" t="s">
        <v>350</v>
      </c>
      <c r="F228" s="367">
        <f>605*1.2</f>
        <v>726</v>
      </c>
      <c r="G228" s="523">
        <f t="shared" ref="G228" si="12">F228*D228</f>
        <v>24684</v>
      </c>
    </row>
    <row r="229" spans="1:15" ht="15" customHeight="1">
      <c r="A229" s="497"/>
      <c r="B229" s="497"/>
      <c r="C229" s="517" t="s">
        <v>1287</v>
      </c>
      <c r="D229" s="365">
        <v>1</v>
      </c>
      <c r="E229" s="366" t="s">
        <v>165</v>
      </c>
      <c r="F229" s="367">
        <f>(G226+G227+G228)*0.1</f>
        <v>6568.8</v>
      </c>
      <c r="G229" s="523">
        <f t="shared" si="11"/>
        <v>6568.8</v>
      </c>
    </row>
    <row r="230" spans="1:15" ht="15" customHeight="1">
      <c r="A230" s="497"/>
      <c r="B230" s="497"/>
      <c r="C230" s="517" t="s">
        <v>1273</v>
      </c>
      <c r="D230" s="365">
        <f>4*12.5*20</f>
        <v>1000</v>
      </c>
      <c r="E230" s="366" t="s">
        <v>21</v>
      </c>
      <c r="F230" s="367">
        <v>12</v>
      </c>
      <c r="G230" s="523">
        <f t="shared" si="11"/>
        <v>12000</v>
      </c>
      <c r="K230" s="489">
        <f>K226*K227</f>
        <v>8360000</v>
      </c>
    </row>
    <row r="231" spans="1:15" ht="15" customHeight="1">
      <c r="A231" s="497"/>
      <c r="B231" s="497"/>
      <c r="C231" s="517" t="s">
        <v>1272</v>
      </c>
      <c r="D231" s="365">
        <f>3*D227</f>
        <v>102</v>
      </c>
      <c r="E231" s="366" t="s">
        <v>336</v>
      </c>
      <c r="F231" s="367">
        <v>305</v>
      </c>
      <c r="G231" s="523">
        <f t="shared" si="11"/>
        <v>31110</v>
      </c>
    </row>
    <row r="232" spans="1:15" ht="15" customHeight="1">
      <c r="A232" s="497"/>
      <c r="B232" s="497"/>
      <c r="C232" s="517" t="s">
        <v>1271</v>
      </c>
      <c r="D232" s="365">
        <f>0.174*D227+1*1*0.5*D227</f>
        <v>22.916</v>
      </c>
      <c r="E232" s="366" t="s">
        <v>23</v>
      </c>
      <c r="F232" s="367">
        <v>600</v>
      </c>
      <c r="G232" s="523">
        <f t="shared" si="11"/>
        <v>13749.6</v>
      </c>
    </row>
    <row r="233" spans="1:15" ht="15" customHeight="1">
      <c r="A233" s="497"/>
      <c r="B233" s="497"/>
      <c r="C233" s="517" t="s">
        <v>1274</v>
      </c>
      <c r="D233" s="365">
        <f>J234</f>
        <v>307.17866666666669</v>
      </c>
      <c r="E233" s="366" t="s">
        <v>238</v>
      </c>
      <c r="F233" s="367">
        <v>49</v>
      </c>
      <c r="G233" s="523">
        <f t="shared" si="11"/>
        <v>15051.754666666668</v>
      </c>
      <c r="I233" s="489">
        <f>4*2+(4/0.6)*1</f>
        <v>14.666666666666668</v>
      </c>
      <c r="J233" s="489">
        <f>I233*34</f>
        <v>498.66666666666669</v>
      </c>
    </row>
    <row r="234" spans="1:15" ht="15" customHeight="1">
      <c r="A234" s="497"/>
      <c r="B234" s="497"/>
      <c r="C234" s="517" t="s">
        <v>1275</v>
      </c>
      <c r="D234" s="365">
        <v>10</v>
      </c>
      <c r="E234" s="366" t="s">
        <v>238</v>
      </c>
      <c r="F234" s="367">
        <v>115</v>
      </c>
      <c r="G234" s="523">
        <f t="shared" si="11"/>
        <v>1150</v>
      </c>
      <c r="J234" s="489">
        <f>J233*0.616</f>
        <v>307.17866666666669</v>
      </c>
    </row>
    <row r="235" spans="1:15" ht="15" customHeight="1">
      <c r="A235" s="497"/>
      <c r="B235" s="497"/>
      <c r="C235" s="517" t="s">
        <v>1288</v>
      </c>
      <c r="D235" s="365">
        <f>1*1*1*D227*0.5</f>
        <v>17</v>
      </c>
      <c r="E235" s="366" t="s">
        <v>23</v>
      </c>
      <c r="F235" s="367">
        <v>1100</v>
      </c>
      <c r="G235" s="515">
        <f t="shared" ref="G235" si="13">F235*D235</f>
        <v>18700</v>
      </c>
    </row>
    <row r="236" spans="1:15" ht="15" customHeight="1">
      <c r="A236" s="497"/>
      <c r="B236" s="497"/>
      <c r="C236" s="495"/>
      <c r="D236" s="498"/>
      <c r="E236" s="498"/>
      <c r="F236" s="507" t="s">
        <v>1211</v>
      </c>
      <c r="G236" s="516">
        <f>SUM(G226:G227)</f>
        <v>41004</v>
      </c>
    </row>
    <row r="237" spans="1:15" ht="15" customHeight="1">
      <c r="A237" s="497"/>
      <c r="B237" s="497"/>
      <c r="C237" s="495"/>
      <c r="D237" s="498"/>
      <c r="E237" s="498"/>
      <c r="F237" s="507"/>
      <c r="G237" s="516"/>
      <c r="O237" s="489">
        <f>100/30</f>
        <v>3.3333333333333335</v>
      </c>
    </row>
    <row r="238" spans="1:15" ht="15" customHeight="1">
      <c r="A238" s="497"/>
      <c r="B238" s="497"/>
      <c r="C238" s="495"/>
      <c r="D238" s="498"/>
      <c r="E238" s="498"/>
      <c r="F238" s="507" t="s">
        <v>1212</v>
      </c>
      <c r="G238" s="499">
        <f>G236</f>
        <v>41004</v>
      </c>
    </row>
    <row r="239" spans="1:15" ht="15" customHeight="1">
      <c r="A239" s="497"/>
      <c r="B239" s="497"/>
      <c r="C239" s="495"/>
      <c r="D239" s="498"/>
      <c r="E239" s="498"/>
      <c r="F239" s="507" t="s">
        <v>1213</v>
      </c>
      <c r="G239" s="499">
        <f>G238/D221</f>
        <v>41004</v>
      </c>
    </row>
    <row r="240" spans="1:15" ht="15" customHeight="1">
      <c r="A240" s="497"/>
      <c r="B240" s="497"/>
      <c r="C240" s="495"/>
      <c r="D240" s="498"/>
      <c r="E240" s="498"/>
      <c r="F240" s="507"/>
      <c r="G240" s="516"/>
      <c r="I240" s="489">
        <f>SUM(G65,G86,G103,G120,G143,G159,G177,G193,G205,G218,G47)</f>
        <v>9223715.5158399921</v>
      </c>
    </row>
    <row r="241" spans="1:9" ht="15" customHeight="1">
      <c r="A241" s="497"/>
      <c r="B241" s="497"/>
      <c r="C241" s="495"/>
      <c r="D241" s="498"/>
      <c r="E241" s="498"/>
      <c r="F241" s="507"/>
      <c r="G241" s="516"/>
      <c r="I241" s="489">
        <f>I240+G243</f>
        <v>9764779.997967992</v>
      </c>
    </row>
    <row r="242" spans="1:9" ht="15" customHeight="1">
      <c r="A242" s="497"/>
      <c r="B242" s="497"/>
      <c r="C242" s="495"/>
      <c r="D242" s="498"/>
      <c r="E242" s="498"/>
      <c r="F242" s="533" t="s">
        <v>1289</v>
      </c>
      <c r="G242" s="499">
        <f>SUM(G191,G175,G157,G135,G114,G97,G79,G63,G216,G203,G45)</f>
        <v>9202365.5158399921</v>
      </c>
    </row>
    <row r="243" spans="1:9" ht="15" customHeight="1">
      <c r="F243" s="533" t="s">
        <v>1290</v>
      </c>
      <c r="G243" s="499">
        <f>0.45*SUM(G191,G175,G157,G135,G114,G97,G79,G63,G216,G203)</f>
        <v>541064.48212799989</v>
      </c>
      <c r="I243" s="530">
        <f>10000000-G245</f>
        <v>235220.00203200802</v>
      </c>
    </row>
    <row r="244" spans="1:9" ht="15" customHeight="1">
      <c r="F244" s="516" t="s">
        <v>1291</v>
      </c>
      <c r="G244" s="534">
        <f>SUM(G84,G101,G118,G141)</f>
        <v>21350</v>
      </c>
    </row>
    <row r="245" spans="1:9" ht="15" customHeight="1">
      <c r="F245" s="516" t="s">
        <v>1292</v>
      </c>
      <c r="G245" s="494">
        <f>SUM(G242:G244)</f>
        <v>9764779.997967992</v>
      </c>
    </row>
    <row r="246" spans="1:9" ht="15" customHeight="1">
      <c r="B246" s="535"/>
      <c r="I246" s="489">
        <f>34*450000</f>
        <v>15300000</v>
      </c>
    </row>
    <row r="247" spans="1:9" ht="15" customHeight="1">
      <c r="B247" s="536"/>
      <c r="F247" s="490"/>
      <c r="G247" s="490"/>
    </row>
    <row r="248" spans="1:9" ht="15" customHeight="1">
      <c r="I248" s="489">
        <f>8000000/18</f>
        <v>444444.44444444444</v>
      </c>
    </row>
    <row r="249" spans="1:9" ht="15" customHeight="1">
      <c r="A249" s="489" t="s">
        <v>1293</v>
      </c>
      <c r="C249" s="489" t="s">
        <v>1294</v>
      </c>
    </row>
    <row r="252" spans="1:9" ht="15" customHeight="1">
      <c r="B252" s="489" t="s">
        <v>1295</v>
      </c>
      <c r="D252" s="489" t="s">
        <v>1296</v>
      </c>
    </row>
    <row r="253" spans="1:9" ht="15" customHeight="1">
      <c r="B253" s="489" t="s">
        <v>1297</v>
      </c>
      <c r="D253" s="489" t="s">
        <v>1298</v>
      </c>
    </row>
    <row r="257" spans="1:4" ht="15" customHeight="1">
      <c r="A257" s="490" t="s">
        <v>1299</v>
      </c>
      <c r="C257" s="489" t="s">
        <v>1300</v>
      </c>
    </row>
    <row r="261" spans="1:4" ht="15" customHeight="1">
      <c r="B261" s="489" t="s">
        <v>1301</v>
      </c>
      <c r="D261" s="489" t="s">
        <v>1302</v>
      </c>
    </row>
    <row r="262" spans="1:4" ht="15" customHeight="1">
      <c r="B262" s="489" t="s">
        <v>1303</v>
      </c>
      <c r="D262" s="489" t="s">
        <v>1074</v>
      </c>
    </row>
  </sheetData>
  <mergeCells count="20">
    <mergeCell ref="A1:G1"/>
    <mergeCell ref="A2:G2"/>
    <mergeCell ref="A3:G3"/>
    <mergeCell ref="A4:G4"/>
    <mergeCell ref="A9:G9"/>
    <mergeCell ref="B14:B15"/>
    <mergeCell ref="C18:C19"/>
    <mergeCell ref="C20:C21"/>
    <mergeCell ref="C22:C23"/>
    <mergeCell ref="C25:C26"/>
    <mergeCell ref="C28:C30"/>
    <mergeCell ref="D18:D44"/>
    <mergeCell ref="D201:D202"/>
    <mergeCell ref="E18:E44"/>
    <mergeCell ref="E201:E202"/>
    <mergeCell ref="F18:F44"/>
    <mergeCell ref="F201:F202"/>
    <mergeCell ref="G18:G44"/>
    <mergeCell ref="G201:G202"/>
    <mergeCell ref="I4:I5"/>
  </mergeCells>
  <pageMargins left="0.21" right="0.17" top="0.63" bottom="0.24" header="0.51" footer="0.12"/>
  <pageSetup paperSize="9" orientation="portrait" horizontalDpi="360" verticalDpi="3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V1046808"/>
  <sheetViews>
    <sheetView view="pageBreakPreview" topLeftCell="D16" zoomScale="40" zoomScaleNormal="100" zoomScaleSheetLayoutView="40" zoomScalePageLayoutView="55" workbookViewId="0">
      <selection activeCell="F27" sqref="F27:J27"/>
    </sheetView>
  </sheetViews>
  <sheetFormatPr defaultColWidth="9.140625" defaultRowHeight="41.1" customHeight="1"/>
  <cols>
    <col min="1" max="1" width="8.85546875" style="422" hidden="1" customWidth="1"/>
    <col min="2" max="3" width="55.85546875" style="422" hidden="1" customWidth="1"/>
    <col min="4" max="4" width="24" style="421" customWidth="1"/>
    <col min="5" max="5" width="2.28515625" style="421" customWidth="1"/>
    <col min="6" max="6" width="50.7109375" style="421" customWidth="1"/>
    <col min="7" max="7" width="22.140625" style="421" customWidth="1"/>
    <col min="8" max="8" width="14.5703125" style="421" customWidth="1"/>
    <col min="9" max="9" width="74.5703125" style="421" customWidth="1"/>
    <col min="10" max="10" width="45.7109375" style="421" customWidth="1"/>
    <col min="11" max="11" width="43.5703125" style="421" customWidth="1"/>
    <col min="12" max="12" width="15.85546875" style="421" customWidth="1"/>
    <col min="13" max="13" width="22.7109375" style="421" customWidth="1"/>
    <col min="14" max="14" width="50.5703125" style="421" customWidth="1"/>
    <col min="15" max="15" width="8.5703125" style="421" customWidth="1"/>
    <col min="16" max="16" width="31.140625" style="421" customWidth="1"/>
    <col min="17" max="17" width="38" style="421" customWidth="1"/>
    <col min="18" max="18" width="9.140625" style="421"/>
    <col min="19" max="19" width="10.5703125" style="421" customWidth="1"/>
    <col min="20" max="16384" width="9.140625" style="421"/>
  </cols>
  <sheetData>
    <row r="1" spans="1:17" s="420" customFormat="1" ht="41.1" customHeight="1">
      <c r="A1" s="423"/>
      <c r="B1" s="423"/>
      <c r="C1" s="423"/>
      <c r="D1" s="1015" t="s">
        <v>1174</v>
      </c>
      <c r="E1" s="1015"/>
      <c r="F1" s="1015"/>
      <c r="G1" s="1015"/>
      <c r="H1" s="1015"/>
      <c r="I1" s="1015"/>
      <c r="J1" s="1015"/>
      <c r="K1" s="1015"/>
      <c r="L1" s="1015"/>
      <c r="M1" s="1015"/>
      <c r="N1" s="1015"/>
      <c r="O1" s="1015"/>
      <c r="P1" s="1015"/>
    </row>
    <row r="2" spans="1:17" s="420" customFormat="1" ht="41.1" customHeight="1">
      <c r="A2" s="423"/>
      <c r="B2" s="423"/>
      <c r="C2" s="423"/>
      <c r="D2" s="1015" t="s">
        <v>1175</v>
      </c>
      <c r="E2" s="1015"/>
      <c r="F2" s="1015"/>
      <c r="G2" s="1015"/>
      <c r="H2" s="1015"/>
      <c r="I2" s="1015"/>
      <c r="J2" s="1015"/>
      <c r="K2" s="1015"/>
      <c r="L2" s="1015"/>
      <c r="M2" s="1015"/>
      <c r="N2" s="1015"/>
      <c r="O2" s="1015"/>
      <c r="P2" s="1015"/>
    </row>
    <row r="3" spans="1:17" s="420" customFormat="1" ht="41.1" customHeight="1">
      <c r="A3" s="423"/>
      <c r="B3" s="423"/>
      <c r="C3" s="423"/>
      <c r="D3" s="1015" t="s">
        <v>1176</v>
      </c>
      <c r="E3" s="1015"/>
      <c r="F3" s="1015"/>
      <c r="G3" s="1015"/>
      <c r="H3" s="1015"/>
      <c r="I3" s="1015"/>
      <c r="J3" s="1015"/>
      <c r="K3" s="1015"/>
      <c r="L3" s="1015"/>
      <c r="M3" s="1015"/>
      <c r="N3" s="1015"/>
      <c r="O3" s="1015"/>
      <c r="P3" s="1015"/>
    </row>
    <row r="4" spans="1:17" s="420" customFormat="1" ht="41.1" customHeight="1">
      <c r="A4" s="423"/>
      <c r="B4" s="423"/>
      <c r="C4" s="423"/>
      <c r="D4" s="1015" t="s">
        <v>1304</v>
      </c>
      <c r="E4" s="1015"/>
      <c r="F4" s="1015"/>
      <c r="G4" s="1015"/>
      <c r="H4" s="1015"/>
      <c r="I4" s="1015"/>
      <c r="J4" s="1015"/>
      <c r="K4" s="1015"/>
      <c r="L4" s="1015"/>
      <c r="M4" s="1015"/>
      <c r="N4" s="1015"/>
      <c r="O4" s="1015"/>
      <c r="P4" s="1015"/>
    </row>
    <row r="5" spans="1:17" s="420" customFormat="1" ht="41.1" customHeight="1">
      <c r="A5" s="423"/>
      <c r="B5" s="423"/>
      <c r="C5" s="423"/>
      <c r="D5" s="1024" t="s">
        <v>1305</v>
      </c>
      <c r="E5" s="1024"/>
      <c r="F5" s="1024"/>
      <c r="G5" s="1024"/>
      <c r="H5" s="1024"/>
      <c r="I5" s="1024"/>
      <c r="J5" s="1024"/>
      <c r="K5" s="1024"/>
      <c r="L5" s="1024"/>
      <c r="M5" s="1024"/>
      <c r="N5" s="1024"/>
      <c r="O5" s="1024"/>
      <c r="P5" s="1024"/>
    </row>
    <row r="6" spans="1:17" s="420" customFormat="1" ht="5.25" customHeight="1">
      <c r="A6" s="423"/>
      <c r="B6" s="423"/>
      <c r="C6" s="423"/>
      <c r="D6" s="1024"/>
      <c r="E6" s="1024"/>
      <c r="F6" s="1024"/>
      <c r="G6" s="1024"/>
      <c r="H6" s="1024"/>
      <c r="I6" s="1024"/>
      <c r="J6" s="1024"/>
      <c r="K6" s="1024"/>
      <c r="L6" s="1024"/>
      <c r="M6" s="1024"/>
      <c r="N6" s="1024"/>
      <c r="O6" s="1024"/>
      <c r="P6" s="1024"/>
    </row>
    <row r="7" spans="1:17" s="420" customFormat="1" ht="6.75" customHeight="1">
      <c r="A7" s="423"/>
      <c r="B7" s="423"/>
      <c r="C7" s="423"/>
      <c r="D7" s="1021" t="s">
        <v>1306</v>
      </c>
      <c r="E7" s="424"/>
      <c r="F7" s="424"/>
      <c r="G7" s="1022" t="s">
        <v>1307</v>
      </c>
      <c r="H7" s="1022"/>
      <c r="I7" s="1022"/>
      <c r="J7" s="1022"/>
      <c r="K7" s="1022"/>
      <c r="L7" s="1022"/>
      <c r="M7" s="436"/>
      <c r="N7" s="437"/>
      <c r="O7" s="1016"/>
      <c r="P7" s="1016"/>
    </row>
    <row r="8" spans="1:17" s="420" customFormat="1" ht="38.25" customHeight="1">
      <c r="A8" s="423"/>
      <c r="B8" s="423"/>
      <c r="C8" s="423"/>
      <c r="D8" s="1021"/>
      <c r="E8" s="425"/>
      <c r="F8" s="425"/>
      <c r="G8" s="1023"/>
      <c r="H8" s="1023"/>
      <c r="I8" s="1023"/>
      <c r="J8" s="1023"/>
      <c r="K8" s="1023"/>
      <c r="L8" s="1023"/>
      <c r="M8" s="438"/>
      <c r="N8" s="439" t="s">
        <v>1045</v>
      </c>
      <c r="O8" s="1017"/>
      <c r="P8" s="1017"/>
    </row>
    <row r="9" spans="1:17" s="420" customFormat="1" ht="33" customHeight="1">
      <c r="A9" s="423"/>
      <c r="B9" s="423"/>
      <c r="C9" s="423"/>
      <c r="D9" s="425" t="s">
        <v>1180</v>
      </c>
      <c r="E9" s="425"/>
      <c r="F9" s="425"/>
      <c r="G9" s="1018" t="s">
        <v>1308</v>
      </c>
      <c r="H9" s="1007"/>
      <c r="I9" s="1007"/>
      <c r="J9" s="1007"/>
      <c r="K9" s="1007"/>
      <c r="L9" s="1007"/>
      <c r="M9" s="1007"/>
      <c r="N9" s="440" t="s">
        <v>1309</v>
      </c>
      <c r="O9" s="1007"/>
      <c r="P9" s="1007"/>
      <c r="Q9" s="449">
        <v>18900000</v>
      </c>
    </row>
    <row r="10" spans="1:17" s="420" customFormat="1" ht="33" customHeight="1">
      <c r="A10" s="423"/>
      <c r="B10" s="423"/>
      <c r="C10" s="423"/>
      <c r="D10" s="426"/>
      <c r="E10" s="426"/>
      <c r="F10" s="426"/>
      <c r="G10" s="772" t="s">
        <v>1310</v>
      </c>
      <c r="H10" s="427"/>
      <c r="I10" s="427"/>
      <c r="J10" s="429"/>
      <c r="K10" s="429"/>
      <c r="L10" s="429"/>
      <c r="M10" s="429"/>
      <c r="N10" s="439" t="s">
        <v>1311</v>
      </c>
      <c r="O10" s="441"/>
      <c r="Q10" s="450" t="e">
        <f>O136</f>
        <v>#REF!</v>
      </c>
    </row>
    <row r="11" spans="1:17" s="420" customFormat="1" ht="33" customHeight="1">
      <c r="A11" s="423"/>
      <c r="B11" s="423"/>
      <c r="C11" s="423"/>
      <c r="D11" s="426"/>
      <c r="E11" s="426"/>
      <c r="F11" s="426"/>
      <c r="G11" s="428"/>
      <c r="H11" s="429"/>
      <c r="I11" s="429"/>
      <c r="J11" s="429"/>
      <c r="K11" s="429"/>
      <c r="L11" s="429"/>
      <c r="M11" s="429"/>
      <c r="N11" s="439" t="s">
        <v>1312</v>
      </c>
      <c r="O11" s="1025" t="s">
        <v>1313</v>
      </c>
      <c r="P11" s="1025"/>
      <c r="Q11" s="450"/>
    </row>
    <row r="12" spans="1:17" s="420" customFormat="1" ht="33" customHeight="1">
      <c r="A12" s="423"/>
      <c r="B12" s="423"/>
      <c r="C12" s="423"/>
      <c r="D12" s="426"/>
      <c r="E12" s="426"/>
      <c r="F12" s="426"/>
      <c r="G12" s="428"/>
      <c r="H12" s="429"/>
      <c r="I12" s="429"/>
      <c r="J12" s="426"/>
      <c r="K12" s="426"/>
      <c r="L12" s="426"/>
      <c r="M12" s="426"/>
      <c r="N12" s="439" t="s">
        <v>1314</v>
      </c>
      <c r="O12" s="1019" t="s">
        <v>1668</v>
      </c>
      <c r="P12" s="1020"/>
      <c r="Q12" s="450"/>
    </row>
    <row r="13" spans="1:17" s="420" customFormat="1" ht="33" customHeight="1">
      <c r="A13" s="423"/>
      <c r="B13" s="423"/>
      <c r="C13" s="423"/>
      <c r="D13" s="425" t="s">
        <v>1315</v>
      </c>
      <c r="E13" s="425"/>
      <c r="F13" s="425"/>
      <c r="G13" s="1006" t="e">
        <f>O136</f>
        <v>#REF!</v>
      </c>
      <c r="H13" s="1006"/>
      <c r="I13" s="1006"/>
      <c r="J13" s="442"/>
      <c r="K13" s="442"/>
      <c r="L13" s="442"/>
      <c r="M13" s="442"/>
      <c r="N13" s="439" t="s">
        <v>1316</v>
      </c>
    </row>
    <row r="14" spans="1:17" s="420" customFormat="1" ht="33" customHeight="1">
      <c r="A14" s="423"/>
      <c r="B14" s="423"/>
      <c r="C14" s="423"/>
      <c r="D14" s="425" t="s">
        <v>1317</v>
      </c>
      <c r="E14" s="425"/>
      <c r="G14" s="1007" t="s">
        <v>1318</v>
      </c>
      <c r="H14" s="1007"/>
      <c r="I14" s="1007"/>
      <c r="J14" s="1007"/>
      <c r="K14" s="1007"/>
      <c r="L14" s="1007"/>
      <c r="M14" s="1007"/>
      <c r="N14" s="439" t="s">
        <v>1319</v>
      </c>
      <c r="O14" s="1008"/>
      <c r="P14" s="1008"/>
    </row>
    <row r="15" spans="1:17" s="420" customFormat="1" ht="33" customHeight="1">
      <c r="A15" s="423"/>
      <c r="B15" s="423"/>
      <c r="C15" s="423"/>
      <c r="D15" s="425" t="s">
        <v>1320</v>
      </c>
      <c r="E15" s="425"/>
      <c r="F15" s="425"/>
      <c r="G15" s="1007"/>
      <c r="H15" s="1007"/>
      <c r="I15" s="1007"/>
      <c r="J15" s="1007"/>
      <c r="K15" s="1007"/>
      <c r="L15" s="1007"/>
      <c r="M15" s="1007"/>
      <c r="N15" s="439" t="s">
        <v>1321</v>
      </c>
      <c r="O15" s="1009"/>
      <c r="P15" s="1009"/>
    </row>
    <row r="16" spans="1:17" s="420" customFormat="1" ht="25.5" customHeight="1">
      <c r="A16" s="423"/>
      <c r="B16" s="423"/>
      <c r="C16" s="423"/>
      <c r="D16" s="1010"/>
      <c r="E16" s="1010"/>
      <c r="F16" s="1010"/>
      <c r="G16" s="1007"/>
      <c r="H16" s="1007"/>
      <c r="I16" s="1007"/>
      <c r="J16" s="1007"/>
      <c r="K16" s="1007"/>
      <c r="L16" s="1007"/>
      <c r="M16" s="1007"/>
      <c r="N16" s="443"/>
      <c r="O16" s="443"/>
      <c r="P16" s="443"/>
    </row>
    <row r="17" spans="1:16" s="420" customFormat="1" ht="34.5" customHeight="1">
      <c r="A17" s="951" t="s">
        <v>1184</v>
      </c>
      <c r="B17" s="953" t="s">
        <v>1322</v>
      </c>
      <c r="C17" s="953" t="s">
        <v>1323</v>
      </c>
      <c r="D17" s="959" t="s">
        <v>1324</v>
      </c>
      <c r="E17" s="960"/>
      <c r="F17" s="963" t="s">
        <v>1325</v>
      </c>
      <c r="G17" s="963"/>
      <c r="H17" s="963"/>
      <c r="I17" s="963"/>
      <c r="J17" s="964"/>
      <c r="K17" s="444" t="s">
        <v>1326</v>
      </c>
      <c r="L17" s="1011" t="s">
        <v>1327</v>
      </c>
      <c r="M17" s="1012"/>
      <c r="N17" s="1012"/>
      <c r="O17" s="1012"/>
      <c r="P17" s="1013"/>
    </row>
    <row r="18" spans="1:16" s="420" customFormat="1" ht="34.5" customHeight="1">
      <c r="A18" s="952"/>
      <c r="B18" s="954"/>
      <c r="C18" s="954"/>
      <c r="D18" s="961"/>
      <c r="E18" s="962"/>
      <c r="F18" s="961"/>
      <c r="G18" s="961"/>
      <c r="H18" s="961"/>
      <c r="I18" s="961"/>
      <c r="J18" s="962"/>
      <c r="K18" s="445" t="s">
        <v>1328</v>
      </c>
      <c r="L18" s="1014" t="s">
        <v>1329</v>
      </c>
      <c r="M18" s="1014"/>
      <c r="N18" s="1014" t="s">
        <v>1330</v>
      </c>
      <c r="O18" s="1014"/>
      <c r="P18" s="1014"/>
    </row>
    <row r="19" spans="1:16" s="420" customFormat="1" ht="34.5" customHeight="1">
      <c r="A19" s="431">
        <v>1</v>
      </c>
      <c r="B19" s="432"/>
      <c r="C19" s="433">
        <v>11</v>
      </c>
      <c r="D19" s="434" t="str">
        <f t="shared" ref="D19:D31" si="0">D75</f>
        <v>RENOVATION OF DAY CARE CENTER AT SITIO BADAC BARANGAY SARAVIA</v>
      </c>
      <c r="E19" s="435"/>
      <c r="F19" s="435"/>
      <c r="G19" s="435"/>
      <c r="H19" s="435"/>
      <c r="I19" s="435"/>
      <c r="J19" s="435"/>
      <c r="K19" s="446"/>
      <c r="L19" s="934">
        <v>3</v>
      </c>
      <c r="M19" s="934"/>
      <c r="N19" s="932" t="s">
        <v>1331</v>
      </c>
      <c r="O19" s="932"/>
      <c r="P19" s="932"/>
    </row>
    <row r="20" spans="1:16" s="420" customFormat="1" ht="34.5" customHeight="1">
      <c r="A20" s="431">
        <v>1</v>
      </c>
      <c r="B20" s="432"/>
      <c r="C20" s="433">
        <v>11</v>
      </c>
      <c r="D20" s="933" t="str">
        <f t="shared" si="0"/>
        <v>I</v>
      </c>
      <c r="E20" s="933"/>
      <c r="F20" s="930" t="str">
        <f t="shared" ref="F20:F31" si="1">F76</f>
        <v>STRUCTURAL CONCRETE</v>
      </c>
      <c r="G20" s="931"/>
      <c r="H20" s="931"/>
      <c r="I20" s="931"/>
      <c r="J20" s="931"/>
      <c r="K20" s="447" t="e">
        <f t="shared" ref="K20:K29" si="2">O76/O$128</f>
        <v>#REF!</v>
      </c>
      <c r="L20" s="934">
        <v>5</v>
      </c>
      <c r="M20" s="934"/>
      <c r="N20" s="932" t="s">
        <v>1332</v>
      </c>
      <c r="O20" s="932"/>
      <c r="P20" s="932"/>
    </row>
    <row r="21" spans="1:16" s="420" customFormat="1" ht="34.5" customHeight="1">
      <c r="A21" s="431">
        <v>1</v>
      </c>
      <c r="B21" s="432"/>
      <c r="C21" s="433">
        <v>11</v>
      </c>
      <c r="D21" s="933" t="str">
        <f t="shared" si="0"/>
        <v>II</v>
      </c>
      <c r="E21" s="933"/>
      <c r="F21" s="930" t="str">
        <f t="shared" si="1"/>
        <v>REINFORCE STEEL BAR</v>
      </c>
      <c r="G21" s="931"/>
      <c r="H21" s="931"/>
      <c r="I21" s="931"/>
      <c r="J21" s="931"/>
      <c r="K21" s="447" t="e">
        <f t="shared" si="2"/>
        <v>#REF!</v>
      </c>
      <c r="L21" s="934">
        <v>5</v>
      </c>
      <c r="M21" s="934"/>
      <c r="N21" s="932" t="s">
        <v>1333</v>
      </c>
      <c r="O21" s="932"/>
      <c r="P21" s="932"/>
    </row>
    <row r="22" spans="1:16" s="420" customFormat="1" ht="34.5" customHeight="1">
      <c r="A22" s="431">
        <v>1</v>
      </c>
      <c r="B22" s="432"/>
      <c r="C22" s="433">
        <v>11</v>
      </c>
      <c r="D22" s="933" t="str">
        <f t="shared" si="0"/>
        <v>III</v>
      </c>
      <c r="E22" s="933"/>
      <c r="F22" s="930" t="str">
        <f t="shared" si="1"/>
        <v>FORMWORKS</v>
      </c>
      <c r="G22" s="931"/>
      <c r="H22" s="931"/>
      <c r="I22" s="931"/>
      <c r="J22" s="931"/>
      <c r="K22" s="447" t="e">
        <f t="shared" si="2"/>
        <v>#REF!</v>
      </c>
      <c r="L22" s="934"/>
      <c r="M22" s="934"/>
      <c r="N22" s="932"/>
      <c r="O22" s="932"/>
      <c r="P22" s="932"/>
    </row>
    <row r="23" spans="1:16" s="420" customFormat="1" ht="34.5" customHeight="1">
      <c r="A23" s="431">
        <v>1</v>
      </c>
      <c r="B23" s="432"/>
      <c r="C23" s="433">
        <v>11</v>
      </c>
      <c r="D23" s="933" t="str">
        <f t="shared" si="0"/>
        <v>IV</v>
      </c>
      <c r="E23" s="933"/>
      <c r="F23" s="930" t="str">
        <f t="shared" si="1"/>
        <v>MASONRY WORKS ( CHB Laying  and Plastering )</v>
      </c>
      <c r="G23" s="931"/>
      <c r="H23" s="931"/>
      <c r="I23" s="931"/>
      <c r="J23" s="931"/>
      <c r="K23" s="447" t="e">
        <f t="shared" si="2"/>
        <v>#REF!</v>
      </c>
      <c r="L23" s="931"/>
      <c r="M23" s="931"/>
      <c r="N23" s="932"/>
      <c r="O23" s="932"/>
      <c r="P23" s="932"/>
    </row>
    <row r="24" spans="1:16" s="420" customFormat="1" ht="34.5" customHeight="1">
      <c r="A24" s="431">
        <v>1</v>
      </c>
      <c r="B24" s="432"/>
      <c r="C24" s="433">
        <v>11</v>
      </c>
      <c r="D24" s="933" t="str">
        <f t="shared" si="0"/>
        <v>V</v>
      </c>
      <c r="E24" s="933"/>
      <c r="F24" s="930" t="str">
        <f t="shared" si="1"/>
        <v>ROOFING WORKS</v>
      </c>
      <c r="G24" s="931"/>
      <c r="H24" s="931"/>
      <c r="I24" s="931"/>
      <c r="J24" s="931"/>
      <c r="K24" s="447" t="e">
        <f t="shared" si="2"/>
        <v>#REF!</v>
      </c>
      <c r="L24" s="931"/>
      <c r="M24" s="931"/>
      <c r="N24" s="932"/>
      <c r="O24" s="932"/>
      <c r="P24" s="932"/>
    </row>
    <row r="25" spans="1:16" s="420" customFormat="1" ht="34.5" customHeight="1">
      <c r="A25" s="431">
        <v>1</v>
      </c>
      <c r="B25" s="432"/>
      <c r="C25" s="433">
        <v>11</v>
      </c>
      <c r="D25" s="933" t="str">
        <f t="shared" si="0"/>
        <v>VI</v>
      </c>
      <c r="E25" s="933"/>
      <c r="F25" s="930" t="str">
        <f t="shared" si="1"/>
        <v>PAINTING WORKS</v>
      </c>
      <c r="G25" s="931"/>
      <c r="H25" s="931"/>
      <c r="I25" s="931"/>
      <c r="J25" s="931"/>
      <c r="K25" s="447" t="e">
        <f t="shared" si="2"/>
        <v>#REF!</v>
      </c>
      <c r="L25" s="931"/>
      <c r="M25" s="931"/>
      <c r="N25" s="932"/>
      <c r="O25" s="932"/>
      <c r="P25" s="932"/>
    </row>
    <row r="26" spans="1:16" s="420" customFormat="1" ht="34.5" customHeight="1">
      <c r="A26" s="431">
        <v>1</v>
      </c>
      <c r="B26" s="432"/>
      <c r="C26" s="433">
        <v>11</v>
      </c>
      <c r="D26" s="933" t="str">
        <f t="shared" si="0"/>
        <v>VII</v>
      </c>
      <c r="E26" s="933"/>
      <c r="F26" s="930" t="str">
        <f t="shared" si="1"/>
        <v>PLUMBING AND TILE WORKS</v>
      </c>
      <c r="G26" s="931"/>
      <c r="H26" s="931"/>
      <c r="I26" s="931"/>
      <c r="J26" s="931"/>
      <c r="K26" s="447" t="e">
        <f t="shared" si="2"/>
        <v>#REF!</v>
      </c>
      <c r="L26" s="931"/>
      <c r="M26" s="931"/>
      <c r="N26" s="932"/>
      <c r="O26" s="932"/>
      <c r="P26" s="932"/>
    </row>
    <row r="27" spans="1:16" s="420" customFormat="1" ht="34.5" customHeight="1">
      <c r="A27" s="431">
        <v>1</v>
      </c>
      <c r="B27" s="432"/>
      <c r="C27" s="433">
        <v>11</v>
      </c>
      <c r="D27" s="933" t="str">
        <f t="shared" si="0"/>
        <v>VIII</v>
      </c>
      <c r="E27" s="933"/>
      <c r="F27" s="930" t="str">
        <f t="shared" si="1"/>
        <v>DOORS AND WINDOWS</v>
      </c>
      <c r="G27" s="931"/>
      <c r="H27" s="931"/>
      <c r="I27" s="931"/>
      <c r="J27" s="931"/>
      <c r="K27" s="447" t="e">
        <f t="shared" si="2"/>
        <v>#REF!</v>
      </c>
      <c r="L27" s="931"/>
      <c r="M27" s="931"/>
      <c r="N27" s="932"/>
      <c r="O27" s="932"/>
      <c r="P27" s="932"/>
    </row>
    <row r="28" spans="1:16" s="420" customFormat="1" ht="34.5" customHeight="1">
      <c r="A28" s="431">
        <v>1</v>
      </c>
      <c r="B28" s="432"/>
      <c r="C28" s="433">
        <v>11</v>
      </c>
      <c r="D28" s="933" t="str">
        <f t="shared" si="0"/>
        <v>IX</v>
      </c>
      <c r="E28" s="933"/>
      <c r="F28" s="930" t="str">
        <f t="shared" si="1"/>
        <v>ELECTRICAL WORKS</v>
      </c>
      <c r="G28" s="931"/>
      <c r="H28" s="931"/>
      <c r="I28" s="931"/>
      <c r="J28" s="931"/>
      <c r="K28" s="447" t="e">
        <f t="shared" si="2"/>
        <v>#REF!</v>
      </c>
      <c r="L28" s="931"/>
      <c r="M28" s="931"/>
      <c r="N28" s="932"/>
      <c r="O28" s="932"/>
      <c r="P28" s="932"/>
    </row>
    <row r="29" spans="1:16" s="420" customFormat="1" ht="34.5" customHeight="1">
      <c r="A29" s="431">
        <v>1</v>
      </c>
      <c r="B29" s="432"/>
      <c r="C29" s="433">
        <v>11</v>
      </c>
      <c r="D29" s="933" t="str">
        <f t="shared" si="0"/>
        <v>X</v>
      </c>
      <c r="E29" s="933"/>
      <c r="F29" s="930" t="str">
        <f t="shared" si="1"/>
        <v>BILLBOARD</v>
      </c>
      <c r="G29" s="931"/>
      <c r="H29" s="931"/>
      <c r="I29" s="931"/>
      <c r="J29" s="931"/>
      <c r="K29" s="447" t="e">
        <f t="shared" si="2"/>
        <v>#REF!</v>
      </c>
      <c r="L29" s="931"/>
      <c r="M29" s="931"/>
      <c r="N29" s="932"/>
      <c r="O29" s="932"/>
      <c r="P29" s="932"/>
    </row>
    <row r="30" spans="1:16" s="420" customFormat="1" ht="34.5" customHeight="1">
      <c r="A30" s="431">
        <v>1</v>
      </c>
      <c r="B30" s="432"/>
      <c r="C30" s="433">
        <v>11</v>
      </c>
      <c r="D30" s="933" t="str">
        <f t="shared" si="0"/>
        <v>XI</v>
      </c>
      <c r="E30" s="933"/>
      <c r="F30" s="930" t="str">
        <f t="shared" si="1"/>
        <v>CEILING WORKS</v>
      </c>
      <c r="G30" s="931"/>
      <c r="H30" s="931"/>
      <c r="I30" s="931"/>
      <c r="J30" s="931"/>
      <c r="K30" s="447" t="e">
        <f t="shared" ref="K30:K31" si="3">O86/O$128</f>
        <v>#REF!</v>
      </c>
      <c r="L30" s="931"/>
      <c r="M30" s="931"/>
      <c r="N30" s="932"/>
      <c r="O30" s="932"/>
      <c r="P30" s="932"/>
    </row>
    <row r="31" spans="1:16" s="420" customFormat="1" ht="34.5" customHeight="1">
      <c r="A31" s="431">
        <v>1</v>
      </c>
      <c r="B31" s="432"/>
      <c r="C31" s="433">
        <v>11</v>
      </c>
      <c r="D31" s="933" t="str">
        <f t="shared" si="0"/>
        <v>XII</v>
      </c>
      <c r="E31" s="933"/>
      <c r="F31" s="930" t="str">
        <f t="shared" si="1"/>
        <v>STEEL WORKS</v>
      </c>
      <c r="G31" s="931"/>
      <c r="H31" s="931"/>
      <c r="I31" s="931"/>
      <c r="J31" s="931"/>
      <c r="K31" s="447" t="e">
        <f t="shared" si="3"/>
        <v>#REF!</v>
      </c>
      <c r="L31" s="931"/>
      <c r="M31" s="931"/>
      <c r="N31" s="932"/>
      <c r="O31" s="932"/>
      <c r="P31" s="932"/>
    </row>
    <row r="32" spans="1:16" s="420" customFormat="1" ht="34.5" customHeight="1">
      <c r="A32" s="431">
        <v>1</v>
      </c>
      <c r="B32" s="432"/>
      <c r="C32" s="433">
        <v>11</v>
      </c>
      <c r="D32" s="1003" t="str">
        <f t="shared" ref="D32:D70" si="4">D88</f>
        <v>SUB TOTAL:</v>
      </c>
      <c r="E32" s="1003"/>
      <c r="F32" s="1003"/>
      <c r="G32" s="1003"/>
      <c r="H32" s="1003"/>
      <c r="I32" s="1003"/>
      <c r="J32" s="1003"/>
      <c r="K32" s="448" t="e">
        <f>SUM(K20:K31)</f>
        <v>#REF!</v>
      </c>
      <c r="L32" s="931"/>
      <c r="M32" s="931"/>
      <c r="N32" s="932"/>
      <c r="O32" s="932"/>
      <c r="P32" s="932"/>
    </row>
    <row r="33" spans="1:16" s="420" customFormat="1" ht="34.5" customHeight="1">
      <c r="A33" s="431">
        <v>1</v>
      </c>
      <c r="B33" s="432"/>
      <c r="C33" s="433">
        <v>11</v>
      </c>
      <c r="D33" s="434" t="str">
        <f t="shared" si="4"/>
        <v>IMPROVEMENT OF DAY CARE CENTER AT PUROK SAN FRANCISCO BARANGAY SITE BARANGAY NEW PANGASINAN</v>
      </c>
      <c r="E33" s="435"/>
      <c r="F33" s="435"/>
      <c r="G33" s="435"/>
      <c r="H33" s="435"/>
      <c r="I33" s="435"/>
      <c r="J33" s="435"/>
      <c r="K33" s="446"/>
      <c r="L33" s="931"/>
      <c r="M33" s="931"/>
      <c r="N33" s="932"/>
      <c r="O33" s="932"/>
      <c r="P33" s="932"/>
    </row>
    <row r="34" spans="1:16" s="420" customFormat="1" ht="34.5" customHeight="1">
      <c r="A34" s="431">
        <v>1</v>
      </c>
      <c r="B34" s="432"/>
      <c r="C34" s="433">
        <v>11</v>
      </c>
      <c r="D34" s="933" t="str">
        <f t="shared" si="4"/>
        <v>I</v>
      </c>
      <c r="E34" s="933"/>
      <c r="F34" s="930" t="str">
        <f t="shared" ref="F34:F44" si="5">F90</f>
        <v>STRUCTURAL CONCRETE</v>
      </c>
      <c r="G34" s="931"/>
      <c r="H34" s="931"/>
      <c r="I34" s="931"/>
      <c r="J34" s="931"/>
      <c r="K34" s="447" t="e">
        <f t="shared" ref="K34:K44" si="6">O90/O$128</f>
        <v>#REF!</v>
      </c>
      <c r="L34" s="931"/>
      <c r="M34" s="931"/>
      <c r="N34" s="932"/>
      <c r="O34" s="932"/>
      <c r="P34" s="932"/>
    </row>
    <row r="35" spans="1:16" s="420" customFormat="1" ht="34.5" customHeight="1">
      <c r="A35" s="431">
        <v>1</v>
      </c>
      <c r="B35" s="432"/>
      <c r="C35" s="433">
        <v>11</v>
      </c>
      <c r="D35" s="933" t="str">
        <f t="shared" si="4"/>
        <v>II</v>
      </c>
      <c r="E35" s="933"/>
      <c r="F35" s="930" t="str">
        <f t="shared" si="5"/>
        <v>REINFORCE STEEL BAR</v>
      </c>
      <c r="G35" s="931"/>
      <c r="H35" s="931"/>
      <c r="I35" s="931"/>
      <c r="J35" s="931"/>
      <c r="K35" s="447" t="e">
        <f t="shared" si="6"/>
        <v>#REF!</v>
      </c>
      <c r="L35" s="931"/>
      <c r="M35" s="931"/>
      <c r="N35" s="932"/>
      <c r="O35" s="932"/>
      <c r="P35" s="932"/>
    </row>
    <row r="36" spans="1:16" s="420" customFormat="1" ht="34.5" customHeight="1">
      <c r="A36" s="431">
        <v>1</v>
      </c>
      <c r="B36" s="432"/>
      <c r="C36" s="433">
        <v>11</v>
      </c>
      <c r="D36" s="933" t="str">
        <f t="shared" si="4"/>
        <v>III</v>
      </c>
      <c r="E36" s="933"/>
      <c r="F36" s="930" t="str">
        <f t="shared" si="5"/>
        <v>FORMWORKS</v>
      </c>
      <c r="G36" s="931"/>
      <c r="H36" s="931"/>
      <c r="I36" s="931"/>
      <c r="J36" s="931"/>
      <c r="K36" s="447" t="e">
        <f t="shared" si="6"/>
        <v>#REF!</v>
      </c>
      <c r="L36" s="931"/>
      <c r="M36" s="931"/>
      <c r="N36" s="932"/>
      <c r="O36" s="932"/>
      <c r="P36" s="932"/>
    </row>
    <row r="37" spans="1:16" s="420" customFormat="1" ht="34.5" customHeight="1">
      <c r="A37" s="431">
        <v>1</v>
      </c>
      <c r="B37" s="432"/>
      <c r="C37" s="433">
        <v>11</v>
      </c>
      <c r="D37" s="933" t="str">
        <f t="shared" si="4"/>
        <v>IV</v>
      </c>
      <c r="E37" s="933"/>
      <c r="F37" s="930" t="str">
        <f t="shared" si="5"/>
        <v>MASONRY WORKS ( CHB Laying  and Plastering )</v>
      </c>
      <c r="G37" s="931"/>
      <c r="H37" s="931"/>
      <c r="I37" s="931"/>
      <c r="J37" s="931"/>
      <c r="K37" s="447" t="e">
        <f t="shared" si="6"/>
        <v>#REF!</v>
      </c>
      <c r="L37" s="931"/>
      <c r="M37" s="931"/>
      <c r="N37" s="932"/>
      <c r="O37" s="932"/>
      <c r="P37" s="932"/>
    </row>
    <row r="38" spans="1:16" s="420" customFormat="1" ht="34.5" customHeight="1">
      <c r="A38" s="431">
        <v>1</v>
      </c>
      <c r="B38" s="432"/>
      <c r="C38" s="433">
        <v>11</v>
      </c>
      <c r="D38" s="933" t="str">
        <f t="shared" si="4"/>
        <v>V</v>
      </c>
      <c r="E38" s="933"/>
      <c r="F38" s="930" t="str">
        <f t="shared" si="5"/>
        <v>ROOFING WORKS</v>
      </c>
      <c r="G38" s="931"/>
      <c r="H38" s="931"/>
      <c r="I38" s="931"/>
      <c r="J38" s="931"/>
      <c r="K38" s="447" t="e">
        <f t="shared" si="6"/>
        <v>#REF!</v>
      </c>
      <c r="L38" s="931"/>
      <c r="M38" s="931"/>
      <c r="N38" s="932"/>
      <c r="O38" s="932"/>
      <c r="P38" s="932"/>
    </row>
    <row r="39" spans="1:16" s="420" customFormat="1" ht="34.5" customHeight="1">
      <c r="A39" s="431">
        <v>1</v>
      </c>
      <c r="B39" s="432"/>
      <c r="C39" s="433">
        <v>11</v>
      </c>
      <c r="D39" s="933" t="str">
        <f t="shared" si="4"/>
        <v>VI</v>
      </c>
      <c r="E39" s="933"/>
      <c r="F39" s="930" t="str">
        <f t="shared" si="5"/>
        <v>PAINTING WORKS</v>
      </c>
      <c r="G39" s="931"/>
      <c r="H39" s="931"/>
      <c r="I39" s="931"/>
      <c r="J39" s="931"/>
      <c r="K39" s="447" t="e">
        <f t="shared" si="6"/>
        <v>#REF!</v>
      </c>
      <c r="L39" s="931"/>
      <c r="M39" s="931"/>
      <c r="N39" s="932"/>
      <c r="O39" s="932"/>
      <c r="P39" s="932"/>
    </row>
    <row r="40" spans="1:16" s="420" customFormat="1" ht="34.5" customHeight="1">
      <c r="A40" s="431">
        <v>1</v>
      </c>
      <c r="B40" s="432"/>
      <c r="C40" s="433">
        <v>11</v>
      </c>
      <c r="D40" s="933" t="str">
        <f t="shared" si="4"/>
        <v>VII</v>
      </c>
      <c r="E40" s="933"/>
      <c r="F40" s="930" t="str">
        <f t="shared" si="5"/>
        <v>PLUMBING AND TILE WORKS</v>
      </c>
      <c r="G40" s="931"/>
      <c r="H40" s="931"/>
      <c r="I40" s="931"/>
      <c r="J40" s="931"/>
      <c r="K40" s="447" t="e">
        <f t="shared" si="6"/>
        <v>#REF!</v>
      </c>
      <c r="L40" s="931"/>
      <c r="M40" s="931"/>
      <c r="N40" s="932"/>
      <c r="O40" s="932"/>
      <c r="P40" s="932"/>
    </row>
    <row r="41" spans="1:16" s="420" customFormat="1" ht="34.5" customHeight="1">
      <c r="A41" s="431">
        <v>1</v>
      </c>
      <c r="B41" s="432"/>
      <c r="C41" s="433">
        <v>11</v>
      </c>
      <c r="D41" s="933" t="str">
        <f t="shared" si="4"/>
        <v>VIII</v>
      </c>
      <c r="E41" s="933"/>
      <c r="F41" s="930" t="str">
        <f t="shared" si="5"/>
        <v>DOORS AND WINDOWS</v>
      </c>
      <c r="G41" s="931"/>
      <c r="H41" s="931"/>
      <c r="I41" s="931"/>
      <c r="J41" s="931"/>
      <c r="K41" s="447" t="e">
        <f t="shared" si="6"/>
        <v>#REF!</v>
      </c>
      <c r="L41" s="931"/>
      <c r="M41" s="931"/>
      <c r="N41" s="932"/>
      <c r="O41" s="932"/>
      <c r="P41" s="932"/>
    </row>
    <row r="42" spans="1:16" s="420" customFormat="1" ht="34.5" customHeight="1">
      <c r="A42" s="431">
        <v>1</v>
      </c>
      <c r="B42" s="432"/>
      <c r="C42" s="433">
        <v>11</v>
      </c>
      <c r="D42" s="933" t="str">
        <f t="shared" si="4"/>
        <v>IX</v>
      </c>
      <c r="E42" s="933"/>
      <c r="F42" s="930" t="str">
        <f t="shared" si="5"/>
        <v>ELECTRICAL WORKS</v>
      </c>
      <c r="G42" s="931"/>
      <c r="H42" s="931"/>
      <c r="I42" s="931"/>
      <c r="J42" s="931"/>
      <c r="K42" s="447" t="e">
        <f t="shared" si="6"/>
        <v>#REF!</v>
      </c>
      <c r="L42" s="931"/>
      <c r="M42" s="931"/>
      <c r="N42" s="932"/>
      <c r="O42" s="932"/>
      <c r="P42" s="932"/>
    </row>
    <row r="43" spans="1:16" s="420" customFormat="1" ht="30" customHeight="1">
      <c r="A43" s="431">
        <v>1</v>
      </c>
      <c r="B43" s="432"/>
      <c r="C43" s="433">
        <v>11</v>
      </c>
      <c r="D43" s="933" t="str">
        <f t="shared" si="4"/>
        <v>X</v>
      </c>
      <c r="E43" s="933"/>
      <c r="F43" s="930" t="str">
        <f t="shared" si="5"/>
        <v>BILLBOARD</v>
      </c>
      <c r="G43" s="931"/>
      <c r="H43" s="931"/>
      <c r="I43" s="931"/>
      <c r="J43" s="931"/>
      <c r="K43" s="447" t="e">
        <f t="shared" si="6"/>
        <v>#REF!</v>
      </c>
      <c r="L43" s="931"/>
      <c r="M43" s="931"/>
      <c r="N43" s="932"/>
      <c r="O43" s="932"/>
      <c r="P43" s="932"/>
    </row>
    <row r="44" spans="1:16" s="420" customFormat="1" ht="30" customHeight="1">
      <c r="A44" s="431">
        <v>1</v>
      </c>
      <c r="B44" s="432"/>
      <c r="C44" s="433">
        <v>11</v>
      </c>
      <c r="D44" s="933" t="str">
        <f t="shared" si="4"/>
        <v>XI</v>
      </c>
      <c r="E44" s="933"/>
      <c r="F44" s="930" t="str">
        <f t="shared" si="5"/>
        <v>CEILING WORKS</v>
      </c>
      <c r="G44" s="931"/>
      <c r="H44" s="931"/>
      <c r="I44" s="931"/>
      <c r="J44" s="931"/>
      <c r="K44" s="447" t="e">
        <f t="shared" si="6"/>
        <v>#REF!</v>
      </c>
      <c r="L44" s="931"/>
      <c r="M44" s="931"/>
      <c r="N44" s="932"/>
      <c r="O44" s="932"/>
      <c r="P44" s="932"/>
    </row>
    <row r="45" spans="1:16" s="420" customFormat="1" ht="34.5" customHeight="1">
      <c r="A45" s="431">
        <v>1</v>
      </c>
      <c r="B45" s="432"/>
      <c r="C45" s="433">
        <v>11</v>
      </c>
      <c r="D45" s="1003" t="str">
        <f t="shared" si="4"/>
        <v>SUB TOTAL:</v>
      </c>
      <c r="E45" s="1003"/>
      <c r="F45" s="1003"/>
      <c r="G45" s="1003"/>
      <c r="H45" s="1003"/>
      <c r="I45" s="1003"/>
      <c r="J45" s="1003"/>
      <c r="K45" s="448" t="e">
        <f>SUM(K34:K44)</f>
        <v>#REF!</v>
      </c>
      <c r="L45" s="931"/>
      <c r="M45" s="931"/>
      <c r="N45" s="932"/>
      <c r="O45" s="932"/>
      <c r="P45" s="932"/>
    </row>
    <row r="46" spans="1:16" s="420" customFormat="1" ht="34.5" customHeight="1">
      <c r="A46" s="431">
        <v>1</v>
      </c>
      <c r="B46" s="432"/>
      <c r="C46" s="433">
        <v>11</v>
      </c>
      <c r="D46" s="434" t="str">
        <f t="shared" si="4"/>
        <v>RENOVATION OF DAY CARE CENTER AT BAGONG LIPUNAN BARANGAY SAN ISIDRO</v>
      </c>
      <c r="E46" s="435"/>
      <c r="F46" s="435"/>
      <c r="G46" s="435"/>
      <c r="H46" s="435"/>
      <c r="I46" s="435"/>
      <c r="J46" s="435"/>
      <c r="K46" s="446"/>
      <c r="L46" s="931"/>
      <c r="M46" s="931"/>
      <c r="N46" s="932"/>
      <c r="O46" s="932"/>
      <c r="P46" s="932"/>
    </row>
    <row r="47" spans="1:16" s="420" customFormat="1" ht="34.5" customHeight="1">
      <c r="A47" s="431">
        <v>1</v>
      </c>
      <c r="B47" s="432"/>
      <c r="C47" s="433">
        <v>11</v>
      </c>
      <c r="D47" s="935" t="str">
        <f t="shared" si="4"/>
        <v>I</v>
      </c>
      <c r="E47" s="936"/>
      <c r="F47" s="930" t="str">
        <f t="shared" ref="F47:F58" si="7">F103</f>
        <v>STRUCTURAL CONCRETE</v>
      </c>
      <c r="G47" s="931"/>
      <c r="H47" s="931"/>
      <c r="I47" s="931"/>
      <c r="J47" s="931"/>
      <c r="K47" s="447" t="e">
        <f t="shared" ref="K47:K58" si="8">O103/O$128</f>
        <v>#REF!</v>
      </c>
      <c r="L47" s="931"/>
      <c r="M47" s="931"/>
      <c r="N47" s="932"/>
      <c r="O47" s="932"/>
      <c r="P47" s="932"/>
    </row>
    <row r="48" spans="1:16" s="420" customFormat="1" ht="34.5" customHeight="1">
      <c r="A48" s="431">
        <v>1</v>
      </c>
      <c r="B48" s="432"/>
      <c r="C48" s="433">
        <v>11</v>
      </c>
      <c r="D48" s="935" t="str">
        <f t="shared" si="4"/>
        <v>II</v>
      </c>
      <c r="E48" s="936"/>
      <c r="F48" s="930" t="str">
        <f t="shared" si="7"/>
        <v>REINFORCE STEEL BAR</v>
      </c>
      <c r="G48" s="931"/>
      <c r="H48" s="931"/>
      <c r="I48" s="931"/>
      <c r="J48" s="931"/>
      <c r="K48" s="447" t="e">
        <f t="shared" si="8"/>
        <v>#REF!</v>
      </c>
      <c r="L48" s="931"/>
      <c r="M48" s="931"/>
      <c r="N48" s="932"/>
      <c r="O48" s="932"/>
      <c r="P48" s="932"/>
    </row>
    <row r="49" spans="1:16" s="420" customFormat="1" ht="34.5" customHeight="1">
      <c r="A49" s="431">
        <v>1</v>
      </c>
      <c r="B49" s="432"/>
      <c r="C49" s="433">
        <v>11</v>
      </c>
      <c r="D49" s="935" t="str">
        <f t="shared" si="4"/>
        <v>III</v>
      </c>
      <c r="E49" s="936"/>
      <c r="F49" s="930" t="str">
        <f t="shared" si="7"/>
        <v>FORMWORKS</v>
      </c>
      <c r="G49" s="931"/>
      <c r="H49" s="931"/>
      <c r="I49" s="931"/>
      <c r="J49" s="931"/>
      <c r="K49" s="447" t="e">
        <f t="shared" si="8"/>
        <v>#REF!</v>
      </c>
      <c r="L49" s="931"/>
      <c r="M49" s="931"/>
      <c r="N49" s="932"/>
      <c r="O49" s="932"/>
      <c r="P49" s="932"/>
    </row>
    <row r="50" spans="1:16" s="420" customFormat="1" ht="34.5" customHeight="1">
      <c r="A50" s="431">
        <v>1</v>
      </c>
      <c r="B50" s="432"/>
      <c r="C50" s="433">
        <v>11</v>
      </c>
      <c r="D50" s="935" t="str">
        <f t="shared" si="4"/>
        <v>IV</v>
      </c>
      <c r="E50" s="936"/>
      <c r="F50" s="930" t="str">
        <f t="shared" si="7"/>
        <v>MASONRY WORKS ( CHB Laying  and Plastering )</v>
      </c>
      <c r="G50" s="931"/>
      <c r="H50" s="931"/>
      <c r="I50" s="931"/>
      <c r="J50" s="931"/>
      <c r="K50" s="447" t="e">
        <f t="shared" si="8"/>
        <v>#REF!</v>
      </c>
      <c r="L50" s="931"/>
      <c r="M50" s="931"/>
      <c r="N50" s="932"/>
      <c r="O50" s="932"/>
      <c r="P50" s="932"/>
    </row>
    <row r="51" spans="1:16" s="420" customFormat="1" ht="34.5" customHeight="1">
      <c r="A51" s="431">
        <v>1</v>
      </c>
      <c r="B51" s="432"/>
      <c r="C51" s="433">
        <v>11</v>
      </c>
      <c r="D51" s="935" t="str">
        <f t="shared" si="4"/>
        <v>V</v>
      </c>
      <c r="E51" s="936"/>
      <c r="F51" s="930" t="str">
        <f t="shared" si="7"/>
        <v>ROOFING WORKS</v>
      </c>
      <c r="G51" s="931"/>
      <c r="H51" s="931"/>
      <c r="I51" s="931"/>
      <c r="J51" s="931"/>
      <c r="K51" s="447" t="e">
        <f t="shared" si="8"/>
        <v>#REF!</v>
      </c>
      <c r="L51" s="931"/>
      <c r="M51" s="931"/>
      <c r="N51" s="932"/>
      <c r="O51" s="932"/>
      <c r="P51" s="932"/>
    </row>
    <row r="52" spans="1:16" s="420" customFormat="1" ht="34.5" customHeight="1">
      <c r="A52" s="431">
        <v>1</v>
      </c>
      <c r="B52" s="432"/>
      <c r="C52" s="433">
        <v>11</v>
      </c>
      <c r="D52" s="935" t="str">
        <f t="shared" si="4"/>
        <v>VI</v>
      </c>
      <c r="E52" s="936"/>
      <c r="F52" s="930" t="str">
        <f t="shared" si="7"/>
        <v>PAINTING WORKS</v>
      </c>
      <c r="G52" s="931"/>
      <c r="H52" s="931"/>
      <c r="I52" s="931"/>
      <c r="J52" s="931"/>
      <c r="K52" s="447" t="e">
        <f t="shared" si="8"/>
        <v>#REF!</v>
      </c>
      <c r="L52" s="931"/>
      <c r="M52" s="931"/>
      <c r="N52" s="932"/>
      <c r="O52" s="932"/>
      <c r="P52" s="932"/>
    </row>
    <row r="53" spans="1:16" s="420" customFormat="1" ht="34.5" customHeight="1">
      <c r="A53" s="431">
        <v>1</v>
      </c>
      <c r="B53" s="432"/>
      <c r="C53" s="433">
        <v>11</v>
      </c>
      <c r="D53" s="935" t="str">
        <f t="shared" si="4"/>
        <v>VII</v>
      </c>
      <c r="E53" s="936"/>
      <c r="F53" s="930" t="str">
        <f t="shared" si="7"/>
        <v>PLUMBING AND TILE WORKS</v>
      </c>
      <c r="G53" s="931"/>
      <c r="H53" s="931"/>
      <c r="I53" s="931"/>
      <c r="J53" s="931"/>
      <c r="K53" s="447" t="e">
        <f t="shared" si="8"/>
        <v>#REF!</v>
      </c>
      <c r="L53" s="931"/>
      <c r="M53" s="931"/>
      <c r="N53" s="932"/>
      <c r="O53" s="932"/>
      <c r="P53" s="932"/>
    </row>
    <row r="54" spans="1:16" s="420" customFormat="1" ht="34.5" customHeight="1">
      <c r="A54" s="431">
        <v>1</v>
      </c>
      <c r="B54" s="432"/>
      <c r="C54" s="433">
        <v>11</v>
      </c>
      <c r="D54" s="935" t="str">
        <f t="shared" si="4"/>
        <v>VIII</v>
      </c>
      <c r="E54" s="936"/>
      <c r="F54" s="930" t="str">
        <f t="shared" si="7"/>
        <v>DOORS AND WINDOWS</v>
      </c>
      <c r="G54" s="931"/>
      <c r="H54" s="931"/>
      <c r="I54" s="931"/>
      <c r="J54" s="931"/>
      <c r="K54" s="447" t="e">
        <f t="shared" si="8"/>
        <v>#REF!</v>
      </c>
      <c r="L54" s="931"/>
      <c r="M54" s="931"/>
      <c r="N54" s="932"/>
      <c r="O54" s="932"/>
      <c r="P54" s="932"/>
    </row>
    <row r="55" spans="1:16" s="420" customFormat="1" ht="34.5" customHeight="1">
      <c r="A55" s="431">
        <v>1</v>
      </c>
      <c r="B55" s="432"/>
      <c r="C55" s="433">
        <v>11</v>
      </c>
      <c r="D55" s="935" t="str">
        <f t="shared" si="4"/>
        <v>IX</v>
      </c>
      <c r="E55" s="936"/>
      <c r="F55" s="930" t="str">
        <f t="shared" si="7"/>
        <v>ELECTRICAL WORKS</v>
      </c>
      <c r="G55" s="931"/>
      <c r="H55" s="931"/>
      <c r="I55" s="931"/>
      <c r="J55" s="931"/>
      <c r="K55" s="447" t="e">
        <f t="shared" si="8"/>
        <v>#REF!</v>
      </c>
      <c r="L55" s="931"/>
      <c r="M55" s="931"/>
      <c r="N55" s="932"/>
      <c r="O55" s="932"/>
      <c r="P55" s="932"/>
    </row>
    <row r="56" spans="1:16" s="420" customFormat="1" ht="34.5" customHeight="1">
      <c r="A56" s="431">
        <v>1</v>
      </c>
      <c r="B56" s="432"/>
      <c r="C56" s="433">
        <v>11</v>
      </c>
      <c r="D56" s="935" t="str">
        <f t="shared" si="4"/>
        <v>X</v>
      </c>
      <c r="E56" s="936"/>
      <c r="F56" s="930" t="str">
        <f t="shared" si="7"/>
        <v>BILLBOARD</v>
      </c>
      <c r="G56" s="931"/>
      <c r="H56" s="931"/>
      <c r="I56" s="931"/>
      <c r="J56" s="931"/>
      <c r="K56" s="447" t="e">
        <f t="shared" si="8"/>
        <v>#REF!</v>
      </c>
      <c r="L56" s="931"/>
      <c r="M56" s="931"/>
      <c r="N56" s="932"/>
      <c r="O56" s="932"/>
      <c r="P56" s="932"/>
    </row>
    <row r="57" spans="1:16" s="420" customFormat="1" ht="34.5" customHeight="1">
      <c r="A57" s="431">
        <v>1</v>
      </c>
      <c r="B57" s="432"/>
      <c r="C57" s="433">
        <v>11</v>
      </c>
      <c r="D57" s="935" t="str">
        <f t="shared" si="4"/>
        <v>XI</v>
      </c>
      <c r="E57" s="936"/>
      <c r="F57" s="930" t="str">
        <f t="shared" si="7"/>
        <v>CEILING WORKS</v>
      </c>
      <c r="G57" s="931"/>
      <c r="H57" s="931"/>
      <c r="I57" s="931"/>
      <c r="J57" s="931"/>
      <c r="K57" s="447" t="e">
        <f t="shared" si="8"/>
        <v>#REF!</v>
      </c>
      <c r="L57" s="931"/>
      <c r="M57" s="931"/>
      <c r="N57" s="932"/>
      <c r="O57" s="932"/>
      <c r="P57" s="932"/>
    </row>
    <row r="58" spans="1:16" s="420" customFormat="1" ht="34.5" customHeight="1">
      <c r="A58" s="431">
        <v>1</v>
      </c>
      <c r="B58" s="432"/>
      <c r="C58" s="433">
        <v>11</v>
      </c>
      <c r="D58" s="935" t="str">
        <f t="shared" si="4"/>
        <v>XII</v>
      </c>
      <c r="E58" s="936"/>
      <c r="F58" s="930" t="str">
        <f t="shared" si="7"/>
        <v>STEEL WORKS</v>
      </c>
      <c r="G58" s="931"/>
      <c r="H58" s="931"/>
      <c r="I58" s="931"/>
      <c r="J58" s="931"/>
      <c r="K58" s="447" t="e">
        <f t="shared" si="8"/>
        <v>#REF!</v>
      </c>
      <c r="L58" s="931"/>
      <c r="M58" s="931"/>
      <c r="N58" s="932"/>
      <c r="O58" s="932"/>
      <c r="P58" s="932"/>
    </row>
    <row r="59" spans="1:16" s="420" customFormat="1" ht="34.5" customHeight="1">
      <c r="A59" s="431">
        <v>1</v>
      </c>
      <c r="B59" s="432"/>
      <c r="C59" s="433">
        <v>11</v>
      </c>
      <c r="D59" s="1004" t="str">
        <f t="shared" si="4"/>
        <v>SUB TOTAL:</v>
      </c>
      <c r="E59" s="1005"/>
      <c r="F59" s="1005"/>
      <c r="G59" s="1005"/>
      <c r="H59" s="1005"/>
      <c r="I59" s="1005"/>
      <c r="J59" s="1005"/>
      <c r="K59" s="448" t="e">
        <f>SUM(K47:K58)</f>
        <v>#REF!</v>
      </c>
      <c r="L59" s="931"/>
      <c r="M59" s="931"/>
      <c r="N59" s="932"/>
      <c r="O59" s="932"/>
      <c r="P59" s="932"/>
    </row>
    <row r="60" spans="1:16" s="420" customFormat="1" ht="34.5" customHeight="1">
      <c r="A60" s="431">
        <v>1</v>
      </c>
      <c r="B60" s="432"/>
      <c r="C60" s="433">
        <v>11</v>
      </c>
      <c r="D60" s="434" t="str">
        <f t="shared" si="4"/>
        <v>CONSTRUCTION OF SEPTIC TANK</v>
      </c>
      <c r="E60" s="435"/>
      <c r="F60" s="435"/>
      <c r="G60" s="435"/>
      <c r="H60" s="435"/>
      <c r="I60" s="435"/>
      <c r="J60" s="435"/>
      <c r="K60" s="446"/>
      <c r="L60" s="931"/>
      <c r="M60" s="931"/>
      <c r="N60" s="932"/>
      <c r="O60" s="932"/>
      <c r="P60" s="932"/>
    </row>
    <row r="61" spans="1:16" s="420" customFormat="1" ht="34.5" customHeight="1">
      <c r="A61" s="431">
        <v>1</v>
      </c>
      <c r="B61" s="432"/>
      <c r="C61" s="433">
        <v>11</v>
      </c>
      <c r="D61" s="933">
        <f t="shared" si="4"/>
        <v>0</v>
      </c>
      <c r="E61" s="933"/>
      <c r="F61" s="930">
        <f t="shared" ref="F61:F69" si="9">F117</f>
        <v>0</v>
      </c>
      <c r="G61" s="931"/>
      <c r="H61" s="931"/>
      <c r="I61" s="931"/>
      <c r="J61" s="931"/>
      <c r="K61" s="447" t="e">
        <f t="shared" ref="K61:K69" si="10">O117/O$128</f>
        <v>#REF!</v>
      </c>
      <c r="L61" s="931"/>
      <c r="M61" s="931"/>
      <c r="N61" s="932"/>
      <c r="O61" s="932"/>
      <c r="P61" s="932"/>
    </row>
    <row r="62" spans="1:16" s="420" customFormat="1" ht="34.5" customHeight="1">
      <c r="A62" s="431">
        <v>1</v>
      </c>
      <c r="B62" s="432"/>
      <c r="C62" s="433">
        <v>11</v>
      </c>
      <c r="D62" s="933" t="e">
        <f t="shared" si="4"/>
        <v>#REF!</v>
      </c>
      <c r="E62" s="933"/>
      <c r="F62" s="930" t="e">
        <f t="shared" si="9"/>
        <v>#REF!</v>
      </c>
      <c r="G62" s="931"/>
      <c r="H62" s="931"/>
      <c r="I62" s="931"/>
      <c r="J62" s="931"/>
      <c r="K62" s="447" t="e">
        <f t="shared" si="10"/>
        <v>#REF!</v>
      </c>
      <c r="L62" s="931"/>
      <c r="M62" s="931"/>
      <c r="N62" s="932"/>
      <c r="O62" s="932"/>
      <c r="P62" s="932"/>
    </row>
    <row r="63" spans="1:16" s="420" customFormat="1" ht="34.5" customHeight="1">
      <c r="A63" s="431">
        <v>1</v>
      </c>
      <c r="B63" s="432"/>
      <c r="C63" s="433">
        <v>11</v>
      </c>
      <c r="D63" s="933" t="e">
        <f t="shared" si="4"/>
        <v>#REF!</v>
      </c>
      <c r="E63" s="933"/>
      <c r="F63" s="930" t="e">
        <f t="shared" si="9"/>
        <v>#REF!</v>
      </c>
      <c r="G63" s="931"/>
      <c r="H63" s="931"/>
      <c r="I63" s="931"/>
      <c r="J63" s="931"/>
      <c r="K63" s="447" t="e">
        <f t="shared" si="10"/>
        <v>#REF!</v>
      </c>
      <c r="L63" s="931"/>
      <c r="M63" s="931"/>
      <c r="N63" s="932"/>
      <c r="O63" s="932"/>
      <c r="P63" s="932"/>
    </row>
    <row r="64" spans="1:16" s="420" customFormat="1" ht="34.5" customHeight="1">
      <c r="A64" s="431">
        <v>1</v>
      </c>
      <c r="B64" s="432"/>
      <c r="C64" s="433">
        <v>11</v>
      </c>
      <c r="D64" s="933" t="e">
        <f t="shared" si="4"/>
        <v>#REF!</v>
      </c>
      <c r="E64" s="933"/>
      <c r="F64" s="930" t="e">
        <f t="shared" si="9"/>
        <v>#REF!</v>
      </c>
      <c r="G64" s="931"/>
      <c r="H64" s="931"/>
      <c r="I64" s="931"/>
      <c r="J64" s="931"/>
      <c r="K64" s="447" t="e">
        <f t="shared" si="10"/>
        <v>#REF!</v>
      </c>
      <c r="L64" s="931"/>
      <c r="M64" s="931"/>
      <c r="N64" s="932"/>
      <c r="O64" s="932"/>
      <c r="P64" s="932"/>
    </row>
    <row r="65" spans="1:22" s="420" customFormat="1" ht="34.5" customHeight="1">
      <c r="A65" s="431">
        <v>1</v>
      </c>
      <c r="B65" s="432"/>
      <c r="C65" s="433">
        <v>11</v>
      </c>
      <c r="D65" s="933" t="e">
        <f t="shared" si="4"/>
        <v>#REF!</v>
      </c>
      <c r="E65" s="933"/>
      <c r="F65" s="930" t="e">
        <f t="shared" si="9"/>
        <v>#REF!</v>
      </c>
      <c r="G65" s="931"/>
      <c r="H65" s="931"/>
      <c r="I65" s="931"/>
      <c r="J65" s="931"/>
      <c r="K65" s="447" t="e">
        <f t="shared" si="10"/>
        <v>#REF!</v>
      </c>
      <c r="L65" s="931"/>
      <c r="M65" s="931"/>
      <c r="N65" s="932"/>
      <c r="O65" s="932"/>
      <c r="P65" s="932"/>
    </row>
    <row r="66" spans="1:22" s="420" customFormat="1" ht="34.5" customHeight="1">
      <c r="A66" s="431">
        <v>1</v>
      </c>
      <c r="B66" s="432"/>
      <c r="C66" s="433">
        <v>11</v>
      </c>
      <c r="D66" s="933" t="e">
        <f t="shared" si="4"/>
        <v>#REF!</v>
      </c>
      <c r="E66" s="933"/>
      <c r="F66" s="930" t="e">
        <f t="shared" si="9"/>
        <v>#REF!</v>
      </c>
      <c r="G66" s="931"/>
      <c r="H66" s="931"/>
      <c r="I66" s="931"/>
      <c r="J66" s="931"/>
      <c r="K66" s="447" t="e">
        <f t="shared" si="10"/>
        <v>#REF!</v>
      </c>
      <c r="L66" s="931"/>
      <c r="M66" s="931"/>
      <c r="N66" s="932"/>
      <c r="O66" s="932"/>
      <c r="P66" s="932"/>
    </row>
    <row r="67" spans="1:22" s="420" customFormat="1" ht="34.5" customHeight="1">
      <c r="A67" s="431">
        <v>1</v>
      </c>
      <c r="B67" s="432"/>
      <c r="C67" s="433">
        <v>11</v>
      </c>
      <c r="D67" s="933" t="e">
        <f t="shared" si="4"/>
        <v>#REF!</v>
      </c>
      <c r="E67" s="933"/>
      <c r="F67" s="930" t="e">
        <f t="shared" si="9"/>
        <v>#REF!</v>
      </c>
      <c r="G67" s="931"/>
      <c r="H67" s="931"/>
      <c r="I67" s="931"/>
      <c r="J67" s="931"/>
      <c r="K67" s="447" t="e">
        <f t="shared" si="10"/>
        <v>#REF!</v>
      </c>
      <c r="L67" s="931"/>
      <c r="M67" s="931"/>
      <c r="N67" s="932"/>
      <c r="O67" s="932"/>
      <c r="P67" s="932"/>
    </row>
    <row r="68" spans="1:22" s="420" customFormat="1" ht="34.5" customHeight="1">
      <c r="A68" s="431">
        <v>1</v>
      </c>
      <c r="B68" s="432"/>
      <c r="C68" s="433">
        <v>11</v>
      </c>
      <c r="D68" s="933" t="e">
        <f t="shared" si="4"/>
        <v>#REF!</v>
      </c>
      <c r="E68" s="933"/>
      <c r="F68" s="930" t="e">
        <f t="shared" si="9"/>
        <v>#REF!</v>
      </c>
      <c r="G68" s="931"/>
      <c r="H68" s="931"/>
      <c r="I68" s="931"/>
      <c r="J68" s="931"/>
      <c r="K68" s="447" t="e">
        <f t="shared" si="10"/>
        <v>#REF!</v>
      </c>
      <c r="L68" s="931"/>
      <c r="M68" s="931"/>
      <c r="N68" s="932"/>
      <c r="O68" s="932"/>
      <c r="P68" s="932"/>
    </row>
    <row r="69" spans="1:22" s="420" customFormat="1" ht="34.5" customHeight="1">
      <c r="A69" s="431">
        <v>1</v>
      </c>
      <c r="B69" s="432"/>
      <c r="C69" s="433">
        <v>11</v>
      </c>
      <c r="D69" s="933" t="str">
        <f t="shared" si="4"/>
        <v>VIII</v>
      </c>
      <c r="E69" s="933"/>
      <c r="F69" s="930" t="str">
        <f t="shared" si="9"/>
        <v>BILLBOARD</v>
      </c>
      <c r="G69" s="931"/>
      <c r="H69" s="931"/>
      <c r="I69" s="931"/>
      <c r="J69" s="931"/>
      <c r="K69" s="447" t="e">
        <f t="shared" si="10"/>
        <v>#REF!</v>
      </c>
      <c r="L69" s="931"/>
      <c r="M69" s="931"/>
      <c r="N69" s="932"/>
      <c r="O69" s="932"/>
      <c r="P69" s="932"/>
    </row>
    <row r="70" spans="1:22" s="420" customFormat="1" ht="34.5" customHeight="1">
      <c r="A70" s="431">
        <v>1</v>
      </c>
      <c r="B70" s="432"/>
      <c r="C70" s="433">
        <v>11</v>
      </c>
      <c r="D70" s="1003" t="str">
        <f t="shared" si="4"/>
        <v>SUB TOTAL:</v>
      </c>
      <c r="E70" s="1003"/>
      <c r="F70" s="1003"/>
      <c r="G70" s="1003"/>
      <c r="H70" s="1003"/>
      <c r="I70" s="1003"/>
      <c r="J70" s="1003"/>
      <c r="K70" s="448" t="e">
        <f>SUM(K61:K69)</f>
        <v>#REF!</v>
      </c>
      <c r="L70" s="931"/>
      <c r="M70" s="931"/>
      <c r="N70" s="932"/>
      <c r="O70" s="932"/>
      <c r="P70" s="932"/>
    </row>
    <row r="71" spans="1:22" s="420" customFormat="1" ht="34.5" customHeight="1">
      <c r="A71" s="423"/>
      <c r="B71" s="423"/>
      <c r="C71" s="451"/>
      <c r="D71" s="998" t="s">
        <v>1334</v>
      </c>
      <c r="E71" s="999"/>
      <c r="F71" s="999"/>
      <c r="G71" s="999"/>
      <c r="H71" s="999"/>
      <c r="I71" s="999"/>
      <c r="J71" s="1000"/>
      <c r="K71" s="454" t="e">
        <f>SUM(K70,K59,K45,K32)</f>
        <v>#REF!</v>
      </c>
      <c r="L71" s="931"/>
      <c r="M71" s="931"/>
      <c r="N71" s="932"/>
      <c r="O71" s="932"/>
      <c r="P71" s="932"/>
      <c r="Q71" s="456" t="e">
        <f>SUM(#REF!)</f>
        <v>#REF!</v>
      </c>
    </row>
    <row r="72" spans="1:22" s="420" customFormat="1" ht="34.5" customHeight="1">
      <c r="A72" s="423"/>
      <c r="B72" s="423"/>
      <c r="C72" s="423"/>
      <c r="D72" s="1001" t="s">
        <v>1335</v>
      </c>
      <c r="E72" s="1001"/>
      <c r="F72" s="1001"/>
      <c r="G72" s="1001"/>
      <c r="H72" s="1001"/>
      <c r="I72" s="1001"/>
      <c r="J72" s="1001"/>
      <c r="K72" s="1001"/>
      <c r="L72" s="1001"/>
      <c r="M72" s="1001"/>
      <c r="N72" s="1001"/>
      <c r="O72" s="1001"/>
      <c r="P72" s="1001"/>
    </row>
    <row r="73" spans="1:22" s="420" customFormat="1" ht="34.5" customHeight="1">
      <c r="A73" s="423"/>
      <c r="B73" s="423"/>
      <c r="C73" s="423"/>
      <c r="D73" s="969" t="s">
        <v>1324</v>
      </c>
      <c r="E73" s="960"/>
      <c r="F73" s="965" t="s">
        <v>1330</v>
      </c>
      <c r="G73" s="959"/>
      <c r="H73" s="959"/>
      <c r="I73" s="960"/>
      <c r="J73" s="965" t="s">
        <v>173</v>
      </c>
      <c r="K73" s="960"/>
      <c r="L73" s="972" t="s">
        <v>1336</v>
      </c>
      <c r="M73" s="972"/>
      <c r="N73" s="1002" t="s">
        <v>1216</v>
      </c>
      <c r="O73" s="965" t="s">
        <v>1337</v>
      </c>
      <c r="P73" s="966"/>
    </row>
    <row r="74" spans="1:22" s="420" customFormat="1" ht="34.5" customHeight="1">
      <c r="A74" s="423"/>
      <c r="B74" s="423"/>
      <c r="C74" s="423"/>
      <c r="D74" s="970"/>
      <c r="E74" s="962"/>
      <c r="F74" s="971"/>
      <c r="G74" s="961"/>
      <c r="H74" s="961"/>
      <c r="I74" s="962"/>
      <c r="J74" s="971"/>
      <c r="K74" s="962"/>
      <c r="L74" s="972"/>
      <c r="M74" s="972"/>
      <c r="N74" s="1002"/>
      <c r="O74" s="967"/>
      <c r="P74" s="968"/>
    </row>
    <row r="75" spans="1:22" s="420" customFormat="1" ht="34.5" customHeight="1">
      <c r="A75" s="452">
        <v>1</v>
      </c>
      <c r="B75" s="453"/>
      <c r="C75" s="453"/>
      <c r="D75" s="995" t="str">
        <f>BADAC!B6</f>
        <v>RENOVATION OF DAY CARE CENTER AT SITIO BADAC BARANGAY SARAVIA</v>
      </c>
      <c r="E75" s="996"/>
      <c r="F75" s="996"/>
      <c r="G75" s="996"/>
      <c r="H75" s="996"/>
      <c r="I75" s="996"/>
      <c r="J75" s="996"/>
      <c r="K75" s="996"/>
      <c r="L75" s="996"/>
      <c r="M75" s="996"/>
      <c r="N75" s="996"/>
      <c r="O75" s="996"/>
      <c r="P75" s="997"/>
      <c r="Q75" s="947">
        <f>O75-[3]DUPA!O75</f>
        <v>-39061.050000000003</v>
      </c>
      <c r="R75" s="948"/>
      <c r="S75" s="948"/>
      <c r="T75" s="948"/>
      <c r="U75" s="948"/>
      <c r="V75" s="948"/>
    </row>
    <row r="76" spans="1:22" s="420" customFormat="1" ht="34.5" customHeight="1">
      <c r="A76" s="452" t="e">
        <f>#REF!+1</f>
        <v>#REF!</v>
      </c>
      <c r="B76" s="453"/>
      <c r="C76" s="453"/>
      <c r="D76" s="937" t="str">
        <f>BADAC!A15</f>
        <v>I</v>
      </c>
      <c r="E76" s="938"/>
      <c r="F76" s="939" t="str">
        <f>BADAC!B15</f>
        <v>STRUCTURAL CONCRETE</v>
      </c>
      <c r="G76" s="940"/>
      <c r="H76" s="940"/>
      <c r="I76" s="940"/>
      <c r="J76" s="942">
        <f>BADAC!D15</f>
        <v>2.444</v>
      </c>
      <c r="K76" s="942"/>
      <c r="L76" s="943" t="str">
        <f>BADAC!E15</f>
        <v>cu.m.</v>
      </c>
      <c r="M76" s="944"/>
      <c r="N76" s="455">
        <f>BADAC!G33</f>
        <v>14581.014729950901</v>
      </c>
      <c r="O76" s="945">
        <f>J76*N76</f>
        <v>35636</v>
      </c>
      <c r="P76" s="946"/>
      <c r="Q76" s="947">
        <f>O76-[3]DUPA!O227</f>
        <v>22190.75</v>
      </c>
      <c r="R76" s="948"/>
      <c r="S76" s="948"/>
      <c r="T76" s="948"/>
      <c r="U76" s="948"/>
      <c r="V76" s="948"/>
    </row>
    <row r="77" spans="1:22" s="420" customFormat="1" ht="34.5" customHeight="1">
      <c r="A77" s="452" t="e">
        <f>#REF!+1</f>
        <v>#REF!</v>
      </c>
      <c r="B77" s="453"/>
      <c r="C77" s="453"/>
      <c r="D77" s="937" t="str">
        <f>BADAC!A35</f>
        <v>II</v>
      </c>
      <c r="E77" s="938"/>
      <c r="F77" s="939" t="str">
        <f>BADAC!B35</f>
        <v>REINFORCE STEEL BAR</v>
      </c>
      <c r="G77" s="940"/>
      <c r="H77" s="940"/>
      <c r="I77" s="940"/>
      <c r="J77" s="942">
        <f>BADAC!D35</f>
        <v>137.85599999999999</v>
      </c>
      <c r="K77" s="942"/>
      <c r="L77" s="943" t="str">
        <f>BADAC!E35</f>
        <v>kgs</v>
      </c>
      <c r="M77" s="944"/>
      <c r="N77" s="455">
        <f>BADAC!G53</f>
        <v>121.99686629526462</v>
      </c>
      <c r="O77" s="945">
        <f>J77*N77</f>
        <v>16818</v>
      </c>
      <c r="P77" s="946"/>
      <c r="Q77" s="947">
        <f>O77-[3]DUPA!O226</f>
        <v>16177.75</v>
      </c>
      <c r="R77" s="948"/>
      <c r="S77" s="948"/>
      <c r="T77" s="948"/>
      <c r="U77" s="948"/>
      <c r="V77" s="948"/>
    </row>
    <row r="78" spans="1:22" s="420" customFormat="1" ht="34.5" customHeight="1">
      <c r="A78" s="452" t="e">
        <f>#REF!+1</f>
        <v>#REF!</v>
      </c>
      <c r="B78" s="453"/>
      <c r="C78" s="453"/>
      <c r="D78" s="937" t="str">
        <f>BADAC!A55</f>
        <v>III</v>
      </c>
      <c r="E78" s="938"/>
      <c r="F78" s="939" t="str">
        <f>BADAC!B55</f>
        <v>FORMWORKS</v>
      </c>
      <c r="G78" s="940"/>
      <c r="H78" s="940"/>
      <c r="I78" s="940"/>
      <c r="J78" s="942">
        <f>BADAC!D55</f>
        <v>1</v>
      </c>
      <c r="K78" s="942"/>
      <c r="L78" s="943" t="str">
        <f>BADAC!E55</f>
        <v>lumpsum</v>
      </c>
      <c r="M78" s="944"/>
      <c r="N78" s="455">
        <f>BADAC!G79</f>
        <v>15600.002</v>
      </c>
      <c r="O78" s="945">
        <f>J78*N78</f>
        <v>15600.002</v>
      </c>
      <c r="P78" s="946"/>
      <c r="Q78" s="947">
        <f>O78-[3]DUPA!O227</f>
        <v>2154.7520000000004</v>
      </c>
      <c r="R78" s="948"/>
      <c r="S78" s="948"/>
      <c r="T78" s="948"/>
      <c r="U78" s="948"/>
      <c r="V78" s="948"/>
    </row>
    <row r="79" spans="1:22" s="420" customFormat="1" ht="34.5" customHeight="1">
      <c r="A79" s="452" t="e">
        <f>#REF!+1</f>
        <v>#REF!</v>
      </c>
      <c r="B79" s="453"/>
      <c r="C79" s="453"/>
      <c r="D79" s="937" t="str">
        <f>BADAC!A81</f>
        <v>IV</v>
      </c>
      <c r="E79" s="938"/>
      <c r="F79" s="939" t="str">
        <f>BADAC!B81</f>
        <v>MASONRY WORKS ( CHB Laying  and Plastering )</v>
      </c>
      <c r="G79" s="940"/>
      <c r="H79" s="940"/>
      <c r="I79" s="940"/>
      <c r="J79" s="942">
        <f>BADAC!D81</f>
        <v>24</v>
      </c>
      <c r="K79" s="942"/>
      <c r="L79" s="943" t="str">
        <f>BADAC!E81</f>
        <v>sq.m.</v>
      </c>
      <c r="M79" s="944"/>
      <c r="N79" s="455">
        <f>BADAC!G100</f>
        <v>2230.25</v>
      </c>
      <c r="O79" s="945">
        <f>J79*N79</f>
        <v>53526</v>
      </c>
      <c r="P79" s="946"/>
      <c r="Q79" s="947">
        <f>O79-[3]DUPA!O228</f>
        <v>40080.75</v>
      </c>
      <c r="R79" s="948"/>
      <c r="S79" s="948"/>
      <c r="T79" s="948"/>
      <c r="U79" s="948"/>
      <c r="V79" s="948"/>
    </row>
    <row r="80" spans="1:22" s="420" customFormat="1" ht="34.5" customHeight="1">
      <c r="A80" s="452" t="e">
        <f>#REF!+1</f>
        <v>#REF!</v>
      </c>
      <c r="B80" s="453"/>
      <c r="C80" s="453"/>
      <c r="D80" s="937" t="str">
        <f>BADAC!A102</f>
        <v>V</v>
      </c>
      <c r="E80" s="938"/>
      <c r="F80" s="939" t="str">
        <f>BADAC!B102</f>
        <v>ROOFING WORKS</v>
      </c>
      <c r="G80" s="940"/>
      <c r="H80" s="940"/>
      <c r="I80" s="940"/>
      <c r="J80" s="942">
        <f>BADAC!D102</f>
        <v>18</v>
      </c>
      <c r="K80" s="942"/>
      <c r="L80" s="943" t="str">
        <f>BADAC!E102</f>
        <v>sq.m.</v>
      </c>
      <c r="M80" s="944"/>
      <c r="N80" s="455">
        <f>BADAC!G125</f>
        <v>1911.1111111111111</v>
      </c>
      <c r="O80" s="945">
        <f t="shared" ref="O80:O85" si="11">J80*N80</f>
        <v>34400</v>
      </c>
      <c r="P80" s="946"/>
      <c r="Q80" s="947">
        <f>O80-[3]DUPA!O229</f>
        <v>34400</v>
      </c>
      <c r="R80" s="948"/>
      <c r="S80" s="948"/>
      <c r="T80" s="948"/>
      <c r="U80" s="948"/>
      <c r="V80" s="948"/>
    </row>
    <row r="81" spans="1:22" s="420" customFormat="1" ht="34.5" customHeight="1">
      <c r="A81" s="452" t="e">
        <f>#REF!+1</f>
        <v>#REF!</v>
      </c>
      <c r="B81" s="453"/>
      <c r="C81" s="453"/>
      <c r="D81" s="937" t="str">
        <f>BADAC!A128</f>
        <v>VI</v>
      </c>
      <c r="E81" s="938"/>
      <c r="F81" s="939" t="str">
        <f>BADAC!B128</f>
        <v>PAINTING WORKS</v>
      </c>
      <c r="G81" s="940"/>
      <c r="H81" s="940"/>
      <c r="I81" s="940"/>
      <c r="J81" s="942">
        <f>BADAC!D128</f>
        <v>171</v>
      </c>
      <c r="K81" s="942"/>
      <c r="L81" s="943" t="str">
        <f>BADAC!E128</f>
        <v>sq.m.</v>
      </c>
      <c r="M81" s="944"/>
      <c r="N81" s="455">
        <f>BADAC!G156</f>
        <v>304.32748538011697</v>
      </c>
      <c r="O81" s="945">
        <f t="shared" si="11"/>
        <v>52040</v>
      </c>
      <c r="P81" s="946"/>
      <c r="Q81" s="947">
        <f>O81-[3]DUPA!O230</f>
        <v>52040</v>
      </c>
      <c r="R81" s="948"/>
      <c r="S81" s="948"/>
      <c r="T81" s="948"/>
      <c r="U81" s="948"/>
      <c r="V81" s="948"/>
    </row>
    <row r="82" spans="1:22" s="420" customFormat="1" ht="34.5" customHeight="1">
      <c r="A82" s="452" t="e">
        <f>#REF!+1</f>
        <v>#REF!</v>
      </c>
      <c r="B82" s="453"/>
      <c r="C82" s="453"/>
      <c r="D82" s="937" t="str">
        <f>BADAC!A158</f>
        <v>VII</v>
      </c>
      <c r="E82" s="938"/>
      <c r="F82" s="939" t="str">
        <f>BADAC!B158</f>
        <v>PLUMBING AND TILE WORKS</v>
      </c>
      <c r="G82" s="940"/>
      <c r="H82" s="940"/>
      <c r="I82" s="940"/>
      <c r="J82" s="942">
        <f>BADAC!D158</f>
        <v>1</v>
      </c>
      <c r="K82" s="942"/>
      <c r="L82" s="943" t="str">
        <f>BADAC!E158</f>
        <v>l.s.</v>
      </c>
      <c r="M82" s="944"/>
      <c r="N82" s="455">
        <f>BADAC!G193</f>
        <v>27850</v>
      </c>
      <c r="O82" s="945">
        <f t="shared" si="11"/>
        <v>27850</v>
      </c>
      <c r="P82" s="946"/>
      <c r="Q82" s="947">
        <f>O82-[3]DUPA!O231</f>
        <v>27850</v>
      </c>
      <c r="R82" s="948"/>
      <c r="S82" s="948"/>
      <c r="T82" s="948"/>
      <c r="U82" s="948"/>
      <c r="V82" s="948"/>
    </row>
    <row r="83" spans="1:22" s="420" customFormat="1" ht="34.5" customHeight="1">
      <c r="A83" s="452" t="e">
        <f>#REF!+1</f>
        <v>#REF!</v>
      </c>
      <c r="B83" s="453"/>
      <c r="C83" s="453"/>
      <c r="D83" s="937" t="str">
        <f>BADAC!A195</f>
        <v>VIII</v>
      </c>
      <c r="E83" s="938"/>
      <c r="F83" s="939" t="str">
        <f>BADAC!B195</f>
        <v>DOORS AND WINDOWS</v>
      </c>
      <c r="G83" s="940"/>
      <c r="H83" s="940"/>
      <c r="I83" s="940"/>
      <c r="J83" s="942">
        <f>BADAC!D195</f>
        <v>4</v>
      </c>
      <c r="K83" s="942"/>
      <c r="L83" s="943" t="str">
        <f>BADAC!E195</f>
        <v>units</v>
      </c>
      <c r="M83" s="944"/>
      <c r="N83" s="455">
        <f>BADAC!G218</f>
        <v>11230.5</v>
      </c>
      <c r="O83" s="945">
        <f t="shared" si="11"/>
        <v>44922</v>
      </c>
      <c r="P83" s="946"/>
      <c r="Q83" s="947">
        <f>O83-[3]DUPA!O232</f>
        <v>44922</v>
      </c>
      <c r="R83" s="948"/>
      <c r="S83" s="948"/>
      <c r="T83" s="948"/>
      <c r="U83" s="948"/>
      <c r="V83" s="948"/>
    </row>
    <row r="84" spans="1:22" s="420" customFormat="1" ht="34.5" customHeight="1">
      <c r="A84" s="452" t="e">
        <f>#REF!+1</f>
        <v>#REF!</v>
      </c>
      <c r="B84" s="453"/>
      <c r="C84" s="453"/>
      <c r="D84" s="937" t="str">
        <f>BADAC!A220</f>
        <v>IX</v>
      </c>
      <c r="E84" s="938"/>
      <c r="F84" s="939" t="str">
        <f>BADAC!B220</f>
        <v>ELECTRICAL WORKS</v>
      </c>
      <c r="G84" s="940"/>
      <c r="H84" s="940"/>
      <c r="I84" s="940"/>
      <c r="J84" s="942">
        <f>BADAC!D220</f>
        <v>1</v>
      </c>
      <c r="K84" s="942"/>
      <c r="L84" s="943" t="str">
        <f>BADAC!E220</f>
        <v>l.s.</v>
      </c>
      <c r="M84" s="944"/>
      <c r="N84" s="455">
        <f>BADAC!G253</f>
        <v>19055</v>
      </c>
      <c r="O84" s="945">
        <f t="shared" si="11"/>
        <v>19055</v>
      </c>
      <c r="P84" s="946"/>
      <c r="Q84" s="947">
        <f>O84-[3]DUPA!O233</f>
        <v>19055</v>
      </c>
      <c r="R84" s="948"/>
      <c r="S84" s="948"/>
      <c r="T84" s="948"/>
      <c r="U84" s="948"/>
      <c r="V84" s="948"/>
    </row>
    <row r="85" spans="1:22" s="420" customFormat="1" ht="34.5" customHeight="1">
      <c r="A85" s="452" t="e">
        <f>#REF!+1</f>
        <v>#REF!</v>
      </c>
      <c r="B85" s="453"/>
      <c r="C85" s="453"/>
      <c r="D85" s="937" t="str">
        <f>BADAC!A255</f>
        <v>X</v>
      </c>
      <c r="E85" s="938"/>
      <c r="F85" s="939" t="str">
        <f>BADAC!B255</f>
        <v>BILLBOARD</v>
      </c>
      <c r="G85" s="940"/>
      <c r="H85" s="940"/>
      <c r="I85" s="940"/>
      <c r="J85" s="942">
        <f>BADAC!D255</f>
        <v>1</v>
      </c>
      <c r="K85" s="942"/>
      <c r="L85" s="943" t="str">
        <f>BADAC!E255</f>
        <v>unit</v>
      </c>
      <c r="M85" s="944"/>
      <c r="N85" s="455">
        <f>BADAC!G269</f>
        <v>2906</v>
      </c>
      <c r="O85" s="945">
        <f t="shared" si="11"/>
        <v>2906</v>
      </c>
      <c r="P85" s="946"/>
      <c r="Q85" s="947">
        <f>O85-[3]DUPA!O234</f>
        <v>2906</v>
      </c>
      <c r="R85" s="948"/>
      <c r="S85" s="948"/>
      <c r="T85" s="948"/>
      <c r="U85" s="948"/>
      <c r="V85" s="948"/>
    </row>
    <row r="86" spans="1:22" s="420" customFormat="1" ht="34.5" customHeight="1">
      <c r="A86" s="452" t="e">
        <f>#REF!+1</f>
        <v>#REF!</v>
      </c>
      <c r="B86" s="453"/>
      <c r="C86" s="453"/>
      <c r="D86" s="937" t="str">
        <f>BADAC!A271</f>
        <v>XI</v>
      </c>
      <c r="E86" s="938"/>
      <c r="F86" s="939" t="str">
        <f>BADAC!B271</f>
        <v>CEILING WORKS</v>
      </c>
      <c r="G86" s="940"/>
      <c r="H86" s="940"/>
      <c r="I86" s="940"/>
      <c r="J86" s="942">
        <f>BADAC!D271</f>
        <v>99</v>
      </c>
      <c r="K86" s="942"/>
      <c r="L86" s="943" t="str">
        <f>BADAC!E271</f>
        <v>sq.m.</v>
      </c>
      <c r="M86" s="944"/>
      <c r="N86" s="455">
        <f>BADAC!G292</f>
        <v>551.85353535353534</v>
      </c>
      <c r="O86" s="945">
        <f t="shared" ref="O86" si="12">J86*N86</f>
        <v>54633.5</v>
      </c>
      <c r="P86" s="946"/>
      <c r="Q86" s="947">
        <f>O86-[3]DUPA!O235</f>
        <v>54633.5</v>
      </c>
      <c r="R86" s="948"/>
      <c r="S86" s="948"/>
      <c r="T86" s="948"/>
      <c r="U86" s="948"/>
      <c r="V86" s="948"/>
    </row>
    <row r="87" spans="1:22" s="420" customFormat="1" ht="34.5" customHeight="1">
      <c r="A87" s="452" t="e">
        <f>#REF!+1</f>
        <v>#REF!</v>
      </c>
      <c r="B87" s="453"/>
      <c r="C87" s="453"/>
      <c r="D87" s="937" t="str">
        <f>BADAC!A327</f>
        <v>XII</v>
      </c>
      <c r="E87" s="938"/>
      <c r="F87" s="939" t="str">
        <f>BADAC!B327</f>
        <v>STEEL WORKS</v>
      </c>
      <c r="G87" s="940"/>
      <c r="H87" s="940"/>
      <c r="I87" s="940"/>
      <c r="J87" s="942">
        <f>BADAC!D327</f>
        <v>1</v>
      </c>
      <c r="K87" s="942"/>
      <c r="L87" s="943" t="str">
        <f>BADAC!E327</f>
        <v>lot</v>
      </c>
      <c r="M87" s="944"/>
      <c r="N87" s="455">
        <f>BADAC!G348</f>
        <v>42613.5</v>
      </c>
      <c r="O87" s="945">
        <f t="shared" ref="O87" si="13">J87*N87</f>
        <v>42613.5</v>
      </c>
      <c r="P87" s="946"/>
      <c r="Q87" s="947">
        <f>O87-[3]DUPA!O236</f>
        <v>42613.5</v>
      </c>
      <c r="R87" s="948"/>
      <c r="S87" s="948"/>
      <c r="T87" s="948"/>
      <c r="U87" s="948"/>
      <c r="V87" s="948"/>
    </row>
    <row r="88" spans="1:22" s="420" customFormat="1" ht="34.5" customHeight="1">
      <c r="A88" s="452" t="e">
        <f>#REF!+1</f>
        <v>#REF!</v>
      </c>
      <c r="B88" s="453"/>
      <c r="C88" s="453"/>
      <c r="D88" s="990" t="s">
        <v>1338</v>
      </c>
      <c r="E88" s="991"/>
      <c r="F88" s="991"/>
      <c r="G88" s="991"/>
      <c r="H88" s="991"/>
      <c r="I88" s="991"/>
      <c r="J88" s="991"/>
      <c r="K88" s="991"/>
      <c r="L88" s="991"/>
      <c r="M88" s="991"/>
      <c r="N88" s="992"/>
      <c r="O88" s="993">
        <f>SUM(O76:P87)</f>
        <v>400000.00199999998</v>
      </c>
      <c r="P88" s="994"/>
      <c r="Q88" s="458">
        <f>O88-BADAC!G352</f>
        <v>0</v>
      </c>
    </row>
    <row r="89" spans="1:22" s="420" customFormat="1" ht="34.5" customHeight="1">
      <c r="A89" s="452">
        <v>1</v>
      </c>
      <c r="B89" s="453"/>
      <c r="C89" s="453"/>
      <c r="D89" s="995" t="str">
        <f>'SAN FRAN BO4'!B6</f>
        <v>IMPROVEMENT OF DAY CARE CENTER AT PUROK SAN FRANCISCO BARANGAY SITE BARANGAY NEW PANGASINAN</v>
      </c>
      <c r="E89" s="996"/>
      <c r="F89" s="996"/>
      <c r="G89" s="996"/>
      <c r="H89" s="996"/>
      <c r="I89" s="996"/>
      <c r="J89" s="996"/>
      <c r="K89" s="996"/>
      <c r="L89" s="996"/>
      <c r="M89" s="996"/>
      <c r="N89" s="996"/>
      <c r="O89" s="996"/>
      <c r="P89" s="997"/>
      <c r="Q89" s="947">
        <f>O89-[3]DUPA!O82</f>
        <v>0</v>
      </c>
      <c r="R89" s="948"/>
      <c r="S89" s="948"/>
      <c r="T89" s="948"/>
      <c r="U89" s="948"/>
      <c r="V89" s="948"/>
    </row>
    <row r="90" spans="1:22" s="420" customFormat="1" ht="34.5" customHeight="1">
      <c r="A90" s="452" t="e">
        <f>#REF!+1</f>
        <v>#REF!</v>
      </c>
      <c r="B90" s="453"/>
      <c r="C90" s="453"/>
      <c r="D90" s="937" t="str">
        <f>'SAN FRAN BO4'!A15</f>
        <v>I</v>
      </c>
      <c r="E90" s="938"/>
      <c r="F90" s="939" t="str">
        <f>'SAN FRAN BO4'!B15</f>
        <v>STRUCTURAL CONCRETE</v>
      </c>
      <c r="G90" s="940"/>
      <c r="H90" s="940"/>
      <c r="I90" s="940"/>
      <c r="J90" s="941">
        <f>'SAN FRAN BO4'!D15</f>
        <v>9.6440000000000001</v>
      </c>
      <c r="K90" s="942"/>
      <c r="L90" s="943" t="str">
        <f>'SAN FRAN BO4'!E15</f>
        <v>cu.m.</v>
      </c>
      <c r="M90" s="944"/>
      <c r="N90" s="455">
        <f>'SAN FRAN BO4'!G33</f>
        <v>6599.3363749481541</v>
      </c>
      <c r="O90" s="945">
        <f>J90*N90</f>
        <v>63644</v>
      </c>
      <c r="P90" s="946"/>
      <c r="Q90" s="947">
        <f>O90-[3]DUPA!O158</f>
        <v>63644</v>
      </c>
      <c r="R90" s="948"/>
      <c r="S90" s="948"/>
      <c r="T90" s="948"/>
      <c r="U90" s="948"/>
      <c r="V90" s="948"/>
    </row>
    <row r="91" spans="1:22" s="420" customFormat="1" ht="34.5" customHeight="1">
      <c r="A91" s="452" t="e">
        <f>#REF!+1</f>
        <v>#REF!</v>
      </c>
      <c r="B91" s="453"/>
      <c r="C91" s="453"/>
      <c r="D91" s="937" t="str">
        <f>'SAN FRAN BO4'!A35</f>
        <v>II</v>
      </c>
      <c r="E91" s="938"/>
      <c r="F91" s="939" t="str">
        <f>'SAN FRAN BO4'!B35</f>
        <v>REINFORCE STEEL BAR</v>
      </c>
      <c r="G91" s="940"/>
      <c r="H91" s="940"/>
      <c r="I91" s="940"/>
      <c r="J91" s="942">
        <f>'SAN FRAN BO4'!D35</f>
        <v>30.712</v>
      </c>
      <c r="K91" s="942"/>
      <c r="L91" s="943" t="str">
        <f>'SAN FRAN BO4'!E35</f>
        <v>kgs</v>
      </c>
      <c r="M91" s="944"/>
      <c r="N91" s="455">
        <f>'SAN FRAN BO4'!G53</f>
        <v>885.9077884865851</v>
      </c>
      <c r="O91" s="945">
        <f t="shared" ref="O91:O94" si="14">J91*N91</f>
        <v>27208</v>
      </c>
      <c r="P91" s="946"/>
      <c r="Q91" s="947">
        <f>O91-[3]DUPA!O234</f>
        <v>27208</v>
      </c>
      <c r="R91" s="948"/>
      <c r="S91" s="948"/>
      <c r="T91" s="948"/>
      <c r="U91" s="948"/>
      <c r="V91" s="948"/>
    </row>
    <row r="92" spans="1:22" s="420" customFormat="1" ht="34.5" customHeight="1">
      <c r="A92" s="452" t="e">
        <f>#REF!+1</f>
        <v>#REF!</v>
      </c>
      <c r="B92" s="453"/>
      <c r="C92" s="453"/>
      <c r="D92" s="937" t="str">
        <f>'SAN FRAN BO4'!A55</f>
        <v>III</v>
      </c>
      <c r="E92" s="938"/>
      <c r="F92" s="939" t="str">
        <f>'SAN FRAN BO4'!B55</f>
        <v>FORMWORKS</v>
      </c>
      <c r="G92" s="940"/>
      <c r="H92" s="940"/>
      <c r="I92" s="940"/>
      <c r="J92" s="942">
        <f>'SAN FRAN BO4'!D55</f>
        <v>1</v>
      </c>
      <c r="K92" s="942"/>
      <c r="L92" s="943" t="str">
        <f>'SAN FRAN BO4'!E55</f>
        <v>lumpsum</v>
      </c>
      <c r="M92" s="944"/>
      <c r="N92" s="455">
        <f>'SAN FRAN BO4'!G79</f>
        <v>18429.003000000001</v>
      </c>
      <c r="O92" s="945">
        <f t="shared" si="14"/>
        <v>18429.003000000001</v>
      </c>
      <c r="P92" s="946"/>
      <c r="Q92" s="947">
        <f>O92-[3]DUPA!O234</f>
        <v>18429.003000000001</v>
      </c>
      <c r="R92" s="948"/>
      <c r="S92" s="948"/>
      <c r="T92" s="948"/>
      <c r="U92" s="948"/>
      <c r="V92" s="948"/>
    </row>
    <row r="93" spans="1:22" s="420" customFormat="1" ht="34.5" customHeight="1">
      <c r="A93" s="452" t="e">
        <f>#REF!+1</f>
        <v>#REF!</v>
      </c>
      <c r="B93" s="453"/>
      <c r="C93" s="453"/>
      <c r="D93" s="937" t="str">
        <f>'SAN FRAN BO4'!A81</f>
        <v>IV</v>
      </c>
      <c r="E93" s="938"/>
      <c r="F93" s="939" t="str">
        <f>BADAC!B81</f>
        <v>MASONRY WORKS ( CHB Laying  and Plastering )</v>
      </c>
      <c r="G93" s="940"/>
      <c r="H93" s="940"/>
      <c r="I93" s="940"/>
      <c r="J93" s="942">
        <f>'SAN FRAN BO4'!D81</f>
        <v>24</v>
      </c>
      <c r="K93" s="942"/>
      <c r="L93" s="943" t="str">
        <f>'SAN FRAN BO4'!E81</f>
        <v>sq.m.</v>
      </c>
      <c r="M93" s="944"/>
      <c r="N93" s="455">
        <f>'SAN FRAN BO4'!G100</f>
        <v>2230.25</v>
      </c>
      <c r="O93" s="945">
        <f t="shared" si="14"/>
        <v>53526</v>
      </c>
      <c r="P93" s="946"/>
      <c r="Q93" s="947">
        <f>O93-[3]DUPA!O235</f>
        <v>53526</v>
      </c>
      <c r="R93" s="948"/>
      <c r="S93" s="948"/>
      <c r="T93" s="948"/>
      <c r="U93" s="948"/>
      <c r="V93" s="948"/>
    </row>
    <row r="94" spans="1:22" s="420" customFormat="1" ht="34.5" customHeight="1">
      <c r="A94" s="452" t="e">
        <f>#REF!+1</f>
        <v>#REF!</v>
      </c>
      <c r="B94" s="453"/>
      <c r="C94" s="453"/>
      <c r="D94" s="937" t="str">
        <f>'SAN FRAN BO4'!A102</f>
        <v>V</v>
      </c>
      <c r="E94" s="938"/>
      <c r="F94" s="939" t="str">
        <f>'SAN FRAN BO4'!B102</f>
        <v>ROOFING WORKS</v>
      </c>
      <c r="G94" s="940"/>
      <c r="H94" s="940"/>
      <c r="I94" s="940"/>
      <c r="J94" s="942">
        <f>'SAN FRAN BO4'!D102</f>
        <v>18</v>
      </c>
      <c r="K94" s="942"/>
      <c r="L94" s="943" t="str">
        <f>'SAN FRAN BO4'!E102</f>
        <v>sq.m.</v>
      </c>
      <c r="M94" s="944"/>
      <c r="N94" s="455">
        <f>'SAN FRAN BO4'!G125</f>
        <v>1911.1111111111111</v>
      </c>
      <c r="O94" s="945">
        <f t="shared" si="14"/>
        <v>34400</v>
      </c>
      <c r="P94" s="946"/>
      <c r="Q94" s="947">
        <f>O94-[3]DUPA!O236</f>
        <v>34400</v>
      </c>
      <c r="R94" s="948"/>
      <c r="S94" s="948"/>
      <c r="T94" s="948"/>
      <c r="U94" s="948"/>
      <c r="V94" s="948"/>
    </row>
    <row r="95" spans="1:22" s="420" customFormat="1" ht="34.5" customHeight="1">
      <c r="A95" s="452" t="e">
        <f>#REF!+1</f>
        <v>#REF!</v>
      </c>
      <c r="B95" s="453"/>
      <c r="C95" s="453"/>
      <c r="D95" s="937" t="str">
        <f>'SAN FRAN BO4'!A128</f>
        <v>VI</v>
      </c>
      <c r="E95" s="938"/>
      <c r="F95" s="939" t="str">
        <f>'SAN FRAN BO4'!B128</f>
        <v>PAINTING WORKS</v>
      </c>
      <c r="G95" s="940"/>
      <c r="H95" s="940"/>
      <c r="I95" s="940"/>
      <c r="J95" s="942">
        <f>'SAN FRAN BO4'!D128</f>
        <v>171</v>
      </c>
      <c r="K95" s="942"/>
      <c r="L95" s="943" t="str">
        <f>'SAN FRAN BO4'!E128</f>
        <v>sq.m.</v>
      </c>
      <c r="M95" s="944"/>
      <c r="N95" s="455">
        <f>'SAN FRAN BO4'!G156</f>
        <v>422.98245614035091</v>
      </c>
      <c r="O95" s="945">
        <f t="shared" ref="O95:O99" si="15">J95*N95</f>
        <v>72330</v>
      </c>
      <c r="P95" s="946"/>
      <c r="Q95" s="947" t="e">
        <f>O95-[3]DUPA!O237</f>
        <v>#VALUE!</v>
      </c>
      <c r="R95" s="948"/>
      <c r="S95" s="948"/>
      <c r="T95" s="948"/>
      <c r="U95" s="948"/>
      <c r="V95" s="948"/>
    </row>
    <row r="96" spans="1:22" s="420" customFormat="1" ht="34.5" customHeight="1">
      <c r="A96" s="452" t="e">
        <f>#REF!+1</f>
        <v>#REF!</v>
      </c>
      <c r="B96" s="453"/>
      <c r="C96" s="453"/>
      <c r="D96" s="937" t="str">
        <f>'SAN FRAN BO4'!A158</f>
        <v>VII</v>
      </c>
      <c r="E96" s="938"/>
      <c r="F96" s="939" t="str">
        <f>'SAN FRAN BO4'!B158</f>
        <v>PLUMBING AND TILE WORKS</v>
      </c>
      <c r="G96" s="940"/>
      <c r="H96" s="940"/>
      <c r="I96" s="940"/>
      <c r="J96" s="942">
        <f>'SAN FRAN BO4'!D158</f>
        <v>1</v>
      </c>
      <c r="K96" s="942"/>
      <c r="L96" s="943" t="str">
        <f>'SAN FRAN BO4'!E158</f>
        <v>l.s.</v>
      </c>
      <c r="M96" s="944"/>
      <c r="N96" s="455">
        <f>'SAN FRAN BO4'!G192</f>
        <v>27850</v>
      </c>
      <c r="O96" s="945">
        <f t="shared" si="15"/>
        <v>27850</v>
      </c>
      <c r="P96" s="946"/>
      <c r="Q96" s="947">
        <f>O96-[3]DUPA!O238</f>
        <v>27850</v>
      </c>
      <c r="R96" s="948"/>
      <c r="S96" s="948"/>
      <c r="T96" s="948"/>
      <c r="U96" s="948"/>
      <c r="V96" s="948"/>
    </row>
    <row r="97" spans="1:22" s="420" customFormat="1" ht="34.5" customHeight="1">
      <c r="A97" s="452" t="e">
        <f>#REF!+1</f>
        <v>#REF!</v>
      </c>
      <c r="B97" s="453"/>
      <c r="C97" s="453"/>
      <c r="D97" s="937" t="str">
        <f>'SAN FRAN BO4'!A195</f>
        <v>VIII</v>
      </c>
      <c r="E97" s="938"/>
      <c r="F97" s="939" t="str">
        <f>'SAN FRAN BO4'!B195</f>
        <v>DOORS AND WINDOWS</v>
      </c>
      <c r="G97" s="940"/>
      <c r="H97" s="940"/>
      <c r="I97" s="940"/>
      <c r="J97" s="942">
        <f>'SAN FRAN BO4'!D195</f>
        <v>4</v>
      </c>
      <c r="K97" s="942"/>
      <c r="L97" s="943" t="str">
        <f>'SAN FRAN BO4'!E195</f>
        <v>units</v>
      </c>
      <c r="M97" s="944"/>
      <c r="N97" s="455">
        <f>'SAN FRAN BO4'!G216</f>
        <v>7058.75</v>
      </c>
      <c r="O97" s="945">
        <f t="shared" si="15"/>
        <v>28235</v>
      </c>
      <c r="P97" s="946"/>
      <c r="Q97" s="947">
        <f>O97-[3]DUPA!O239</f>
        <v>28235</v>
      </c>
      <c r="R97" s="948"/>
      <c r="S97" s="948"/>
      <c r="T97" s="948"/>
      <c r="U97" s="948"/>
      <c r="V97" s="948"/>
    </row>
    <row r="98" spans="1:22" s="420" customFormat="1" ht="34.5" customHeight="1">
      <c r="A98" s="452" t="e">
        <f>#REF!+1</f>
        <v>#REF!</v>
      </c>
      <c r="B98" s="453"/>
      <c r="C98" s="453"/>
      <c r="D98" s="937" t="str">
        <f>'SAN FRAN BO4'!A218</f>
        <v>IX</v>
      </c>
      <c r="E98" s="938"/>
      <c r="F98" s="939" t="str">
        <f>'SAN FRAN BO4'!B218</f>
        <v>ELECTRICAL WORKS</v>
      </c>
      <c r="G98" s="940"/>
      <c r="H98" s="940"/>
      <c r="I98" s="940"/>
      <c r="J98" s="942">
        <f>'SAN FRAN BO4'!D218</f>
        <v>1</v>
      </c>
      <c r="K98" s="942"/>
      <c r="L98" s="943" t="str">
        <f>'SAN FRAN BO4'!E218</f>
        <v>l.s.</v>
      </c>
      <c r="M98" s="944"/>
      <c r="N98" s="455">
        <f>'SAN FRAN BO4'!G251</f>
        <v>19055</v>
      </c>
      <c r="O98" s="945">
        <f t="shared" si="15"/>
        <v>19055</v>
      </c>
      <c r="P98" s="946"/>
      <c r="Q98" s="947">
        <f>O98-[3]DUPA!O240</f>
        <v>18875</v>
      </c>
      <c r="R98" s="948"/>
      <c r="S98" s="948"/>
      <c r="T98" s="948"/>
      <c r="U98" s="948"/>
      <c r="V98" s="948"/>
    </row>
    <row r="99" spans="1:22" s="420" customFormat="1" ht="34.5" customHeight="1">
      <c r="A99" s="452" t="e">
        <f>#REF!+1</f>
        <v>#REF!</v>
      </c>
      <c r="B99" s="453"/>
      <c r="C99" s="453"/>
      <c r="D99" s="937" t="str">
        <f>'SAN FRAN BO4'!A253</f>
        <v>X</v>
      </c>
      <c r="E99" s="938"/>
      <c r="F99" s="939" t="str">
        <f>'SAN FRAN BO4'!B253</f>
        <v>BILLBOARD</v>
      </c>
      <c r="G99" s="940"/>
      <c r="H99" s="940"/>
      <c r="I99" s="940"/>
      <c r="J99" s="942">
        <f>'SAN FRAN BO4'!D253</f>
        <v>1</v>
      </c>
      <c r="K99" s="942"/>
      <c r="L99" s="943" t="str">
        <f>'SAN FRAN BO4'!E253</f>
        <v>unit</v>
      </c>
      <c r="M99" s="944"/>
      <c r="N99" s="455">
        <f>'SAN FRAN BO4'!G267</f>
        <v>2906</v>
      </c>
      <c r="O99" s="945">
        <f t="shared" si="15"/>
        <v>2906</v>
      </c>
      <c r="P99" s="946"/>
      <c r="Q99" s="947">
        <f>O99-[3]DUPA!O241</f>
        <v>2621</v>
      </c>
      <c r="R99" s="948"/>
      <c r="S99" s="948"/>
      <c r="T99" s="948"/>
      <c r="U99" s="948"/>
      <c r="V99" s="948"/>
    </row>
    <row r="100" spans="1:22" s="420" customFormat="1" ht="34.5" customHeight="1">
      <c r="A100" s="452" t="e">
        <f>#REF!+1</f>
        <v>#REF!</v>
      </c>
      <c r="B100" s="453"/>
      <c r="C100" s="453"/>
      <c r="D100" s="937" t="str">
        <f>'SAN FRAN BO4'!A269</f>
        <v>XI</v>
      </c>
      <c r="E100" s="938"/>
      <c r="F100" s="939" t="str">
        <f>'SAN FRAN BO4'!B269</f>
        <v>CEILING WORKS</v>
      </c>
      <c r="G100" s="940"/>
      <c r="H100" s="940"/>
      <c r="I100" s="940"/>
      <c r="J100" s="942">
        <f>'SAN FRAN BO4'!D269</f>
        <v>99</v>
      </c>
      <c r="K100" s="942"/>
      <c r="L100" s="943" t="str">
        <f>'SAN FRAN BO4'!E269</f>
        <v>sq.m.</v>
      </c>
      <c r="M100" s="944"/>
      <c r="N100" s="455">
        <f>'SAN FRAN BO4'!G290</f>
        <v>529.46464646464642</v>
      </c>
      <c r="O100" s="945">
        <f t="shared" ref="O100" si="16">J100*N100</f>
        <v>52416.999999999993</v>
      </c>
      <c r="P100" s="946"/>
      <c r="Q100" s="947">
        <f>O100-[3]DUPA!O242</f>
        <v>52056.999999999993</v>
      </c>
      <c r="R100" s="948"/>
      <c r="S100" s="948"/>
      <c r="T100" s="948"/>
      <c r="U100" s="948"/>
      <c r="V100" s="948"/>
    </row>
    <row r="101" spans="1:22" s="420" customFormat="1" ht="34.5" customHeight="1">
      <c r="A101" s="452" t="e">
        <f>#REF!+1</f>
        <v>#REF!</v>
      </c>
      <c r="B101" s="453"/>
      <c r="C101" s="453"/>
      <c r="D101" s="990" t="s">
        <v>1338</v>
      </c>
      <c r="E101" s="991"/>
      <c r="F101" s="991"/>
      <c r="G101" s="991"/>
      <c r="H101" s="991"/>
      <c r="I101" s="991"/>
      <c r="J101" s="991"/>
      <c r="K101" s="991"/>
      <c r="L101" s="991"/>
      <c r="M101" s="991"/>
      <c r="N101" s="992"/>
      <c r="O101" s="993">
        <f>SUM(O90:P100)</f>
        <v>400000.00300000003</v>
      </c>
      <c r="P101" s="994"/>
      <c r="Q101" s="458">
        <f>O101-'SAN FRAN BO4'!G101</f>
        <v>400000.00300000003</v>
      </c>
    </row>
    <row r="102" spans="1:22" s="420" customFormat="1" ht="34.5" customHeight="1">
      <c r="A102" s="452">
        <v>1</v>
      </c>
      <c r="B102" s="453"/>
      <c r="C102" s="453"/>
      <c r="D102" s="995" t="str">
        <f>'BAGONG LIP.'!B6</f>
        <v>RENOVATION OF DAY CARE CENTER AT BAGONG LIPUNAN BARANGAY SAN ISIDRO</v>
      </c>
      <c r="E102" s="996"/>
      <c r="F102" s="996"/>
      <c r="G102" s="996"/>
      <c r="H102" s="996"/>
      <c r="I102" s="996"/>
      <c r="J102" s="996"/>
      <c r="K102" s="996"/>
      <c r="L102" s="996"/>
      <c r="M102" s="996"/>
      <c r="N102" s="996"/>
      <c r="O102" s="996"/>
      <c r="P102" s="997"/>
      <c r="Q102" s="947">
        <f>O102-[3]DUPA!O95</f>
        <v>0</v>
      </c>
      <c r="R102" s="948"/>
      <c r="S102" s="948"/>
      <c r="T102" s="948"/>
      <c r="U102" s="948"/>
      <c r="V102" s="948"/>
    </row>
    <row r="103" spans="1:22" s="420" customFormat="1" ht="34.5" customHeight="1">
      <c r="A103" s="452" t="e">
        <f>#REF!+1</f>
        <v>#REF!</v>
      </c>
      <c r="B103" s="453"/>
      <c r="C103" s="453"/>
      <c r="D103" s="937" t="str">
        <f>'BAGONG LIP.'!A15</f>
        <v>I</v>
      </c>
      <c r="E103" s="938"/>
      <c r="F103" s="939" t="str">
        <f>'BAGONG LIP.'!B15</f>
        <v>STRUCTURAL CONCRETE</v>
      </c>
      <c r="G103" s="940"/>
      <c r="H103" s="940"/>
      <c r="I103" s="940"/>
      <c r="J103" s="941">
        <f>'BAGONG LIP.'!D15</f>
        <v>2.444</v>
      </c>
      <c r="K103" s="942"/>
      <c r="L103" s="943" t="str">
        <f>'BAGONG LIP.'!E15</f>
        <v>cu.m.</v>
      </c>
      <c r="M103" s="944"/>
      <c r="N103" s="455">
        <f>'BAGONG LIP.'!G33</f>
        <v>16108.608837970542</v>
      </c>
      <c r="O103" s="945">
        <f t="shared" ref="O103:O105" si="17">J103*N103</f>
        <v>39369.440000000002</v>
      </c>
      <c r="P103" s="946"/>
      <c r="Q103" s="947">
        <f>O103-[3]DUPA!O171</f>
        <v>39369.440000000002</v>
      </c>
      <c r="R103" s="948"/>
      <c r="S103" s="948"/>
      <c r="T103" s="948"/>
      <c r="U103" s="948"/>
      <c r="V103" s="948"/>
    </row>
    <row r="104" spans="1:22" s="420" customFormat="1" ht="34.5" customHeight="1">
      <c r="A104" s="452" t="e">
        <f>#REF!+1</f>
        <v>#REF!</v>
      </c>
      <c r="B104" s="453"/>
      <c r="C104" s="453"/>
      <c r="D104" s="937" t="str">
        <f>'BAGONG LIP.'!A35</f>
        <v>II</v>
      </c>
      <c r="E104" s="938"/>
      <c r="F104" s="939" t="str">
        <f>'BAGONG LIP.'!B35</f>
        <v>REINFORCE STEEL BAR</v>
      </c>
      <c r="G104" s="940"/>
      <c r="H104" s="940"/>
      <c r="I104" s="940"/>
      <c r="J104" s="942">
        <f>'BAGONG LIP.'!D35</f>
        <v>1456.84</v>
      </c>
      <c r="K104" s="942"/>
      <c r="L104" s="943" t="str">
        <f>'BAGONG LIP.'!E35</f>
        <v>kgs</v>
      </c>
      <c r="M104" s="944"/>
      <c r="N104" s="455">
        <f>'BAGONG LIP.'!G53</f>
        <v>12.660882457922629</v>
      </c>
      <c r="O104" s="945">
        <f t="shared" si="17"/>
        <v>18444.88</v>
      </c>
      <c r="P104" s="946"/>
      <c r="Q104" s="947">
        <f>O104-[3]DUPA!O247</f>
        <v>18444.88</v>
      </c>
      <c r="R104" s="948"/>
      <c r="S104" s="948"/>
      <c r="T104" s="948"/>
      <c r="U104" s="948"/>
      <c r="V104" s="948"/>
    </row>
    <row r="105" spans="1:22" s="420" customFormat="1" ht="34.5" customHeight="1">
      <c r="A105" s="452" t="e">
        <f>#REF!+1</f>
        <v>#REF!</v>
      </c>
      <c r="B105" s="453"/>
      <c r="C105" s="453"/>
      <c r="D105" s="937" t="str">
        <f>'BAGONG LIP.'!A55</f>
        <v>III</v>
      </c>
      <c r="E105" s="938"/>
      <c r="F105" s="939" t="str">
        <f>'BAGONG LIP.'!B55</f>
        <v>FORMWORKS</v>
      </c>
      <c r="G105" s="940"/>
      <c r="H105" s="940"/>
      <c r="I105" s="940"/>
      <c r="J105" s="942">
        <f>'BAGONG LIP.'!D55</f>
        <v>1</v>
      </c>
      <c r="K105" s="942"/>
      <c r="L105" s="943" t="str">
        <f>'BAGONG LIP.'!E55</f>
        <v>lumpsum</v>
      </c>
      <c r="M105" s="944"/>
      <c r="N105" s="455">
        <f>'BAGONG LIP.'!G78</f>
        <v>15959.442000000001</v>
      </c>
      <c r="O105" s="945">
        <f t="shared" si="17"/>
        <v>15959.442000000001</v>
      </c>
      <c r="P105" s="946"/>
      <c r="Q105" s="947">
        <f>O105-[3]DUPA!O247</f>
        <v>15959.442000000001</v>
      </c>
      <c r="R105" s="948"/>
      <c r="S105" s="948"/>
      <c r="T105" s="948"/>
      <c r="U105" s="948"/>
      <c r="V105" s="948"/>
    </row>
    <row r="106" spans="1:22" s="420" customFormat="1" ht="34.5" customHeight="1">
      <c r="A106" s="452" t="e">
        <f>#REF!+1</f>
        <v>#REF!</v>
      </c>
      <c r="B106" s="453"/>
      <c r="C106" s="453"/>
      <c r="D106" s="937" t="str">
        <f>'BAGONG LIP.'!A81</f>
        <v>IV</v>
      </c>
      <c r="E106" s="938"/>
      <c r="F106" s="939" t="str">
        <f>'BAGONG LIP.'!B81</f>
        <v>MASONRY WORKS ( CHB Laying  and Plastering )</v>
      </c>
      <c r="G106" s="940"/>
      <c r="H106" s="940"/>
      <c r="I106" s="940"/>
      <c r="J106" s="942">
        <f>'BAGONG LIP.'!D81</f>
        <v>24</v>
      </c>
      <c r="K106" s="942"/>
      <c r="L106" s="943" t="str">
        <f>'BAGONG LIP.'!E81</f>
        <v>sq.m.</v>
      </c>
      <c r="M106" s="944"/>
      <c r="N106" s="455">
        <f>'BAGONG LIP.'!G100</f>
        <v>2230.25</v>
      </c>
      <c r="O106" s="945">
        <f t="shared" ref="O106" si="18">J106*N106</f>
        <v>53526</v>
      </c>
      <c r="P106" s="946"/>
      <c r="Q106" s="947">
        <f>O106-[3]DUPA!O248</f>
        <v>53526</v>
      </c>
      <c r="R106" s="948"/>
      <c r="S106" s="948"/>
      <c r="T106" s="948"/>
      <c r="U106" s="948"/>
      <c r="V106" s="948"/>
    </row>
    <row r="107" spans="1:22" s="420" customFormat="1" ht="34.5" customHeight="1">
      <c r="A107" s="452" t="e">
        <f>#REF!+1</f>
        <v>#REF!</v>
      </c>
      <c r="B107" s="453"/>
      <c r="C107" s="453"/>
      <c r="D107" s="937" t="str">
        <f>'BAGONG LIP.'!A102</f>
        <v>V</v>
      </c>
      <c r="E107" s="938"/>
      <c r="F107" s="939" t="str">
        <f>'BAGONG LIP.'!B102</f>
        <v>ROOFING WORKS</v>
      </c>
      <c r="G107" s="940"/>
      <c r="H107" s="940"/>
      <c r="I107" s="940"/>
      <c r="J107" s="942">
        <f>'BAGONG LIP.'!D102</f>
        <v>18</v>
      </c>
      <c r="K107" s="942"/>
      <c r="L107" s="943" t="str">
        <f>'BAGONG LIP.'!E102</f>
        <v>sq.m.</v>
      </c>
      <c r="M107" s="944"/>
      <c r="N107" s="455">
        <f>'BAGONG LIP.'!G125</f>
        <v>1911.1111111111111</v>
      </c>
      <c r="O107" s="945">
        <f t="shared" ref="O107:O114" si="19">J107*N107</f>
        <v>34400</v>
      </c>
      <c r="P107" s="946"/>
      <c r="Q107" s="947">
        <f>O107-[3]DUPA!O249</f>
        <v>27881</v>
      </c>
      <c r="R107" s="948"/>
      <c r="S107" s="948"/>
      <c r="T107" s="948"/>
      <c r="U107" s="948"/>
      <c r="V107" s="948"/>
    </row>
    <row r="108" spans="1:22" s="420" customFormat="1" ht="34.5" customHeight="1">
      <c r="A108" s="452" t="e">
        <f>#REF!+1</f>
        <v>#REF!</v>
      </c>
      <c r="B108" s="453"/>
      <c r="C108" s="453"/>
      <c r="D108" s="937" t="str">
        <f>'BAGONG LIP.'!A128</f>
        <v>VI</v>
      </c>
      <c r="E108" s="938"/>
      <c r="F108" s="939" t="str">
        <f>'BAGONG LIP.'!B128</f>
        <v>PAINTING WORKS</v>
      </c>
      <c r="G108" s="940"/>
      <c r="H108" s="940"/>
      <c r="I108" s="940"/>
      <c r="J108" s="942">
        <f>'BAGONG LIP.'!D128</f>
        <v>171</v>
      </c>
      <c r="K108" s="942"/>
      <c r="L108" s="943" t="str">
        <f>'BAGONG LIP.'!E128</f>
        <v>sq.m.</v>
      </c>
      <c r="M108" s="944"/>
      <c r="N108" s="455">
        <f>'BAGONG LIP.'!G156</f>
        <v>304.32748538011697</v>
      </c>
      <c r="O108" s="945">
        <f t="shared" si="19"/>
        <v>52040</v>
      </c>
      <c r="P108" s="946"/>
      <c r="Q108" s="947">
        <f>O108-[3]DUPA!O250</f>
        <v>47519</v>
      </c>
      <c r="R108" s="948"/>
      <c r="S108" s="948"/>
      <c r="T108" s="948"/>
      <c r="U108" s="948"/>
      <c r="V108" s="948"/>
    </row>
    <row r="109" spans="1:22" s="420" customFormat="1" ht="34.5" customHeight="1">
      <c r="A109" s="452" t="e">
        <f>#REF!+1</f>
        <v>#REF!</v>
      </c>
      <c r="B109" s="453"/>
      <c r="C109" s="453"/>
      <c r="D109" s="937" t="str">
        <f>'BAGONG LIP.'!A158</f>
        <v>VII</v>
      </c>
      <c r="E109" s="938"/>
      <c r="F109" s="939" t="str">
        <f>'BAGONG LIP.'!B158</f>
        <v>PLUMBING AND TILE WORKS</v>
      </c>
      <c r="G109" s="940"/>
      <c r="H109" s="940"/>
      <c r="I109" s="940"/>
      <c r="J109" s="942">
        <f>'BAGONG LIP.'!D158</f>
        <v>1</v>
      </c>
      <c r="K109" s="942"/>
      <c r="L109" s="943" t="str">
        <f>'BAGONG LIP.'!E158</f>
        <v>l.s.</v>
      </c>
      <c r="M109" s="944"/>
      <c r="N109" s="455">
        <f>'BAGONG LIP.'!G193</f>
        <v>27850</v>
      </c>
      <c r="O109" s="945">
        <f t="shared" si="19"/>
        <v>27850</v>
      </c>
      <c r="P109" s="946"/>
      <c r="Q109" s="947">
        <f>O109-[3]DUPA!O251</f>
        <v>27850</v>
      </c>
      <c r="R109" s="948"/>
      <c r="S109" s="948"/>
      <c r="T109" s="948"/>
      <c r="U109" s="948"/>
      <c r="V109" s="948"/>
    </row>
    <row r="110" spans="1:22" s="420" customFormat="1" ht="34.5" customHeight="1">
      <c r="A110" s="452" t="e">
        <f>#REF!+1</f>
        <v>#REF!</v>
      </c>
      <c r="B110" s="453"/>
      <c r="C110" s="453"/>
      <c r="D110" s="937" t="str">
        <f>'BAGONG LIP.'!A195</f>
        <v>VIII</v>
      </c>
      <c r="E110" s="938"/>
      <c r="F110" s="939" t="str">
        <f>'BAGONG LIP.'!B195</f>
        <v>DOORS AND WINDOWS</v>
      </c>
      <c r="G110" s="940"/>
      <c r="H110" s="940"/>
      <c r="I110" s="940"/>
      <c r="J110" s="942">
        <f>'BAGONG LIP.'!D195</f>
        <v>4</v>
      </c>
      <c r="K110" s="942"/>
      <c r="L110" s="943" t="str">
        <f>'BAGONG LIP.'!E195</f>
        <v>units</v>
      </c>
      <c r="M110" s="944"/>
      <c r="N110" s="455">
        <f>'BAGONG LIP.'!G218</f>
        <v>11230.5</v>
      </c>
      <c r="O110" s="945">
        <f t="shared" si="19"/>
        <v>44922</v>
      </c>
      <c r="P110" s="946"/>
      <c r="Q110" s="947">
        <f>O110-[3]DUPA!O252</f>
        <v>44922</v>
      </c>
      <c r="R110" s="948"/>
      <c r="S110" s="948"/>
      <c r="T110" s="948"/>
      <c r="U110" s="948"/>
      <c r="V110" s="948"/>
    </row>
    <row r="111" spans="1:22" s="420" customFormat="1" ht="34.5" customHeight="1">
      <c r="A111" s="452" t="e">
        <f>#REF!+1</f>
        <v>#REF!</v>
      </c>
      <c r="B111" s="453"/>
      <c r="C111" s="453"/>
      <c r="D111" s="937" t="str">
        <f>'BAGONG LIP.'!A220</f>
        <v>IX</v>
      </c>
      <c r="E111" s="938"/>
      <c r="F111" s="939" t="str">
        <f>'BAGONG LIP.'!B220</f>
        <v>ELECTRICAL WORKS</v>
      </c>
      <c r="G111" s="940"/>
      <c r="H111" s="940"/>
      <c r="I111" s="940"/>
      <c r="J111" s="942">
        <f>'BAGONG LIP.'!D220</f>
        <v>1</v>
      </c>
      <c r="K111" s="942"/>
      <c r="L111" s="943" t="str">
        <f>'BAGONG LIP.'!E220</f>
        <v>l.s.</v>
      </c>
      <c r="M111" s="944"/>
      <c r="N111" s="455">
        <f>'BAGONG LIP.'!G253</f>
        <v>19055</v>
      </c>
      <c r="O111" s="945">
        <f t="shared" si="19"/>
        <v>19055</v>
      </c>
      <c r="P111" s="946"/>
      <c r="Q111" s="947">
        <f>O111-[3]DUPA!O253</f>
        <v>19055</v>
      </c>
      <c r="R111" s="948"/>
      <c r="S111" s="948"/>
      <c r="T111" s="948"/>
      <c r="U111" s="948"/>
      <c r="V111" s="948"/>
    </row>
    <row r="112" spans="1:22" s="420" customFormat="1" ht="34.5" customHeight="1">
      <c r="A112" s="452" t="e">
        <f>#REF!+1</f>
        <v>#REF!</v>
      </c>
      <c r="B112" s="453"/>
      <c r="C112" s="453"/>
      <c r="D112" s="937" t="str">
        <f>'BAGONG LIP.'!A255</f>
        <v>X</v>
      </c>
      <c r="E112" s="938"/>
      <c r="F112" s="939" t="str">
        <f>'BAGONG LIP.'!B255</f>
        <v>BILLBOARD</v>
      </c>
      <c r="G112" s="940"/>
      <c r="H112" s="940"/>
      <c r="I112" s="940"/>
      <c r="J112" s="942">
        <f>'BAGONG LIP.'!D255</f>
        <v>1</v>
      </c>
      <c r="K112" s="942"/>
      <c r="L112" s="943" t="str">
        <f>'BAGONG LIP.'!E255</f>
        <v>unit</v>
      </c>
      <c r="M112" s="944"/>
      <c r="N112" s="455">
        <f>'BAGONG LIP.'!G269</f>
        <v>2906</v>
      </c>
      <c r="O112" s="945">
        <f t="shared" si="19"/>
        <v>2906</v>
      </c>
      <c r="P112" s="946"/>
      <c r="Q112" s="947">
        <f>O112-[3]DUPA!O254</f>
        <v>2906</v>
      </c>
      <c r="R112" s="948"/>
      <c r="S112" s="948"/>
      <c r="T112" s="948"/>
      <c r="U112" s="948"/>
      <c r="V112" s="948"/>
    </row>
    <row r="113" spans="1:22" s="420" customFormat="1" ht="34.5" customHeight="1">
      <c r="A113" s="452" t="e">
        <f>#REF!+1</f>
        <v>#REF!</v>
      </c>
      <c r="B113" s="453"/>
      <c r="C113" s="453"/>
      <c r="D113" s="937" t="str">
        <f>'BAGONG LIP.'!A271</f>
        <v>XI</v>
      </c>
      <c r="E113" s="938"/>
      <c r="F113" s="939" t="str">
        <f>'BAGONG LIP.'!B271</f>
        <v>CEILING WORKS</v>
      </c>
      <c r="G113" s="940"/>
      <c r="H113" s="940"/>
      <c r="I113" s="940"/>
      <c r="J113" s="942">
        <f>'BAGONG LIP.'!D271</f>
        <v>99</v>
      </c>
      <c r="K113" s="942"/>
      <c r="L113" s="943" t="str">
        <f>'BAGONG LIP.'!E271</f>
        <v>sq.m.</v>
      </c>
      <c r="M113" s="944"/>
      <c r="N113" s="455">
        <f>'BAGONG LIP.'!G292</f>
        <v>551.85353535353534</v>
      </c>
      <c r="O113" s="945">
        <f t="shared" si="19"/>
        <v>54633.5</v>
      </c>
      <c r="P113" s="946"/>
      <c r="Q113" s="947">
        <f>O113-[3]DUPA!O255</f>
        <v>43593.5</v>
      </c>
      <c r="R113" s="948"/>
      <c r="S113" s="948"/>
      <c r="T113" s="948"/>
      <c r="U113" s="948"/>
      <c r="V113" s="948"/>
    </row>
    <row r="114" spans="1:22" s="420" customFormat="1" ht="34.5" customHeight="1">
      <c r="A114" s="452" t="e">
        <f>#REF!+1</f>
        <v>#REF!</v>
      </c>
      <c r="B114" s="453"/>
      <c r="C114" s="453"/>
      <c r="D114" s="937" t="str">
        <f>'BAGONG LIP.'!A327</f>
        <v>XII</v>
      </c>
      <c r="E114" s="938"/>
      <c r="F114" s="939" t="str">
        <f>'BAGONG LIP.'!B327</f>
        <v>STEEL WORKS</v>
      </c>
      <c r="G114" s="940"/>
      <c r="H114" s="940"/>
      <c r="I114" s="940"/>
      <c r="J114" s="942">
        <f>'BAGONG LIP.'!D327</f>
        <v>1</v>
      </c>
      <c r="K114" s="942"/>
      <c r="L114" s="943" t="str">
        <f>'BAGONG LIP.'!E327</f>
        <v>lot</v>
      </c>
      <c r="M114" s="944"/>
      <c r="N114" s="455">
        <f>'BAGONG LIP.'!G348</f>
        <v>42613.5</v>
      </c>
      <c r="O114" s="945">
        <f t="shared" si="19"/>
        <v>42613.5</v>
      </c>
      <c r="P114" s="946"/>
      <c r="Q114" s="947" t="e">
        <f>O114-[3]DUPA!O256</f>
        <v>#VALUE!</v>
      </c>
      <c r="R114" s="948"/>
      <c r="S114" s="948"/>
      <c r="T114" s="948"/>
      <c r="U114" s="948"/>
      <c r="V114" s="948"/>
    </row>
    <row r="115" spans="1:22" s="420" customFormat="1" ht="34.5" customHeight="1">
      <c r="A115" s="452" t="e">
        <f>#REF!+1</f>
        <v>#REF!</v>
      </c>
      <c r="B115" s="453"/>
      <c r="C115" s="453"/>
      <c r="D115" s="990" t="s">
        <v>1338</v>
      </c>
      <c r="E115" s="991"/>
      <c r="F115" s="991"/>
      <c r="G115" s="991"/>
      <c r="H115" s="991"/>
      <c r="I115" s="991"/>
      <c r="J115" s="991"/>
      <c r="K115" s="991"/>
      <c r="L115" s="991"/>
      <c r="M115" s="991"/>
      <c r="N115" s="992"/>
      <c r="O115" s="993">
        <f>SUM(O103:P114)</f>
        <v>405719.76199999999</v>
      </c>
      <c r="P115" s="994"/>
      <c r="Q115" s="458">
        <f>O115-'BAGONG LIP.'!G115</f>
        <v>405119.76199999999</v>
      </c>
    </row>
    <row r="116" spans="1:22" s="420" customFormat="1" ht="34.5" customHeight="1">
      <c r="A116" s="452">
        <v>1</v>
      </c>
      <c r="B116" s="453"/>
      <c r="C116" s="453"/>
      <c r="D116" s="995" t="str">
        <f>MPDP!B6</f>
        <v>CONSTRUCTION OF SEPTIC TANK</v>
      </c>
      <c r="E116" s="996"/>
      <c r="F116" s="996"/>
      <c r="G116" s="996"/>
      <c r="H116" s="996"/>
      <c r="I116" s="996"/>
      <c r="J116" s="996"/>
      <c r="K116" s="996"/>
      <c r="L116" s="996"/>
      <c r="M116" s="996"/>
      <c r="N116" s="996"/>
      <c r="O116" s="996"/>
      <c r="P116" s="997"/>
      <c r="Q116" s="947">
        <f>O116-[3]DUPA!O102</f>
        <v>0</v>
      </c>
      <c r="R116" s="948"/>
      <c r="S116" s="948"/>
      <c r="T116" s="948"/>
      <c r="U116" s="948"/>
      <c r="V116" s="948"/>
    </row>
    <row r="117" spans="1:22" s="420" customFormat="1" ht="34.5" customHeight="1">
      <c r="A117" s="452" t="e">
        <f>#REF!+1</f>
        <v>#REF!</v>
      </c>
      <c r="B117" s="453"/>
      <c r="C117" s="453"/>
      <c r="D117" s="937">
        <f>MPDP!A103</f>
        <v>0</v>
      </c>
      <c r="E117" s="938"/>
      <c r="F117" s="939">
        <f>MPDP!B103</f>
        <v>0</v>
      </c>
      <c r="G117" s="940"/>
      <c r="H117" s="940"/>
      <c r="I117" s="940"/>
      <c r="J117" s="941">
        <f>MPDP!D103</f>
        <v>0</v>
      </c>
      <c r="K117" s="942"/>
      <c r="L117" s="943">
        <f>MPDP!E103</f>
        <v>0</v>
      </c>
      <c r="M117" s="944"/>
      <c r="N117" s="455" t="e">
        <f>MPDP!#REF!</f>
        <v>#REF!</v>
      </c>
      <c r="O117" s="945" t="e">
        <f t="shared" ref="O117" si="20">J117*N117</f>
        <v>#REF!</v>
      </c>
      <c r="P117" s="946"/>
      <c r="Q117" s="947" t="e">
        <f>O117-[3]DUPA!O178</f>
        <v>#REF!</v>
      </c>
      <c r="R117" s="948"/>
      <c r="S117" s="948"/>
      <c r="T117" s="948"/>
      <c r="U117" s="948"/>
      <c r="V117" s="948"/>
    </row>
    <row r="118" spans="1:22" s="420" customFormat="1" ht="34.5" customHeight="1">
      <c r="A118" s="452" t="e">
        <f>#REF!+1</f>
        <v>#REF!</v>
      </c>
      <c r="B118" s="453"/>
      <c r="C118" s="453"/>
      <c r="D118" s="937" t="e">
        <f>MPDP!#REF!</f>
        <v>#REF!</v>
      </c>
      <c r="E118" s="938"/>
      <c r="F118" s="939" t="e">
        <f>MPDP!#REF!</f>
        <v>#REF!</v>
      </c>
      <c r="G118" s="940"/>
      <c r="H118" s="940"/>
      <c r="I118" s="940"/>
      <c r="J118" s="941" t="e">
        <f>MPDP!#REF!</f>
        <v>#REF!</v>
      </c>
      <c r="K118" s="942"/>
      <c r="L118" s="943" t="e">
        <f>MPDP!#REF!</f>
        <v>#REF!</v>
      </c>
      <c r="M118" s="944"/>
      <c r="N118" s="455" t="e">
        <f>MPDP!#REF!</f>
        <v>#REF!</v>
      </c>
      <c r="O118" s="945" t="e">
        <f t="shared" ref="O118:O125" si="21">J118*N118</f>
        <v>#REF!</v>
      </c>
      <c r="P118" s="946"/>
      <c r="Q118" s="947" t="e">
        <f>O118-[3]DUPA!O179</f>
        <v>#REF!</v>
      </c>
      <c r="R118" s="948"/>
      <c r="S118" s="948"/>
      <c r="T118" s="948"/>
      <c r="U118" s="948"/>
      <c r="V118" s="948"/>
    </row>
    <row r="119" spans="1:22" s="420" customFormat="1" ht="34.5" customHeight="1">
      <c r="A119" s="452" t="e">
        <f>#REF!+1</f>
        <v>#REF!</v>
      </c>
      <c r="B119" s="453"/>
      <c r="C119" s="453"/>
      <c r="D119" s="937" t="e">
        <f>MPDP!#REF!</f>
        <v>#REF!</v>
      </c>
      <c r="E119" s="938"/>
      <c r="F119" s="939" t="e">
        <f>MPDP!#REF!</f>
        <v>#REF!</v>
      </c>
      <c r="G119" s="940"/>
      <c r="H119" s="940"/>
      <c r="I119" s="940"/>
      <c r="J119" s="941" t="e">
        <f>MPDP!#REF!</f>
        <v>#REF!</v>
      </c>
      <c r="K119" s="942"/>
      <c r="L119" s="943" t="e">
        <f>MPDP!#REF!</f>
        <v>#REF!</v>
      </c>
      <c r="M119" s="944"/>
      <c r="N119" s="455" t="e">
        <f>MPDP!#REF!</f>
        <v>#REF!</v>
      </c>
      <c r="O119" s="945" t="e">
        <f t="shared" si="21"/>
        <v>#REF!</v>
      </c>
      <c r="P119" s="946"/>
      <c r="Q119" s="947" t="e">
        <f>O119-[3]DUPA!O180</f>
        <v>#REF!</v>
      </c>
      <c r="R119" s="948"/>
      <c r="S119" s="948"/>
      <c r="T119" s="948"/>
      <c r="U119" s="948"/>
      <c r="V119" s="948"/>
    </row>
    <row r="120" spans="1:22" s="420" customFormat="1" ht="34.5" customHeight="1">
      <c r="A120" s="452" t="e">
        <f>#REF!+1</f>
        <v>#REF!</v>
      </c>
      <c r="B120" s="453"/>
      <c r="C120" s="453"/>
      <c r="D120" s="937" t="e">
        <f>MPDP!#REF!</f>
        <v>#REF!</v>
      </c>
      <c r="E120" s="938"/>
      <c r="F120" s="939" t="e">
        <f>MPDP!#REF!</f>
        <v>#REF!</v>
      </c>
      <c r="G120" s="940"/>
      <c r="H120" s="940"/>
      <c r="I120" s="940"/>
      <c r="J120" s="941" t="e">
        <f>MPDP!#REF!</f>
        <v>#REF!</v>
      </c>
      <c r="K120" s="942"/>
      <c r="L120" s="943" t="e">
        <f>MPDP!#REF!</f>
        <v>#REF!</v>
      </c>
      <c r="M120" s="944"/>
      <c r="N120" s="455" t="e">
        <f>MPDP!#REF!</f>
        <v>#REF!</v>
      </c>
      <c r="O120" s="945" t="e">
        <f t="shared" si="21"/>
        <v>#REF!</v>
      </c>
      <c r="P120" s="946"/>
      <c r="Q120" s="947" t="e">
        <f>O120-[3]DUPA!O181</f>
        <v>#REF!</v>
      </c>
      <c r="R120" s="948"/>
      <c r="S120" s="948"/>
      <c r="T120" s="948"/>
      <c r="U120" s="948"/>
      <c r="V120" s="948"/>
    </row>
    <row r="121" spans="1:22" s="420" customFormat="1" ht="34.5" customHeight="1">
      <c r="A121" s="452" t="e">
        <f>#REF!+1</f>
        <v>#REF!</v>
      </c>
      <c r="B121" s="453"/>
      <c r="C121" s="453"/>
      <c r="D121" s="937" t="e">
        <f>MPDP!#REF!</f>
        <v>#REF!</v>
      </c>
      <c r="E121" s="938"/>
      <c r="F121" s="939" t="e">
        <f>MPDP!#REF!</f>
        <v>#REF!</v>
      </c>
      <c r="G121" s="940"/>
      <c r="H121" s="940"/>
      <c r="I121" s="940"/>
      <c r="J121" s="941" t="e">
        <f>MPDP!#REF!</f>
        <v>#REF!</v>
      </c>
      <c r="K121" s="942"/>
      <c r="L121" s="943" t="e">
        <f>MPDP!#REF!</f>
        <v>#REF!</v>
      </c>
      <c r="M121" s="944"/>
      <c r="N121" s="455" t="e">
        <f>MPDP!#REF!</f>
        <v>#REF!</v>
      </c>
      <c r="O121" s="945" t="e">
        <f t="shared" si="21"/>
        <v>#REF!</v>
      </c>
      <c r="P121" s="946"/>
      <c r="Q121" s="947" t="e">
        <f>O121-[3]DUPA!O182</f>
        <v>#REF!</v>
      </c>
      <c r="R121" s="948"/>
      <c r="S121" s="948"/>
      <c r="T121" s="948"/>
      <c r="U121" s="948"/>
      <c r="V121" s="948"/>
    </row>
    <row r="122" spans="1:22" s="420" customFormat="1" ht="34.5" customHeight="1">
      <c r="A122" s="452" t="e">
        <f>#REF!+1</f>
        <v>#REF!</v>
      </c>
      <c r="B122" s="453"/>
      <c r="C122" s="453"/>
      <c r="D122" s="937" t="e">
        <f>MPDP!#REF!</f>
        <v>#REF!</v>
      </c>
      <c r="E122" s="938"/>
      <c r="F122" s="939" t="e">
        <f>MPDP!#REF!</f>
        <v>#REF!</v>
      </c>
      <c r="G122" s="940"/>
      <c r="H122" s="940"/>
      <c r="I122" s="940"/>
      <c r="J122" s="941" t="e">
        <f>MPDP!#REF!</f>
        <v>#REF!</v>
      </c>
      <c r="K122" s="942"/>
      <c r="L122" s="943" t="e">
        <f>MPDP!#REF!</f>
        <v>#REF!</v>
      </c>
      <c r="M122" s="944"/>
      <c r="N122" s="455" t="e">
        <f>MPDP!#REF!</f>
        <v>#REF!</v>
      </c>
      <c r="O122" s="945" t="e">
        <f t="shared" si="21"/>
        <v>#REF!</v>
      </c>
      <c r="P122" s="946"/>
      <c r="Q122" s="947" t="e">
        <f>O122-[3]DUPA!O183</f>
        <v>#REF!</v>
      </c>
      <c r="R122" s="948"/>
      <c r="S122" s="948"/>
      <c r="T122" s="948"/>
      <c r="U122" s="948"/>
      <c r="V122" s="948"/>
    </row>
    <row r="123" spans="1:22" s="420" customFormat="1" ht="34.5" customHeight="1">
      <c r="A123" s="452" t="e">
        <f>#REF!+1</f>
        <v>#REF!</v>
      </c>
      <c r="B123" s="453"/>
      <c r="C123" s="453"/>
      <c r="D123" s="937" t="e">
        <f>MPDP!#REF!</f>
        <v>#REF!</v>
      </c>
      <c r="E123" s="938"/>
      <c r="F123" s="939" t="e">
        <f>MPDP!#REF!</f>
        <v>#REF!</v>
      </c>
      <c r="G123" s="940"/>
      <c r="H123" s="940"/>
      <c r="I123" s="940"/>
      <c r="J123" s="941" t="e">
        <f>MPDP!#REF!</f>
        <v>#REF!</v>
      </c>
      <c r="K123" s="942"/>
      <c r="L123" s="943" t="e">
        <f>MPDP!#REF!</f>
        <v>#REF!</v>
      </c>
      <c r="M123" s="944"/>
      <c r="N123" s="455" t="e">
        <f>MPDP!#REF!</f>
        <v>#REF!</v>
      </c>
      <c r="O123" s="945" t="e">
        <f t="shared" si="21"/>
        <v>#REF!</v>
      </c>
      <c r="P123" s="946"/>
      <c r="Q123" s="947" t="e">
        <f>O123-[3]DUPA!O184</f>
        <v>#REF!</v>
      </c>
      <c r="R123" s="948"/>
      <c r="S123" s="948"/>
      <c r="T123" s="948"/>
      <c r="U123" s="948"/>
      <c r="V123" s="948"/>
    </row>
    <row r="124" spans="1:22" s="420" customFormat="1" ht="34.5" customHeight="1">
      <c r="A124" s="452" t="e">
        <f>#REF!+1</f>
        <v>#REF!</v>
      </c>
      <c r="B124" s="453"/>
      <c r="C124" s="453"/>
      <c r="D124" s="937" t="e">
        <f>MPDP!#REF!</f>
        <v>#REF!</v>
      </c>
      <c r="E124" s="938"/>
      <c r="F124" s="939" t="e">
        <f>MPDP!#REF!</f>
        <v>#REF!</v>
      </c>
      <c r="G124" s="940"/>
      <c r="H124" s="940"/>
      <c r="I124" s="940"/>
      <c r="J124" s="941" t="e">
        <f>MPDP!#REF!</f>
        <v>#REF!</v>
      </c>
      <c r="K124" s="942"/>
      <c r="L124" s="943" t="e">
        <f>MPDP!#REF!</f>
        <v>#REF!</v>
      </c>
      <c r="M124" s="944"/>
      <c r="N124" s="455" t="e">
        <f>MPDP!#REF!</f>
        <v>#REF!</v>
      </c>
      <c r="O124" s="945" t="e">
        <f t="shared" si="21"/>
        <v>#REF!</v>
      </c>
      <c r="P124" s="946"/>
      <c r="Q124" s="947" t="e">
        <f>O124-[3]DUPA!O185</f>
        <v>#REF!</v>
      </c>
      <c r="R124" s="948"/>
      <c r="S124" s="948"/>
      <c r="T124" s="948"/>
      <c r="U124" s="948"/>
      <c r="V124" s="948"/>
    </row>
    <row r="125" spans="1:22" s="420" customFormat="1" ht="34.5" customHeight="1">
      <c r="A125" s="452" t="e">
        <f>#REF!+1</f>
        <v>#REF!</v>
      </c>
      <c r="B125" s="453"/>
      <c r="C125" s="453"/>
      <c r="D125" s="937" t="str">
        <f>MPDP!A147</f>
        <v>VIII</v>
      </c>
      <c r="E125" s="938"/>
      <c r="F125" s="939" t="str">
        <f>MPDP!B147</f>
        <v>BILLBOARD</v>
      </c>
      <c r="G125" s="940"/>
      <c r="H125" s="940"/>
      <c r="I125" s="940"/>
      <c r="J125" s="941">
        <f>MPDP!D147</f>
        <v>1</v>
      </c>
      <c r="K125" s="942"/>
      <c r="L125" s="943" t="str">
        <f>MPDP!E147</f>
        <v>unit</v>
      </c>
      <c r="M125" s="944"/>
      <c r="N125" s="455">
        <f>MPDP!G161</f>
        <v>2969.8</v>
      </c>
      <c r="O125" s="945">
        <f t="shared" si="21"/>
        <v>2969.8</v>
      </c>
      <c r="P125" s="946"/>
      <c r="Q125" s="947">
        <f>O125-[3]DUPA!O186</f>
        <v>2969.8</v>
      </c>
      <c r="R125" s="948"/>
      <c r="S125" s="948"/>
      <c r="T125" s="948"/>
      <c r="U125" s="948"/>
      <c r="V125" s="948"/>
    </row>
    <row r="126" spans="1:22" s="420" customFormat="1" ht="34.5" customHeight="1">
      <c r="A126" s="452" t="e">
        <f>#REF!+1</f>
        <v>#REF!</v>
      </c>
      <c r="B126" s="453"/>
      <c r="C126" s="453"/>
      <c r="D126" s="990" t="s">
        <v>1338</v>
      </c>
      <c r="E126" s="991"/>
      <c r="F126" s="991"/>
      <c r="G126" s="991"/>
      <c r="H126" s="991"/>
      <c r="I126" s="991"/>
      <c r="J126" s="991"/>
      <c r="K126" s="991"/>
      <c r="L126" s="991"/>
      <c r="M126" s="991"/>
      <c r="N126" s="992"/>
      <c r="O126" s="993" t="e">
        <f>SUM(O117:P125)</f>
        <v>#REF!</v>
      </c>
      <c r="P126" s="994"/>
      <c r="Q126" s="458" t="e">
        <f>O126-MPDP!#REF!</f>
        <v>#REF!</v>
      </c>
    </row>
    <row r="127" spans="1:22" s="420" customFormat="1" ht="34.5" customHeight="1">
      <c r="A127" s="430"/>
      <c r="B127" s="430"/>
      <c r="C127" s="430"/>
      <c r="D127" s="989" t="s">
        <v>1339</v>
      </c>
      <c r="E127" s="989"/>
      <c r="F127" s="989"/>
      <c r="G127" s="989"/>
      <c r="H127" s="989"/>
      <c r="I127" s="989"/>
      <c r="J127" s="989"/>
      <c r="K127" s="989"/>
      <c r="L127" s="989"/>
      <c r="M127" s="989"/>
      <c r="N127" s="989"/>
      <c r="O127" s="989"/>
      <c r="P127" s="989"/>
    </row>
    <row r="128" spans="1:22" s="420" customFormat="1" ht="34.5" customHeight="1">
      <c r="D128" s="757" t="s">
        <v>1340</v>
      </c>
      <c r="E128" s="425" t="s">
        <v>1341</v>
      </c>
      <c r="F128" s="425"/>
      <c r="G128" s="425"/>
      <c r="H128" s="982">
        <f>SUM(BADAC!G351,'SAN FRAN BO4'!G294,'BAGONG LIP.'!G351,MPDP!G164)</f>
        <v>538520.08000000007</v>
      </c>
      <c r="I128" s="982"/>
      <c r="J128" s="982"/>
      <c r="K128" s="469" t="s">
        <v>295</v>
      </c>
      <c r="L128" s="470" t="s">
        <v>1342</v>
      </c>
      <c r="M128" s="425" t="s">
        <v>1343</v>
      </c>
      <c r="N128" s="471"/>
      <c r="O128" s="983" t="e">
        <f>SUM(O126,O115,O101,O88)</f>
        <v>#REF!</v>
      </c>
      <c r="P128" s="983"/>
      <c r="Q128" s="477"/>
    </row>
    <row r="129" spans="1:19" s="420" customFormat="1" ht="34.5" customHeight="1">
      <c r="A129" s="423"/>
      <c r="B129" s="423"/>
      <c r="C129" s="423"/>
      <c r="D129" s="757" t="s">
        <v>1344</v>
      </c>
      <c r="E129" s="425" t="s">
        <v>1345</v>
      </c>
      <c r="F129" s="425"/>
      <c r="G129" s="425"/>
      <c r="H129" s="983">
        <f>SUM(BADAC!G350,'SAN FRAN BO4'!G293,'BAGONG LIP.'!G350,MPDP!G163)</f>
        <v>1047199.6869999999</v>
      </c>
      <c r="I129" s="983"/>
      <c r="J129" s="983"/>
      <c r="K129" s="469"/>
      <c r="L129" s="470" t="s">
        <v>1346</v>
      </c>
      <c r="M129" s="425" t="s">
        <v>1347</v>
      </c>
      <c r="N129" s="442"/>
      <c r="O129" s="442"/>
      <c r="P129" s="442"/>
      <c r="Q129" s="420">
        <f>0.01*3720165.54</f>
        <v>37201.655400000003</v>
      </c>
    </row>
    <row r="130" spans="1:19" s="420" customFormat="1" ht="34.5" customHeight="1">
      <c r="A130" s="423"/>
      <c r="B130" s="423"/>
      <c r="C130" s="423"/>
      <c r="D130" s="757" t="s">
        <v>1348</v>
      </c>
      <c r="E130" s="425" t="s">
        <v>1349</v>
      </c>
      <c r="F130" s="425"/>
      <c r="G130" s="425"/>
      <c r="H130" s="984"/>
      <c r="I130" s="984"/>
      <c r="J130" s="984"/>
      <c r="K130" s="469"/>
      <c r="L130" s="470" t="s">
        <v>1350</v>
      </c>
      <c r="M130" s="425" t="s">
        <v>1351</v>
      </c>
      <c r="N130" s="442"/>
      <c r="O130" s="442"/>
      <c r="P130" s="442"/>
    </row>
    <row r="131" spans="1:19" s="420" customFormat="1" ht="34.5" customHeight="1">
      <c r="A131" s="423"/>
      <c r="B131" s="423"/>
      <c r="C131" s="423"/>
      <c r="D131" s="425">
        <v>4</v>
      </c>
      <c r="E131" s="425" t="s">
        <v>1352</v>
      </c>
      <c r="F131" s="425"/>
      <c r="G131" s="425"/>
      <c r="H131" s="985"/>
      <c r="I131" s="985"/>
      <c r="J131" s="985"/>
      <c r="K131" s="469"/>
      <c r="L131" s="470" t="s">
        <v>1353</v>
      </c>
      <c r="M131" s="425" t="s">
        <v>1354</v>
      </c>
      <c r="O131" s="442"/>
      <c r="P131" s="442"/>
      <c r="Q131" s="986" t="e">
        <f>0.03*#REF!</f>
        <v>#REF!</v>
      </c>
      <c r="R131" s="986"/>
      <c r="S131" s="986"/>
    </row>
    <row r="132" spans="1:19" s="420" customFormat="1" ht="34.5" customHeight="1">
      <c r="A132" s="423"/>
      <c r="B132" s="423"/>
      <c r="C132" s="423"/>
      <c r="D132" s="425">
        <v>5</v>
      </c>
      <c r="E132" s="425" t="s">
        <v>1355</v>
      </c>
      <c r="F132" s="425"/>
      <c r="G132" s="425"/>
      <c r="H132" s="983">
        <f>SUM(H128:J129)</f>
        <v>1585719.767</v>
      </c>
      <c r="I132" s="983"/>
      <c r="J132" s="983"/>
      <c r="K132" s="472"/>
      <c r="L132" s="470"/>
      <c r="M132" s="425" t="s">
        <v>1356</v>
      </c>
      <c r="N132" s="442"/>
      <c r="O132" s="442"/>
      <c r="P132" s="442"/>
      <c r="Q132" s="477"/>
    </row>
    <row r="133" spans="1:19" s="420" customFormat="1" ht="34.5" customHeight="1">
      <c r="A133" s="423"/>
      <c r="B133" s="423"/>
      <c r="C133" s="423"/>
      <c r="D133" s="425">
        <v>6</v>
      </c>
      <c r="E133" s="459" t="s">
        <v>1328</v>
      </c>
      <c r="F133" s="459"/>
      <c r="G133" s="459"/>
      <c r="H133" s="460"/>
      <c r="I133" s="987">
        <f>H132</f>
        <v>1585719.767</v>
      </c>
      <c r="J133" s="987"/>
      <c r="K133" s="472"/>
      <c r="L133" s="470" t="s">
        <v>1357</v>
      </c>
      <c r="M133" s="957" t="s">
        <v>1358</v>
      </c>
      <c r="N133" s="957"/>
      <c r="O133" s="957"/>
      <c r="P133" s="957"/>
      <c r="Q133" s="477"/>
    </row>
    <row r="134" spans="1:19" s="420" customFormat="1" ht="11.25" customHeight="1">
      <c r="A134" s="423"/>
      <c r="B134" s="423"/>
      <c r="C134" s="423"/>
      <c r="D134" s="425"/>
      <c r="E134" s="425"/>
      <c r="F134" s="425"/>
      <c r="G134" s="425"/>
      <c r="H134" s="988"/>
      <c r="I134" s="988"/>
      <c r="J134" s="988"/>
      <c r="K134" s="472"/>
      <c r="M134" s="957"/>
      <c r="N134" s="957"/>
      <c r="O134" s="957"/>
      <c r="P134" s="957"/>
      <c r="Q134" s="478"/>
    </row>
    <row r="135" spans="1:19" s="420" customFormat="1" ht="14.25" hidden="1" customHeight="1">
      <c r="A135" s="423"/>
      <c r="B135" s="423"/>
      <c r="C135" s="423"/>
      <c r="D135" s="425"/>
      <c r="E135" s="425"/>
      <c r="F135" s="425"/>
      <c r="G135" s="425"/>
      <c r="H135" s="977"/>
      <c r="I135" s="977"/>
      <c r="J135" s="977"/>
      <c r="K135" s="472"/>
      <c r="M135" s="958"/>
      <c r="N135" s="958"/>
      <c r="O135" s="958"/>
      <c r="P135" s="958"/>
      <c r="Q135" s="479">
        <f>H128/H129</f>
        <v>0.51424774728757161</v>
      </c>
    </row>
    <row r="136" spans="1:19" s="420" customFormat="1" ht="27" customHeight="1">
      <c r="A136" s="423"/>
      <c r="B136" s="423"/>
      <c r="C136" s="423"/>
      <c r="D136" s="425"/>
      <c r="E136" s="425"/>
      <c r="F136" s="461"/>
      <c r="G136" s="425"/>
      <c r="H136" s="978"/>
      <c r="I136" s="978"/>
      <c r="J136" s="978"/>
      <c r="K136" s="469"/>
      <c r="L136" s="955" t="s">
        <v>1359</v>
      </c>
      <c r="M136" s="973" t="s">
        <v>1360</v>
      </c>
      <c r="N136" s="973"/>
      <c r="O136" s="975" t="e">
        <f>O128</f>
        <v>#REF!</v>
      </c>
      <c r="P136" s="975"/>
    </row>
    <row r="137" spans="1:19" s="420" customFormat="1" ht="27" customHeight="1">
      <c r="A137" s="423"/>
      <c r="B137" s="423"/>
      <c r="C137" s="423"/>
      <c r="D137" s="425"/>
      <c r="E137" s="425"/>
      <c r="F137" s="425"/>
      <c r="G137" s="425"/>
      <c r="H137" s="977"/>
      <c r="I137" s="977"/>
      <c r="J137" s="977"/>
      <c r="K137" s="469"/>
      <c r="L137" s="956"/>
      <c r="M137" s="974"/>
      <c r="N137" s="974"/>
      <c r="O137" s="976"/>
      <c r="P137" s="976"/>
      <c r="Q137" s="480">
        <f>250000/62500</f>
        <v>4</v>
      </c>
      <c r="S137" s="481" t="e">
        <f>I133-O136</f>
        <v>#REF!</v>
      </c>
    </row>
    <row r="138" spans="1:19" s="420" customFormat="1" ht="41.1" customHeight="1">
      <c r="A138" s="463"/>
      <c r="B138" s="463"/>
      <c r="C138" s="464"/>
      <c r="D138" s="425" t="s">
        <v>1361</v>
      </c>
      <c r="E138" s="425"/>
      <c r="F138" s="425"/>
      <c r="G138" s="465"/>
      <c r="I138" s="462" t="s">
        <v>1362</v>
      </c>
      <c r="J138" s="462"/>
      <c r="M138" s="462"/>
      <c r="N138" s="462" t="s">
        <v>1363</v>
      </c>
      <c r="P138" s="440"/>
    </row>
    <row r="139" spans="1:19" s="420" customFormat="1" ht="41.1" customHeight="1">
      <c r="A139" s="463"/>
      <c r="B139" s="463"/>
      <c r="C139" s="464"/>
      <c r="D139" s="425"/>
      <c r="E139" s="425"/>
      <c r="F139" s="425"/>
      <c r="G139" s="465"/>
      <c r="I139" s="425"/>
      <c r="J139" s="462"/>
      <c r="M139" s="462"/>
      <c r="P139" s="440"/>
    </row>
    <row r="140" spans="1:19" s="420" customFormat="1" ht="41.1" customHeight="1">
      <c r="A140" s="463"/>
      <c r="B140" s="463"/>
      <c r="C140" s="464"/>
      <c r="D140" s="949" t="s">
        <v>1364</v>
      </c>
      <c r="E140" s="979"/>
      <c r="F140" s="979"/>
      <c r="G140" s="979"/>
      <c r="H140" s="979"/>
      <c r="I140" s="980" t="s">
        <v>1671</v>
      </c>
      <c r="J140" s="981"/>
      <c r="K140" s="981"/>
      <c r="L140" s="473"/>
      <c r="M140" s="473"/>
      <c r="N140" s="981" t="s">
        <v>1365</v>
      </c>
      <c r="O140" s="981"/>
      <c r="P140" s="981"/>
    </row>
    <row r="141" spans="1:19" s="420" customFormat="1" ht="41.1" customHeight="1">
      <c r="A141" s="950" t="s">
        <v>1366</v>
      </c>
      <c r="B141" s="950"/>
      <c r="C141" s="950"/>
      <c r="D141" s="950"/>
      <c r="E141" s="950"/>
      <c r="F141" s="950"/>
      <c r="G141" s="950"/>
      <c r="H141" s="950"/>
      <c r="I141" s="950" t="s">
        <v>1367</v>
      </c>
      <c r="J141" s="950"/>
      <c r="K141" s="950"/>
      <c r="N141" s="950" t="s">
        <v>1368</v>
      </c>
      <c r="O141" s="950"/>
      <c r="P141" s="950"/>
    </row>
    <row r="142" spans="1:19" s="420" customFormat="1" ht="41.1" customHeight="1">
      <c r="A142" s="463"/>
      <c r="B142" s="463"/>
      <c r="C142" s="464"/>
      <c r="D142" s="425" t="s">
        <v>1299</v>
      </c>
      <c r="E142" s="465"/>
      <c r="G142" s="465"/>
      <c r="H142" s="465"/>
      <c r="I142" s="425" t="s">
        <v>1369</v>
      </c>
      <c r="K142" s="425"/>
      <c r="L142" s="425"/>
      <c r="M142" s="462"/>
      <c r="O142" s="472"/>
      <c r="P142" s="472"/>
    </row>
    <row r="143" spans="1:19" s="420" customFormat="1" ht="41.1" customHeight="1">
      <c r="A143" s="463"/>
      <c r="B143" s="463"/>
      <c r="C143" s="464"/>
      <c r="D143" s="425"/>
      <c r="E143" s="465"/>
      <c r="G143" s="465"/>
      <c r="H143" s="465"/>
      <c r="K143" s="425"/>
      <c r="L143" s="425"/>
      <c r="M143" s="462"/>
      <c r="N143" s="425"/>
      <c r="O143" s="472"/>
      <c r="P143" s="472"/>
    </row>
    <row r="144" spans="1:19" s="420" customFormat="1" ht="41.1" customHeight="1">
      <c r="A144" s="463"/>
      <c r="B144" s="463"/>
      <c r="D144" s="949" t="s">
        <v>1370</v>
      </c>
      <c r="E144" s="949"/>
      <c r="F144" s="949"/>
      <c r="G144" s="949"/>
      <c r="J144" s="474" t="s">
        <v>1371</v>
      </c>
      <c r="L144" s="473"/>
      <c r="M144" s="473"/>
    </row>
    <row r="145" spans="1:16" s="420" customFormat="1" ht="41.1" customHeight="1">
      <c r="A145" s="463" t="s">
        <v>1372</v>
      </c>
      <c r="B145" s="463"/>
      <c r="D145" s="950" t="s">
        <v>1373</v>
      </c>
      <c r="E145" s="950"/>
      <c r="F145" s="950"/>
      <c r="G145" s="950"/>
      <c r="I145" s="457"/>
      <c r="J145" s="467" t="s">
        <v>1374</v>
      </c>
      <c r="K145" s="475"/>
      <c r="L145" s="475"/>
      <c r="M145" s="475"/>
    </row>
    <row r="147" spans="1:16" s="420" customFormat="1" ht="41.1" customHeight="1">
      <c r="A147" s="423"/>
      <c r="B147" s="423"/>
      <c r="C147" s="423"/>
      <c r="D147" s="425"/>
      <c r="E147" s="425"/>
      <c r="F147" s="425"/>
      <c r="G147" s="425"/>
      <c r="H147" s="468"/>
      <c r="I147" s="476"/>
      <c r="J147" s="476"/>
      <c r="K147" s="472"/>
      <c r="L147" s="472"/>
      <c r="M147" s="425"/>
      <c r="N147" s="472"/>
      <c r="O147" s="472"/>
      <c r="P147" s="472"/>
    </row>
    <row r="148" spans="1:16" s="420" customFormat="1" ht="41.1" customHeight="1">
      <c r="A148" s="423"/>
      <c r="B148" s="423"/>
      <c r="C148" s="423"/>
      <c r="D148" s="425"/>
      <c r="E148" s="425"/>
      <c r="F148" s="425"/>
      <c r="G148" s="425"/>
      <c r="H148" s="468"/>
      <c r="I148" s="476"/>
      <c r="J148" s="476"/>
      <c r="K148" s="472"/>
      <c r="L148" s="472"/>
      <c r="M148" s="425"/>
      <c r="N148" s="472"/>
      <c r="O148" s="472"/>
      <c r="P148" s="472"/>
    </row>
    <row r="149" spans="1:16" s="420" customFormat="1" ht="41.1" customHeight="1">
      <c r="A149" s="423"/>
      <c r="B149" s="423"/>
      <c r="C149" s="423"/>
      <c r="D149" s="425"/>
      <c r="E149" s="425"/>
      <c r="F149" s="425"/>
      <c r="G149" s="425"/>
      <c r="H149" s="468"/>
      <c r="I149" s="476"/>
      <c r="J149" s="476"/>
      <c r="K149" s="472"/>
      <c r="L149" s="472"/>
      <c r="M149" s="425"/>
      <c r="N149" s="472"/>
      <c r="O149" s="472"/>
      <c r="P149" s="472"/>
    </row>
    <row r="150" spans="1:16" s="420" customFormat="1" ht="41.1" customHeight="1">
      <c r="A150" s="423"/>
      <c r="B150" s="423"/>
      <c r="C150" s="423"/>
      <c r="D150" s="425"/>
      <c r="E150" s="425"/>
      <c r="F150" s="425"/>
      <c r="G150" s="425"/>
      <c r="H150" s="468"/>
      <c r="I150" s="476"/>
      <c r="J150" s="476"/>
      <c r="K150" s="472"/>
      <c r="L150" s="472"/>
      <c r="M150" s="425"/>
      <c r="N150" s="472"/>
      <c r="O150" s="472"/>
      <c r="P150" s="472"/>
    </row>
    <row r="151" spans="1:16" s="420" customFormat="1" ht="41.1" customHeight="1">
      <c r="A151" s="423"/>
      <c r="B151" s="423"/>
      <c r="C151" s="423"/>
      <c r="D151" s="425"/>
      <c r="E151" s="425"/>
      <c r="F151" s="425"/>
      <c r="G151" s="425"/>
      <c r="H151" s="468"/>
      <c r="I151" s="476"/>
      <c r="J151" s="476"/>
      <c r="K151" s="472"/>
      <c r="L151" s="472"/>
      <c r="M151" s="425"/>
      <c r="N151" s="472"/>
      <c r="O151" s="472"/>
      <c r="P151" s="472"/>
    </row>
    <row r="163" spans="1:16" s="420" customFormat="1" ht="41.1" customHeight="1">
      <c r="A163" s="423"/>
      <c r="B163" s="423"/>
      <c r="C163" s="423"/>
      <c r="D163" s="425"/>
      <c r="E163" s="425"/>
      <c r="F163" s="425"/>
      <c r="G163" s="425"/>
      <c r="H163" s="468"/>
      <c r="I163" s="476"/>
      <c r="J163" s="476"/>
      <c r="K163" s="472"/>
      <c r="L163" s="472"/>
      <c r="M163" s="425"/>
      <c r="N163" s="472"/>
      <c r="O163" s="472"/>
      <c r="P163" s="472"/>
    </row>
    <row r="164" spans="1:16" s="420" customFormat="1" ht="41.1" customHeight="1">
      <c r="A164" s="423"/>
      <c r="B164" s="423"/>
      <c r="C164" s="423"/>
      <c r="D164" s="425"/>
      <c r="E164" s="425"/>
      <c r="F164" s="425"/>
      <c r="G164" s="425"/>
      <c r="H164" s="468"/>
      <c r="I164" s="476"/>
      <c r="J164" s="476"/>
      <c r="K164" s="472"/>
      <c r="L164" s="472"/>
      <c r="M164" s="425"/>
      <c r="N164" s="472"/>
      <c r="O164" s="472"/>
      <c r="P164" s="472"/>
    </row>
    <row r="165" spans="1:16" s="420" customFormat="1" ht="41.1" customHeight="1">
      <c r="A165" s="423"/>
      <c r="B165" s="423"/>
      <c r="C165" s="423"/>
      <c r="D165" s="425"/>
      <c r="E165" s="425"/>
      <c r="F165" s="425"/>
      <c r="G165" s="425"/>
      <c r="H165" s="468"/>
      <c r="I165" s="476"/>
      <c r="J165" s="476"/>
      <c r="K165" s="472"/>
      <c r="L165" s="472"/>
      <c r="M165" s="425"/>
      <c r="N165" s="472"/>
      <c r="O165" s="472"/>
      <c r="P165" s="472"/>
    </row>
    <row r="166" spans="1:16" s="420" customFormat="1" ht="41.1" customHeight="1">
      <c r="A166" s="423"/>
      <c r="B166" s="423"/>
      <c r="C166" s="423"/>
      <c r="D166" s="425"/>
      <c r="E166" s="425"/>
      <c r="F166" s="425"/>
      <c r="G166" s="425"/>
      <c r="H166" s="468"/>
      <c r="I166" s="476"/>
      <c r="J166" s="476"/>
      <c r="K166" s="472"/>
      <c r="L166" s="472"/>
      <c r="M166" s="425"/>
      <c r="N166" s="472"/>
      <c r="O166" s="472"/>
      <c r="P166" s="472"/>
    </row>
    <row r="167" spans="1:16" s="420" customFormat="1" ht="41.1" customHeight="1">
      <c r="A167" s="423"/>
      <c r="B167" s="423"/>
      <c r="C167" s="423"/>
      <c r="D167" s="425"/>
      <c r="E167" s="425"/>
      <c r="F167" s="425"/>
      <c r="G167" s="425"/>
      <c r="H167" s="468"/>
      <c r="I167" s="476"/>
      <c r="J167" s="476"/>
      <c r="K167" s="472"/>
      <c r="L167" s="472"/>
      <c r="M167" s="425"/>
      <c r="N167" s="472"/>
      <c r="O167" s="472"/>
      <c r="P167" s="472"/>
    </row>
    <row r="168" spans="1:16" s="420" customFormat="1" ht="41.1" customHeight="1">
      <c r="A168" s="423"/>
      <c r="B168" s="423"/>
      <c r="C168" s="423"/>
      <c r="D168" s="425"/>
      <c r="E168" s="425"/>
      <c r="F168" s="425"/>
      <c r="G168" s="425"/>
      <c r="H168" s="468"/>
      <c r="I168" s="476"/>
      <c r="J168" s="476"/>
      <c r="K168" s="472"/>
      <c r="L168" s="472"/>
      <c r="M168" s="425"/>
      <c r="N168" s="472"/>
      <c r="O168" s="472"/>
      <c r="P168" s="472"/>
    </row>
    <row r="169" spans="1:16" s="420" customFormat="1" ht="41.1" customHeight="1">
      <c r="A169" s="423"/>
      <c r="B169" s="423"/>
      <c r="C169" s="423"/>
      <c r="D169" s="425"/>
      <c r="E169" s="425"/>
      <c r="F169" s="425"/>
      <c r="G169" s="425"/>
      <c r="H169" s="468"/>
      <c r="I169" s="476"/>
      <c r="J169" s="476"/>
      <c r="K169" s="472"/>
      <c r="L169" s="472"/>
      <c r="M169" s="425"/>
      <c r="N169" s="472"/>
      <c r="O169" s="472"/>
      <c r="P169" s="472"/>
    </row>
    <row r="170" spans="1:16" s="420" customFormat="1" ht="41.1" customHeight="1">
      <c r="A170" s="423"/>
      <c r="B170" s="423"/>
      <c r="C170" s="423"/>
      <c r="D170" s="425"/>
      <c r="E170" s="425"/>
      <c r="F170" s="425"/>
      <c r="G170" s="425"/>
      <c r="H170" s="468"/>
      <c r="I170" s="476"/>
      <c r="J170" s="476"/>
      <c r="K170" s="472"/>
      <c r="L170" s="472"/>
      <c r="M170" s="425"/>
      <c r="N170" s="472"/>
      <c r="O170" s="472"/>
      <c r="P170" s="472"/>
    </row>
    <row r="171" spans="1:16" s="420" customFormat="1" ht="41.1" customHeight="1">
      <c r="A171" s="423"/>
      <c r="B171" s="423"/>
      <c r="C171" s="423"/>
      <c r="D171" s="425"/>
      <c r="E171" s="425"/>
      <c r="F171" s="425"/>
      <c r="G171" s="425"/>
      <c r="H171" s="468"/>
      <c r="I171" s="476"/>
      <c r="J171" s="476"/>
      <c r="K171" s="472"/>
      <c r="L171" s="472"/>
      <c r="M171" s="425"/>
      <c r="N171" s="472"/>
      <c r="O171" s="472"/>
      <c r="P171" s="472"/>
    </row>
    <row r="183" spans="1:14" s="420" customFormat="1" ht="41.1" customHeight="1">
      <c r="A183" s="463"/>
      <c r="B183" s="463"/>
      <c r="I183" s="482"/>
      <c r="J183" s="482"/>
      <c r="K183" s="475"/>
      <c r="L183" s="475"/>
      <c r="M183" s="475"/>
      <c r="N183" s="484"/>
    </row>
    <row r="184" spans="1:14" s="420" customFormat="1" ht="41.1" customHeight="1">
      <c r="A184" s="463"/>
      <c r="B184" s="463"/>
      <c r="C184" s="463"/>
      <c r="L184" s="425"/>
      <c r="M184" s="425"/>
      <c r="N184" s="472"/>
    </row>
    <row r="185" spans="1:14" s="420" customFormat="1" ht="41.1" customHeight="1">
      <c r="A185" s="463"/>
      <c r="B185" s="463"/>
      <c r="C185" s="463"/>
      <c r="K185" s="425"/>
    </row>
    <row r="186" spans="1:14" s="420" customFormat="1" ht="41.1" customHeight="1">
      <c r="A186" s="463"/>
      <c r="B186" s="463"/>
      <c r="C186" s="463"/>
      <c r="I186" s="482"/>
      <c r="J186" s="482"/>
      <c r="K186" s="482"/>
      <c r="L186" s="482"/>
      <c r="M186" s="485"/>
      <c r="N186" s="485"/>
    </row>
    <row r="187" spans="1:14" s="420" customFormat="1" ht="41.1" customHeight="1">
      <c r="A187" s="463"/>
      <c r="B187" s="463"/>
      <c r="C187" s="463"/>
      <c r="H187" s="482"/>
      <c r="I187" s="482"/>
      <c r="J187" s="482"/>
      <c r="K187" s="482"/>
      <c r="L187" s="482"/>
      <c r="M187" s="466"/>
      <c r="N187" s="486"/>
    </row>
    <row r="188" spans="1:14" s="420" customFormat="1" ht="41.1" customHeight="1">
      <c r="A188" s="463"/>
      <c r="B188" s="463"/>
      <c r="C188" s="463"/>
      <c r="K188" s="425"/>
      <c r="L188" s="949"/>
      <c r="M188" s="949"/>
      <c r="N188" s="486"/>
    </row>
    <row r="189" spans="1:14" s="420" customFormat="1" ht="41.1" customHeight="1">
      <c r="A189" s="463"/>
      <c r="B189" s="463"/>
      <c r="C189" s="463"/>
      <c r="E189" s="949"/>
      <c r="F189" s="949"/>
      <c r="G189" s="949"/>
      <c r="H189" s="949"/>
      <c r="K189" s="425"/>
      <c r="L189" s="950"/>
      <c r="M189" s="950"/>
      <c r="N189" s="486"/>
    </row>
    <row r="190" spans="1:14" s="420" customFormat="1" ht="41.1" customHeight="1">
      <c r="A190" s="463"/>
      <c r="B190" s="463"/>
      <c r="C190" s="463"/>
      <c r="E190" s="950"/>
      <c r="F190" s="950"/>
      <c r="G190" s="950"/>
      <c r="H190" s="950"/>
      <c r="K190" s="425"/>
      <c r="L190" s="425"/>
      <c r="N190" s="486"/>
    </row>
    <row r="191" spans="1:14" s="420" customFormat="1" ht="41.1" customHeight="1">
      <c r="A191" s="463"/>
      <c r="B191" s="463"/>
      <c r="C191" s="463"/>
      <c r="K191" s="425"/>
    </row>
    <row r="192" spans="1:14" s="420" customFormat="1" ht="41.1" customHeight="1">
      <c r="A192" s="463"/>
      <c r="B192" s="463"/>
      <c r="C192" s="463"/>
    </row>
    <row r="193" spans="1:14" s="420" customFormat="1" ht="41.1" customHeight="1">
      <c r="A193" s="463"/>
      <c r="B193" s="463"/>
      <c r="C193" s="463"/>
      <c r="K193" s="487"/>
      <c r="L193" s="437"/>
      <c r="M193" s="437"/>
      <c r="N193" s="486"/>
    </row>
    <row r="194" spans="1:14" s="420" customFormat="1" ht="41.1" customHeight="1">
      <c r="A194" s="463"/>
      <c r="B194" s="463"/>
      <c r="C194" s="463"/>
      <c r="K194" s="487"/>
      <c r="N194" s="486"/>
    </row>
    <row r="195" spans="1:14" s="420" customFormat="1" ht="41.1" customHeight="1">
      <c r="A195" s="463"/>
      <c r="B195" s="463"/>
      <c r="C195" s="463"/>
      <c r="K195" s="487"/>
      <c r="N195" s="486"/>
    </row>
    <row r="196" spans="1:14" s="420" customFormat="1" ht="41.1" customHeight="1">
      <c r="A196" s="463"/>
      <c r="B196" s="463"/>
      <c r="C196" s="463"/>
      <c r="K196" s="487"/>
      <c r="L196" s="474"/>
      <c r="M196" s="474"/>
      <c r="N196" s="486"/>
    </row>
    <row r="197" spans="1:14" s="420" customFormat="1" ht="41.1" customHeight="1">
      <c r="A197" s="463"/>
      <c r="B197" s="463"/>
      <c r="C197" s="463"/>
      <c r="E197" s="949"/>
      <c r="F197" s="949"/>
      <c r="G197" s="949"/>
      <c r="H197" s="949"/>
      <c r="K197" s="487"/>
      <c r="N197" s="486"/>
    </row>
    <row r="198" spans="1:14" s="420" customFormat="1" ht="41.1" customHeight="1">
      <c r="A198" s="463"/>
      <c r="B198" s="463"/>
      <c r="C198" s="463"/>
      <c r="E198" s="950"/>
      <c r="F198" s="950"/>
      <c r="G198" s="950"/>
      <c r="H198" s="950"/>
      <c r="K198" s="487"/>
      <c r="N198" s="486"/>
    </row>
    <row r="199" spans="1:14" s="420" customFormat="1" ht="41.1" customHeight="1">
      <c r="A199" s="463"/>
      <c r="B199" s="463"/>
      <c r="C199" s="463"/>
      <c r="K199" s="487"/>
      <c r="L199" s="474"/>
      <c r="M199" s="474"/>
      <c r="N199" s="486"/>
    </row>
    <row r="200" spans="1:14" s="420" customFormat="1" ht="41.1" customHeight="1">
      <c r="A200" s="463"/>
      <c r="B200" s="463"/>
      <c r="C200" s="463"/>
      <c r="K200" s="487"/>
      <c r="L200" s="474"/>
      <c r="M200" s="474"/>
      <c r="N200" s="486"/>
    </row>
    <row r="201" spans="1:14" s="420" customFormat="1" ht="41.1" customHeight="1">
      <c r="A201" s="463"/>
      <c r="B201" s="463"/>
      <c r="C201" s="463"/>
      <c r="K201" s="487"/>
      <c r="L201" s="474"/>
      <c r="M201" s="474"/>
      <c r="N201" s="486"/>
    </row>
    <row r="202" spans="1:14" s="420" customFormat="1" ht="41.1" customHeight="1">
      <c r="A202" s="463"/>
      <c r="B202" s="463"/>
      <c r="C202" s="463"/>
      <c r="K202" s="487"/>
      <c r="N202" s="467"/>
    </row>
    <row r="206" spans="1:14" ht="41.1" customHeight="1">
      <c r="A206" s="483"/>
      <c r="B206" s="483"/>
      <c r="C206" s="483"/>
    </row>
    <row r="1046808" s="421" customFormat="1" ht="41.1" customHeight="1"/>
  </sheetData>
  <mergeCells count="545">
    <mergeCell ref="D1:P1"/>
    <mergeCell ref="D2:P2"/>
    <mergeCell ref="D3:P3"/>
    <mergeCell ref="D4:P4"/>
    <mergeCell ref="O7:P7"/>
    <mergeCell ref="O8:P8"/>
    <mergeCell ref="G9:M9"/>
    <mergeCell ref="O9:P9"/>
    <mergeCell ref="O12:P12"/>
    <mergeCell ref="D7:D8"/>
    <mergeCell ref="G7:L8"/>
    <mergeCell ref="D5:P6"/>
    <mergeCell ref="O11:P11"/>
    <mergeCell ref="G13:I13"/>
    <mergeCell ref="G14:M14"/>
    <mergeCell ref="O14:P14"/>
    <mergeCell ref="G15:M15"/>
    <mergeCell ref="O15:P15"/>
    <mergeCell ref="D16:F16"/>
    <mergeCell ref="G16:M16"/>
    <mergeCell ref="L17:P17"/>
    <mergeCell ref="L18:M18"/>
    <mergeCell ref="N18:P18"/>
    <mergeCell ref="L19:M19"/>
    <mergeCell ref="N19:P19"/>
    <mergeCell ref="D20:E20"/>
    <mergeCell ref="F20:J20"/>
    <mergeCell ref="L20:M20"/>
    <mergeCell ref="N20:P20"/>
    <mergeCell ref="D21:E21"/>
    <mergeCell ref="F21:J21"/>
    <mergeCell ref="L21:M21"/>
    <mergeCell ref="N21:P21"/>
    <mergeCell ref="D32:J32"/>
    <mergeCell ref="L32:M32"/>
    <mergeCell ref="N32:P32"/>
    <mergeCell ref="D25:E25"/>
    <mergeCell ref="F25:J25"/>
    <mergeCell ref="L25:M25"/>
    <mergeCell ref="N25:P25"/>
    <mergeCell ref="D26:E26"/>
    <mergeCell ref="F26:J26"/>
    <mergeCell ref="L26:M26"/>
    <mergeCell ref="N26:P26"/>
    <mergeCell ref="D27:E27"/>
    <mergeCell ref="F27:J27"/>
    <mergeCell ref="L27:M27"/>
    <mergeCell ref="N27:P27"/>
    <mergeCell ref="D30:E30"/>
    <mergeCell ref="F30:J30"/>
    <mergeCell ref="L30:M30"/>
    <mergeCell ref="N30:P30"/>
    <mergeCell ref="D31:E31"/>
    <mergeCell ref="F31:J31"/>
    <mergeCell ref="L31:M31"/>
    <mergeCell ref="N31:P31"/>
    <mergeCell ref="D28:E28"/>
    <mergeCell ref="L33:M33"/>
    <mergeCell ref="N33:P33"/>
    <mergeCell ref="D34:E34"/>
    <mergeCell ref="F34:J34"/>
    <mergeCell ref="L34:M34"/>
    <mergeCell ref="N34:P34"/>
    <mergeCell ref="D35:E35"/>
    <mergeCell ref="F35:J35"/>
    <mergeCell ref="L35:M35"/>
    <mergeCell ref="N35:P35"/>
    <mergeCell ref="D36:E36"/>
    <mergeCell ref="F36:J36"/>
    <mergeCell ref="L36:M36"/>
    <mergeCell ref="N36:P36"/>
    <mergeCell ref="D37:E37"/>
    <mergeCell ref="F37:J37"/>
    <mergeCell ref="L37:M37"/>
    <mergeCell ref="N37:P37"/>
    <mergeCell ref="D38:E38"/>
    <mergeCell ref="F38:J38"/>
    <mergeCell ref="L38:M38"/>
    <mergeCell ref="N38:P38"/>
    <mergeCell ref="D39:E39"/>
    <mergeCell ref="F39:J39"/>
    <mergeCell ref="L39:M39"/>
    <mergeCell ref="N39:P39"/>
    <mergeCell ref="D40:E40"/>
    <mergeCell ref="F40:J40"/>
    <mergeCell ref="L40:M40"/>
    <mergeCell ref="N40:P40"/>
    <mergeCell ref="D41:E41"/>
    <mergeCell ref="F41:J41"/>
    <mergeCell ref="L41:M41"/>
    <mergeCell ref="N41:P41"/>
    <mergeCell ref="D42:E42"/>
    <mergeCell ref="F42:J42"/>
    <mergeCell ref="L42:M42"/>
    <mergeCell ref="N42:P42"/>
    <mergeCell ref="D43:E43"/>
    <mergeCell ref="F43:J43"/>
    <mergeCell ref="L43:M43"/>
    <mergeCell ref="N43:P43"/>
    <mergeCell ref="D45:J45"/>
    <mergeCell ref="L45:M45"/>
    <mergeCell ref="N45:P45"/>
    <mergeCell ref="D44:E44"/>
    <mergeCell ref="F44:J44"/>
    <mergeCell ref="L44:M44"/>
    <mergeCell ref="N44:P44"/>
    <mergeCell ref="L46:M46"/>
    <mergeCell ref="N46:P46"/>
    <mergeCell ref="D47:E47"/>
    <mergeCell ref="F47:J47"/>
    <mergeCell ref="L47:M47"/>
    <mergeCell ref="N47:P47"/>
    <mergeCell ref="D48:E48"/>
    <mergeCell ref="F48:J48"/>
    <mergeCell ref="L48:M48"/>
    <mergeCell ref="N48:P48"/>
    <mergeCell ref="N54:P54"/>
    <mergeCell ref="D49:E49"/>
    <mergeCell ref="F49:J49"/>
    <mergeCell ref="L49:M49"/>
    <mergeCell ref="N49:P49"/>
    <mergeCell ref="D50:E50"/>
    <mergeCell ref="F50:J50"/>
    <mergeCell ref="L50:M50"/>
    <mergeCell ref="N50:P50"/>
    <mergeCell ref="D51:E51"/>
    <mergeCell ref="F51:J51"/>
    <mergeCell ref="L51:M51"/>
    <mergeCell ref="N51:P51"/>
    <mergeCell ref="D52:E52"/>
    <mergeCell ref="F52:J52"/>
    <mergeCell ref="L52:M52"/>
    <mergeCell ref="N52:P52"/>
    <mergeCell ref="D53:E53"/>
    <mergeCell ref="F53:J53"/>
    <mergeCell ref="L53:M53"/>
    <mergeCell ref="N53:P53"/>
    <mergeCell ref="D54:E54"/>
    <mergeCell ref="F54:J54"/>
    <mergeCell ref="L54:M54"/>
    <mergeCell ref="D59:J59"/>
    <mergeCell ref="L59:M59"/>
    <mergeCell ref="N59:P59"/>
    <mergeCell ref="F57:J57"/>
    <mergeCell ref="L57:M57"/>
    <mergeCell ref="N57:P57"/>
    <mergeCell ref="D58:E58"/>
    <mergeCell ref="F58:J58"/>
    <mergeCell ref="L58:M58"/>
    <mergeCell ref="N58:P58"/>
    <mergeCell ref="L60:M60"/>
    <mergeCell ref="N60:P60"/>
    <mergeCell ref="D61:E61"/>
    <mergeCell ref="F61:J61"/>
    <mergeCell ref="L61:M61"/>
    <mergeCell ref="N61:P61"/>
    <mergeCell ref="D62:E62"/>
    <mergeCell ref="F62:J62"/>
    <mergeCell ref="L62:M62"/>
    <mergeCell ref="N62:P62"/>
    <mergeCell ref="D63:E63"/>
    <mergeCell ref="F63:J63"/>
    <mergeCell ref="L63:M63"/>
    <mergeCell ref="N63:P63"/>
    <mergeCell ref="D64:E64"/>
    <mergeCell ref="F64:J64"/>
    <mergeCell ref="L64:M64"/>
    <mergeCell ref="N64:P64"/>
    <mergeCell ref="D65:E65"/>
    <mergeCell ref="F65:J65"/>
    <mergeCell ref="L65:M65"/>
    <mergeCell ref="N65:P65"/>
    <mergeCell ref="D69:E69"/>
    <mergeCell ref="F69:J69"/>
    <mergeCell ref="L69:M69"/>
    <mergeCell ref="N69:P69"/>
    <mergeCell ref="D70:J70"/>
    <mergeCell ref="L70:M70"/>
    <mergeCell ref="N70:P70"/>
    <mergeCell ref="D66:E66"/>
    <mergeCell ref="F66:J66"/>
    <mergeCell ref="L66:M66"/>
    <mergeCell ref="N66:P66"/>
    <mergeCell ref="D67:E67"/>
    <mergeCell ref="F67:J67"/>
    <mergeCell ref="L67:M67"/>
    <mergeCell ref="N67:P67"/>
    <mergeCell ref="D68:E68"/>
    <mergeCell ref="F68:J68"/>
    <mergeCell ref="L68:M68"/>
    <mergeCell ref="N68:P68"/>
    <mergeCell ref="D71:J71"/>
    <mergeCell ref="L71:M71"/>
    <mergeCell ref="N71:P71"/>
    <mergeCell ref="D72:P72"/>
    <mergeCell ref="D75:P75"/>
    <mergeCell ref="Q75:V75"/>
    <mergeCell ref="D76:E76"/>
    <mergeCell ref="F76:I76"/>
    <mergeCell ref="J76:K76"/>
    <mergeCell ref="L76:M76"/>
    <mergeCell ref="O76:P76"/>
    <mergeCell ref="Q76:V76"/>
    <mergeCell ref="N73:N74"/>
    <mergeCell ref="D77:E77"/>
    <mergeCell ref="F77:I77"/>
    <mergeCell ref="J77:K77"/>
    <mergeCell ref="L77:M77"/>
    <mergeCell ref="O77:P77"/>
    <mergeCell ref="Q77:V77"/>
    <mergeCell ref="D78:E78"/>
    <mergeCell ref="F78:I78"/>
    <mergeCell ref="J78:K78"/>
    <mergeCell ref="L78:M78"/>
    <mergeCell ref="O78:P78"/>
    <mergeCell ref="Q78:V78"/>
    <mergeCell ref="D79:E79"/>
    <mergeCell ref="F79:I79"/>
    <mergeCell ref="J79:K79"/>
    <mergeCell ref="L79:M79"/>
    <mergeCell ref="O79:P79"/>
    <mergeCell ref="Q79:V79"/>
    <mergeCell ref="D80:E80"/>
    <mergeCell ref="F80:I80"/>
    <mergeCell ref="J80:K80"/>
    <mergeCell ref="L80:M80"/>
    <mergeCell ref="O80:P80"/>
    <mergeCell ref="Q80:V80"/>
    <mergeCell ref="D81:E81"/>
    <mergeCell ref="F81:I81"/>
    <mergeCell ref="J81:K81"/>
    <mergeCell ref="L81:M81"/>
    <mergeCell ref="O81:P81"/>
    <mergeCell ref="Q81:V81"/>
    <mergeCell ref="D82:E82"/>
    <mergeCell ref="F82:I82"/>
    <mergeCell ref="J82:K82"/>
    <mergeCell ref="L82:M82"/>
    <mergeCell ref="O82:P82"/>
    <mergeCell ref="Q82:V82"/>
    <mergeCell ref="D83:E83"/>
    <mergeCell ref="F83:I83"/>
    <mergeCell ref="J83:K83"/>
    <mergeCell ref="L83:M83"/>
    <mergeCell ref="O83:P83"/>
    <mergeCell ref="Q83:V83"/>
    <mergeCell ref="D84:E84"/>
    <mergeCell ref="F84:I84"/>
    <mergeCell ref="J84:K84"/>
    <mergeCell ref="L84:M84"/>
    <mergeCell ref="O84:P84"/>
    <mergeCell ref="Q84:V84"/>
    <mergeCell ref="D85:E85"/>
    <mergeCell ref="F85:I85"/>
    <mergeCell ref="J85:K85"/>
    <mergeCell ref="L85:M85"/>
    <mergeCell ref="O85:P85"/>
    <mergeCell ref="Q85:V85"/>
    <mergeCell ref="D88:N88"/>
    <mergeCell ref="O88:P88"/>
    <mergeCell ref="D89:P89"/>
    <mergeCell ref="Q89:V89"/>
    <mergeCell ref="J86:K86"/>
    <mergeCell ref="L86:M86"/>
    <mergeCell ref="O86:P86"/>
    <mergeCell ref="Q86:V86"/>
    <mergeCell ref="D87:E87"/>
    <mergeCell ref="F87:I87"/>
    <mergeCell ref="J87:K87"/>
    <mergeCell ref="L87:M87"/>
    <mergeCell ref="O87:P87"/>
    <mergeCell ref="Q87:V87"/>
    <mergeCell ref="D90:E90"/>
    <mergeCell ref="F90:I90"/>
    <mergeCell ref="J90:K90"/>
    <mergeCell ref="L90:M90"/>
    <mergeCell ref="O90:P90"/>
    <mergeCell ref="Q90:V90"/>
    <mergeCell ref="D91:E91"/>
    <mergeCell ref="F91:I91"/>
    <mergeCell ref="J91:K91"/>
    <mergeCell ref="L91:M91"/>
    <mergeCell ref="O91:P91"/>
    <mergeCell ref="Q91:V91"/>
    <mergeCell ref="D92:E92"/>
    <mergeCell ref="F92:I92"/>
    <mergeCell ref="J92:K92"/>
    <mergeCell ref="L92:M92"/>
    <mergeCell ref="O92:P92"/>
    <mergeCell ref="Q92:V92"/>
    <mergeCell ref="D93:E93"/>
    <mergeCell ref="F93:I93"/>
    <mergeCell ref="J93:K93"/>
    <mergeCell ref="L93:M93"/>
    <mergeCell ref="O93:P93"/>
    <mergeCell ref="Q93:V93"/>
    <mergeCell ref="D94:E94"/>
    <mergeCell ref="F94:I94"/>
    <mergeCell ref="J94:K94"/>
    <mergeCell ref="L94:M94"/>
    <mergeCell ref="O94:P94"/>
    <mergeCell ref="Q94:V94"/>
    <mergeCell ref="D95:E95"/>
    <mergeCell ref="F95:I95"/>
    <mergeCell ref="J95:K95"/>
    <mergeCell ref="L95:M95"/>
    <mergeCell ref="O95:P95"/>
    <mergeCell ref="Q95:V95"/>
    <mergeCell ref="D96:E96"/>
    <mergeCell ref="F96:I96"/>
    <mergeCell ref="J96:K96"/>
    <mergeCell ref="L96:M96"/>
    <mergeCell ref="O96:P96"/>
    <mergeCell ref="Q96:V96"/>
    <mergeCell ref="D97:E97"/>
    <mergeCell ref="F97:I97"/>
    <mergeCell ref="J97:K97"/>
    <mergeCell ref="L97:M97"/>
    <mergeCell ref="O97:P97"/>
    <mergeCell ref="Q97:V97"/>
    <mergeCell ref="D98:E98"/>
    <mergeCell ref="F98:I98"/>
    <mergeCell ref="J98:K98"/>
    <mergeCell ref="L98:M98"/>
    <mergeCell ref="O98:P98"/>
    <mergeCell ref="Q98:V98"/>
    <mergeCell ref="D99:E99"/>
    <mergeCell ref="F99:I99"/>
    <mergeCell ref="J99:K99"/>
    <mergeCell ref="L99:M99"/>
    <mergeCell ref="O99:P99"/>
    <mergeCell ref="Q99:V99"/>
    <mergeCell ref="D101:N101"/>
    <mergeCell ref="O101:P101"/>
    <mergeCell ref="D102:P102"/>
    <mergeCell ref="Q102:V102"/>
    <mergeCell ref="D103:E103"/>
    <mergeCell ref="F103:I103"/>
    <mergeCell ref="J103:K103"/>
    <mergeCell ref="L103:M103"/>
    <mergeCell ref="O103:P103"/>
    <mergeCell ref="Q103:V103"/>
    <mergeCell ref="D104:E104"/>
    <mergeCell ref="F104:I104"/>
    <mergeCell ref="J104:K104"/>
    <mergeCell ref="L104:M104"/>
    <mergeCell ref="O104:P104"/>
    <mergeCell ref="Q104:V104"/>
    <mergeCell ref="D105:E105"/>
    <mergeCell ref="F105:I105"/>
    <mergeCell ref="J105:K105"/>
    <mergeCell ref="L105:M105"/>
    <mergeCell ref="O105:P105"/>
    <mergeCell ref="Q105:V105"/>
    <mergeCell ref="D106:E106"/>
    <mergeCell ref="F106:I106"/>
    <mergeCell ref="J106:K106"/>
    <mergeCell ref="L106:M106"/>
    <mergeCell ref="O106:P106"/>
    <mergeCell ref="Q106:V106"/>
    <mergeCell ref="D107:E107"/>
    <mergeCell ref="F107:I107"/>
    <mergeCell ref="J107:K107"/>
    <mergeCell ref="L107:M107"/>
    <mergeCell ref="O107:P107"/>
    <mergeCell ref="Q107:V107"/>
    <mergeCell ref="D115:N115"/>
    <mergeCell ref="O115:P115"/>
    <mergeCell ref="D116:P116"/>
    <mergeCell ref="Q116:V116"/>
    <mergeCell ref="D110:E110"/>
    <mergeCell ref="F110:I110"/>
    <mergeCell ref="J110:K110"/>
    <mergeCell ref="L110:M110"/>
    <mergeCell ref="O110:P110"/>
    <mergeCell ref="Q110:V110"/>
    <mergeCell ref="D111:E111"/>
    <mergeCell ref="F111:I111"/>
    <mergeCell ref="J111:K111"/>
    <mergeCell ref="L111:M111"/>
    <mergeCell ref="O111:P111"/>
    <mergeCell ref="Q111:V111"/>
    <mergeCell ref="D119:E119"/>
    <mergeCell ref="F119:I119"/>
    <mergeCell ref="J119:K119"/>
    <mergeCell ref="L119:M119"/>
    <mergeCell ref="O119:P119"/>
    <mergeCell ref="Q119:V119"/>
    <mergeCell ref="D120:E120"/>
    <mergeCell ref="F120:I120"/>
    <mergeCell ref="J120:K120"/>
    <mergeCell ref="L120:M120"/>
    <mergeCell ref="O120:P120"/>
    <mergeCell ref="Q120:V120"/>
    <mergeCell ref="D121:E121"/>
    <mergeCell ref="F121:I121"/>
    <mergeCell ref="J121:K121"/>
    <mergeCell ref="L121:M121"/>
    <mergeCell ref="O121:P121"/>
    <mergeCell ref="Q121:V121"/>
    <mergeCell ref="D122:E122"/>
    <mergeCell ref="F122:I122"/>
    <mergeCell ref="J122:K122"/>
    <mergeCell ref="L122:M122"/>
    <mergeCell ref="O122:P122"/>
    <mergeCell ref="Q122:V122"/>
    <mergeCell ref="D123:E123"/>
    <mergeCell ref="F123:I123"/>
    <mergeCell ref="J123:K123"/>
    <mergeCell ref="L123:M123"/>
    <mergeCell ref="O123:P123"/>
    <mergeCell ref="Q123:V123"/>
    <mergeCell ref="D124:E124"/>
    <mergeCell ref="F124:I124"/>
    <mergeCell ref="J124:K124"/>
    <mergeCell ref="L124:M124"/>
    <mergeCell ref="O124:P124"/>
    <mergeCell ref="Q124:V124"/>
    <mergeCell ref="D127:P127"/>
    <mergeCell ref="D126:N126"/>
    <mergeCell ref="O126:P126"/>
    <mergeCell ref="D125:E125"/>
    <mergeCell ref="F125:I125"/>
    <mergeCell ref="J125:K125"/>
    <mergeCell ref="L125:M125"/>
    <mergeCell ref="O125:P125"/>
    <mergeCell ref="Q125:V125"/>
    <mergeCell ref="H128:J128"/>
    <mergeCell ref="O128:P128"/>
    <mergeCell ref="H129:J129"/>
    <mergeCell ref="H130:J130"/>
    <mergeCell ref="H131:J131"/>
    <mergeCell ref="Q131:S131"/>
    <mergeCell ref="H132:J132"/>
    <mergeCell ref="I133:J133"/>
    <mergeCell ref="H134:J134"/>
    <mergeCell ref="H135:J135"/>
    <mergeCell ref="H136:J136"/>
    <mergeCell ref="H137:J137"/>
    <mergeCell ref="D140:H140"/>
    <mergeCell ref="I140:K140"/>
    <mergeCell ref="N140:P140"/>
    <mergeCell ref="A141:H141"/>
    <mergeCell ref="I141:K141"/>
    <mergeCell ref="N141:P141"/>
    <mergeCell ref="D144:G144"/>
    <mergeCell ref="D145:G145"/>
    <mergeCell ref="L188:M188"/>
    <mergeCell ref="E189:H189"/>
    <mergeCell ref="L189:M189"/>
    <mergeCell ref="E190:H190"/>
    <mergeCell ref="E197:H197"/>
    <mergeCell ref="E198:H198"/>
    <mergeCell ref="A17:A18"/>
    <mergeCell ref="B17:B18"/>
    <mergeCell ref="C17:C18"/>
    <mergeCell ref="L136:L137"/>
    <mergeCell ref="M133:P135"/>
    <mergeCell ref="D17:E18"/>
    <mergeCell ref="F17:J18"/>
    <mergeCell ref="O73:P74"/>
    <mergeCell ref="D73:E74"/>
    <mergeCell ref="J73:K74"/>
    <mergeCell ref="L73:M74"/>
    <mergeCell ref="F73:I74"/>
    <mergeCell ref="M136:N137"/>
    <mergeCell ref="O136:P137"/>
    <mergeCell ref="D86:E86"/>
    <mergeCell ref="F86:I86"/>
    <mergeCell ref="D100:E100"/>
    <mergeCell ref="F100:I100"/>
    <mergeCell ref="J100:K100"/>
    <mergeCell ref="L100:M100"/>
    <mergeCell ref="O100:P100"/>
    <mergeCell ref="Q100:V100"/>
    <mergeCell ref="D112:E112"/>
    <mergeCell ref="F112:I112"/>
    <mergeCell ref="J112:K112"/>
    <mergeCell ref="L112:M112"/>
    <mergeCell ref="O112:P112"/>
    <mergeCell ref="Q112:V112"/>
    <mergeCell ref="D108:E108"/>
    <mergeCell ref="F108:I108"/>
    <mergeCell ref="J108:K108"/>
    <mergeCell ref="L108:M108"/>
    <mergeCell ref="O108:P108"/>
    <mergeCell ref="Q108:V108"/>
    <mergeCell ref="D109:E109"/>
    <mergeCell ref="F109:I109"/>
    <mergeCell ref="J109:K109"/>
    <mergeCell ref="L109:M109"/>
    <mergeCell ref="O109:P109"/>
    <mergeCell ref="Q109:V109"/>
    <mergeCell ref="D118:E118"/>
    <mergeCell ref="F118:I118"/>
    <mergeCell ref="J118:K118"/>
    <mergeCell ref="L118:M118"/>
    <mergeCell ref="O118:P118"/>
    <mergeCell ref="Q118:V118"/>
    <mergeCell ref="D113:E113"/>
    <mergeCell ref="F113:I113"/>
    <mergeCell ref="J113:K113"/>
    <mergeCell ref="L113:M113"/>
    <mergeCell ref="O113:P113"/>
    <mergeCell ref="Q113:V113"/>
    <mergeCell ref="D114:E114"/>
    <mergeCell ref="F114:I114"/>
    <mergeCell ref="J114:K114"/>
    <mergeCell ref="L114:M114"/>
    <mergeCell ref="O114:P114"/>
    <mergeCell ref="Q114:V114"/>
    <mergeCell ref="D117:E117"/>
    <mergeCell ref="F117:I117"/>
    <mergeCell ref="J117:K117"/>
    <mergeCell ref="L117:M117"/>
    <mergeCell ref="O117:P117"/>
    <mergeCell ref="Q117:V117"/>
    <mergeCell ref="D56:E56"/>
    <mergeCell ref="F56:J56"/>
    <mergeCell ref="L56:M56"/>
    <mergeCell ref="N56:P56"/>
    <mergeCell ref="D57:E57"/>
    <mergeCell ref="D55:E55"/>
    <mergeCell ref="F55:J55"/>
    <mergeCell ref="L55:M55"/>
    <mergeCell ref="N55:P55"/>
    <mergeCell ref="F28:J28"/>
    <mergeCell ref="L28:M28"/>
    <mergeCell ref="N28:P28"/>
    <mergeCell ref="D29:E29"/>
    <mergeCell ref="F29:J29"/>
    <mergeCell ref="L29:M29"/>
    <mergeCell ref="N29:P29"/>
    <mergeCell ref="D22:E22"/>
    <mergeCell ref="F22:J22"/>
    <mergeCell ref="L22:M22"/>
    <mergeCell ref="N22:P22"/>
    <mergeCell ref="D23:E23"/>
    <mergeCell ref="F23:J23"/>
    <mergeCell ref="L23:M23"/>
    <mergeCell ref="N23:P23"/>
    <mergeCell ref="D24:E24"/>
    <mergeCell ref="F24:J24"/>
    <mergeCell ref="L24:M24"/>
    <mergeCell ref="N24:P24"/>
  </mergeCells>
  <pageMargins left="0.23622047244094499" right="0.23622047244094499" top="0.74803149606299202" bottom="0.74803149606299202" header="0.31496062992126" footer="0.31496062992126"/>
  <pageSetup paperSize="14" scale="25" orientation="portrait" r:id="rId1"/>
  <rowBreaks count="2" manualBreakCount="2">
    <brk id="148" max="16" man="1"/>
    <brk id="200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O654"/>
  <sheetViews>
    <sheetView view="pageLayout" topLeftCell="A146" zoomScale="10" zoomScaleNormal="100" zoomScaleSheetLayoutView="85" zoomScalePageLayoutView="10" workbookViewId="0">
      <selection activeCell="B146" sqref="A146:G220"/>
    </sheetView>
  </sheetViews>
  <sheetFormatPr defaultColWidth="9.140625" defaultRowHeight="15"/>
  <cols>
    <col min="1" max="1" width="6.7109375" style="370" customWidth="1"/>
    <col min="2" max="2" width="8.85546875" style="370" customWidth="1"/>
    <col min="3" max="3" width="28" style="370" customWidth="1"/>
    <col min="4" max="4" width="33.7109375" style="370" customWidth="1"/>
    <col min="5" max="5" width="15.28515625" style="370" customWidth="1"/>
    <col min="6" max="6" width="10.85546875" style="370" customWidth="1"/>
    <col min="7" max="7" width="15" style="370" customWidth="1"/>
    <col min="8" max="8" width="12.28515625" style="371" customWidth="1"/>
    <col min="9" max="9" width="23.7109375" style="370" customWidth="1"/>
    <col min="10" max="10" width="35.42578125" style="370" customWidth="1"/>
    <col min="11" max="11" width="13.7109375" style="370" customWidth="1"/>
    <col min="12" max="14" width="9.140625" style="370"/>
    <col min="15" max="15" width="11" style="370" customWidth="1"/>
    <col min="16" max="16384" width="9.140625" style="370"/>
  </cols>
  <sheetData>
    <row r="1" spans="1:15">
      <c r="A1" s="372"/>
      <c r="B1" s="372"/>
    </row>
    <row r="2" spans="1:15">
      <c r="A2" s="370" t="s">
        <v>1375</v>
      </c>
      <c r="E2" s="373" t="s">
        <v>1376</v>
      </c>
    </row>
    <row r="3" spans="1:15">
      <c r="E3" s="370" t="s">
        <v>1377</v>
      </c>
    </row>
    <row r="4" spans="1:15">
      <c r="E4" s="1072" t="str">
        <f>SUMARRY!G7</f>
        <v xml:space="preserve">COMPLETION, RENOVATION AND 
IMPROVEMENT OF  DAY CARE CENTER
</v>
      </c>
      <c r="F4" s="927"/>
      <c r="G4" s="927"/>
    </row>
    <row r="5" spans="1:15">
      <c r="E5" s="927"/>
      <c r="F5" s="927"/>
      <c r="G5" s="927"/>
    </row>
    <row r="6" spans="1:15">
      <c r="A6" s="370" t="s">
        <v>1378</v>
      </c>
      <c r="E6" s="373" t="s">
        <v>1379</v>
      </c>
    </row>
    <row r="7" spans="1:15">
      <c r="A7" s="370" t="s">
        <v>1380</v>
      </c>
      <c r="E7" s="1032" t="str">
        <f>SUMARRY!G9</f>
        <v xml:space="preserve">SITIO BADAC, BARANGAY SARAVIA, PUROK SAN FRANCISCO BARANGAY
NEW PANGASINAN, </v>
      </c>
      <c r="F7" s="1073"/>
      <c r="G7" s="1073"/>
    </row>
    <row r="8" spans="1:15">
      <c r="A8" s="370" t="s">
        <v>1381</v>
      </c>
      <c r="E8" s="1073"/>
      <c r="F8" s="1073"/>
      <c r="G8" s="1073"/>
      <c r="I8" s="1027"/>
      <c r="J8" s="1027"/>
      <c r="K8" s="1027"/>
      <c r="L8" s="1027"/>
      <c r="M8" s="1027"/>
      <c r="N8" s="1027"/>
      <c r="O8" s="1027"/>
    </row>
    <row r="9" spans="1:15" ht="15" customHeight="1">
      <c r="E9" s="1032" t="str">
        <f>SUMARRY!G10</f>
        <v xml:space="preserve">PUROK BAGONG LIPUNAN BARANGAY SAN ISIDRO AND 
PUROK KAUSWAGAN BARANGAY SARAVIA
</v>
      </c>
      <c r="F9" s="1032"/>
      <c r="G9" s="1032"/>
      <c r="I9" s="375"/>
      <c r="J9" s="375"/>
      <c r="K9" s="375"/>
      <c r="L9" s="375"/>
      <c r="M9" s="375"/>
      <c r="N9" s="375"/>
      <c r="O9" s="375"/>
    </row>
    <row r="10" spans="1:15">
      <c r="E10" s="1032"/>
      <c r="F10" s="1032"/>
      <c r="G10" s="1032"/>
      <c r="I10" s="375"/>
      <c r="J10" s="375"/>
      <c r="K10" s="375"/>
      <c r="L10" s="375"/>
      <c r="M10" s="375"/>
      <c r="N10" s="375"/>
      <c r="O10" s="375"/>
    </row>
    <row r="11" spans="1:15">
      <c r="E11" s="1032"/>
      <c r="F11" s="1032"/>
      <c r="G11" s="1032"/>
      <c r="I11" s="375"/>
      <c r="J11" s="375"/>
      <c r="K11" s="375"/>
      <c r="L11" s="375"/>
      <c r="M11" s="375"/>
      <c r="N11" s="375"/>
      <c r="O11" s="375"/>
    </row>
    <row r="12" spans="1:15">
      <c r="E12" s="1032"/>
      <c r="F12" s="1032"/>
      <c r="G12" s="1032"/>
      <c r="I12" s="375"/>
      <c r="J12" s="375"/>
      <c r="K12" s="375"/>
      <c r="L12" s="375"/>
      <c r="M12" s="375"/>
      <c r="N12" s="375"/>
      <c r="O12" s="375"/>
    </row>
    <row r="13" spans="1:15">
      <c r="A13" s="1027" t="s">
        <v>1382</v>
      </c>
      <c r="B13" s="1027"/>
      <c r="C13" s="1027"/>
      <c r="D13" s="1027"/>
      <c r="E13" s="1027"/>
      <c r="F13" s="1027"/>
      <c r="G13" s="1027"/>
    </row>
    <row r="14" spans="1:15" ht="15.75">
      <c r="A14" s="1028" t="s">
        <v>1383</v>
      </c>
      <c r="B14" s="1027"/>
      <c r="C14" s="1027"/>
      <c r="D14" s="1027"/>
      <c r="E14" s="1027"/>
      <c r="F14" s="1027"/>
      <c r="G14" s="1027"/>
      <c r="K14" s="377"/>
      <c r="L14" s="377"/>
      <c r="N14" s="1029"/>
      <c r="O14" s="1029"/>
    </row>
    <row r="15" spans="1:15">
      <c r="A15" s="1029" t="s">
        <v>1384</v>
      </c>
      <c r="B15" s="1029"/>
      <c r="C15" s="1029"/>
      <c r="D15" s="1029"/>
      <c r="E15" s="1029"/>
      <c r="F15" s="1029"/>
      <c r="G15" s="1029"/>
    </row>
    <row r="16" spans="1:15" ht="15.75">
      <c r="A16" s="370" t="s">
        <v>1385</v>
      </c>
      <c r="C16" s="376" t="s">
        <v>1386</v>
      </c>
      <c r="D16" s="377"/>
      <c r="E16" s="370" t="s">
        <v>1387</v>
      </c>
      <c r="F16" s="1102" t="s">
        <v>1669</v>
      </c>
      <c r="G16" s="1037"/>
      <c r="I16" s="407"/>
      <c r="J16" s="1103"/>
      <c r="K16" s="1103"/>
      <c r="L16" s="408"/>
      <c r="M16" s="1103"/>
      <c r="N16" s="1103"/>
      <c r="O16" s="1103"/>
    </row>
    <row r="17" spans="1:15">
      <c r="A17" s="370" t="s">
        <v>1388</v>
      </c>
      <c r="E17" s="370" t="s">
        <v>1389</v>
      </c>
      <c r="I17" s="407"/>
      <c r="J17" s="1103"/>
      <c r="K17" s="1103"/>
      <c r="L17" s="408"/>
      <c r="M17" s="1103"/>
      <c r="N17" s="1103"/>
      <c r="O17" s="1103"/>
    </row>
    <row r="18" spans="1:15" ht="15.75">
      <c r="A18" s="378" t="s">
        <v>1390</v>
      </c>
      <c r="B18" s="1066" t="s">
        <v>314</v>
      </c>
      <c r="C18" s="1068" t="s">
        <v>1391</v>
      </c>
      <c r="D18" s="1069"/>
      <c r="E18" s="1066" t="s">
        <v>1392</v>
      </c>
      <c r="F18" s="1066" t="s">
        <v>1393</v>
      </c>
      <c r="G18" s="1066" t="s">
        <v>1052</v>
      </c>
      <c r="I18" s="366"/>
      <c r="J18" s="409"/>
      <c r="K18" s="410"/>
      <c r="L18" s="410"/>
      <c r="M18" s="409"/>
      <c r="N18" s="411"/>
      <c r="O18" s="412"/>
    </row>
    <row r="19" spans="1:15" ht="15.75">
      <c r="A19" s="379" t="s">
        <v>1040</v>
      </c>
      <c r="B19" s="1067"/>
      <c r="C19" s="1070"/>
      <c r="D19" s="1071"/>
      <c r="E19" s="1067"/>
      <c r="F19" s="1067"/>
      <c r="G19" s="1067"/>
      <c r="I19" s="366"/>
      <c r="J19" s="409"/>
      <c r="K19" s="410"/>
      <c r="L19" s="410"/>
      <c r="M19" s="409"/>
      <c r="N19" s="411"/>
      <c r="O19" s="412"/>
    </row>
    <row r="20" spans="1:15" ht="15.75">
      <c r="A20" s="1096" t="str">
        <f>BADAC!B6</f>
        <v>RENOVATION OF DAY CARE CENTER AT SITIO BADAC BARANGAY SARAVIA</v>
      </c>
      <c r="B20" s="1097"/>
      <c r="C20" s="1097"/>
      <c r="D20" s="1097"/>
      <c r="E20" s="1097"/>
      <c r="F20" s="1097"/>
      <c r="G20" s="1098"/>
      <c r="I20" s="366"/>
      <c r="J20" s="409"/>
      <c r="K20" s="410"/>
      <c r="L20" s="410"/>
      <c r="M20" s="409"/>
      <c r="N20" s="411"/>
      <c r="O20" s="412"/>
    </row>
    <row r="21" spans="1:15" ht="15.75">
      <c r="A21" s="380">
        <v>1</v>
      </c>
      <c r="B21" s="381" t="str">
        <f>BADAC!E27</f>
        <v>bags</v>
      </c>
      <c r="C21" s="1074" t="str">
        <f>BADAC!C27</f>
        <v>Premium Portland Cement ASTM C595</v>
      </c>
      <c r="D21" s="1074"/>
      <c r="E21" s="383">
        <f>BADAC!D27</f>
        <v>24</v>
      </c>
      <c r="F21" s="384">
        <f>BADAC!F27</f>
        <v>310</v>
      </c>
      <c r="G21" s="385">
        <f t="shared" ref="G21" si="0">F21*E21</f>
        <v>7440</v>
      </c>
      <c r="I21" s="366"/>
      <c r="J21" s="409"/>
      <c r="K21" s="410"/>
      <c r="L21" s="410"/>
      <c r="M21" s="409"/>
      <c r="N21" s="411"/>
      <c r="O21" s="412"/>
    </row>
    <row r="22" spans="1:15" ht="15.75">
      <c r="A22" s="380">
        <f>A21+1</f>
        <v>2</v>
      </c>
      <c r="B22" s="381" t="str">
        <f>BADAC!E28</f>
        <v>cu.m.</v>
      </c>
      <c r="C22" s="1074" t="str">
        <f>BADAC!C28</f>
        <v>W. Sand</v>
      </c>
      <c r="D22" s="1074"/>
      <c r="E22" s="383">
        <f>BADAC!D28</f>
        <v>10</v>
      </c>
      <c r="F22" s="384">
        <f>BADAC!F28</f>
        <v>600</v>
      </c>
      <c r="G22" s="385">
        <f t="shared" ref="G22:G23" si="1">F22*E22</f>
        <v>6000</v>
      </c>
      <c r="I22" s="366"/>
      <c r="J22" s="409"/>
      <c r="K22" s="410"/>
      <c r="L22" s="410"/>
      <c r="M22" s="409"/>
      <c r="N22" s="411"/>
      <c r="O22" s="412"/>
    </row>
    <row r="23" spans="1:15" ht="15.75">
      <c r="A23" s="380">
        <f t="shared" ref="A23:A62" si="2">A22+1</f>
        <v>3</v>
      </c>
      <c r="B23" s="381" t="str">
        <f>BADAC!E29</f>
        <v>cu.m.</v>
      </c>
      <c r="C23" s="1074" t="str">
        <f>BADAC!C29</f>
        <v>Gravel 3/4", Crushed</v>
      </c>
      <c r="D23" s="1074"/>
      <c r="E23" s="383">
        <f>BADAC!D29</f>
        <v>5</v>
      </c>
      <c r="F23" s="384">
        <f>BADAC!F29</f>
        <v>1450</v>
      </c>
      <c r="G23" s="385">
        <f t="shared" si="1"/>
        <v>7250</v>
      </c>
      <c r="H23" s="371">
        <f>SUM(G21:G23)</f>
        <v>20690</v>
      </c>
      <c r="I23" s="366"/>
      <c r="J23" s="409"/>
      <c r="K23" s="410"/>
      <c r="L23" s="410"/>
      <c r="M23" s="409"/>
      <c r="N23" s="411"/>
      <c r="O23" s="412"/>
    </row>
    <row r="24" spans="1:15" ht="15.75">
      <c r="A24" s="380">
        <f t="shared" si="2"/>
        <v>4</v>
      </c>
      <c r="B24" s="381" t="str">
        <f>BADAC!E46</f>
        <v>length</v>
      </c>
      <c r="C24" s="1074" t="str">
        <f>BADAC!C46</f>
        <v>10mm diam x 6m corr. Deform bar</v>
      </c>
      <c r="D24" s="1074"/>
      <c r="E24" s="383">
        <f>BADAC!D46</f>
        <v>20</v>
      </c>
      <c r="F24" s="384">
        <f>BADAC!F46</f>
        <v>210</v>
      </c>
      <c r="G24" s="385">
        <f t="shared" ref="G24:G36" si="3">F24*E24</f>
        <v>4200</v>
      </c>
      <c r="I24" s="366"/>
      <c r="J24" s="409"/>
      <c r="K24" s="410"/>
      <c r="L24" s="410"/>
      <c r="M24" s="409"/>
      <c r="N24" s="411"/>
      <c r="O24" s="412"/>
    </row>
    <row r="25" spans="1:15" ht="15.75">
      <c r="A25" s="380">
        <f t="shared" si="2"/>
        <v>5</v>
      </c>
      <c r="B25" s="381" t="str">
        <f>BADAC!E47</f>
        <v>length</v>
      </c>
      <c r="C25" s="1074" t="str">
        <f>BADAC!C47</f>
        <v>12mm diam x 6m corr. Deform bar</v>
      </c>
      <c r="D25" s="1074"/>
      <c r="E25" s="383">
        <f>BADAC!D47</f>
        <v>12</v>
      </c>
      <c r="F25" s="384">
        <f>BADAC!F47</f>
        <v>310</v>
      </c>
      <c r="G25" s="385">
        <f t="shared" si="3"/>
        <v>3720</v>
      </c>
      <c r="I25" s="366"/>
      <c r="J25" s="409"/>
      <c r="K25" s="410"/>
      <c r="L25" s="410"/>
      <c r="M25" s="409"/>
      <c r="N25" s="411"/>
      <c r="O25" s="412"/>
    </row>
    <row r="26" spans="1:15" ht="15.75">
      <c r="A26" s="380">
        <f t="shared" si="2"/>
        <v>6</v>
      </c>
      <c r="B26" s="381" t="str">
        <f>BADAC!E48</f>
        <v>kgs</v>
      </c>
      <c r="C26" s="1074" t="str">
        <f>BADAC!C48</f>
        <v>Tie Wire # 16</v>
      </c>
      <c r="D26" s="1074"/>
      <c r="E26" s="383">
        <f>BADAC!D48</f>
        <v>10</v>
      </c>
      <c r="F26" s="384">
        <f>BADAC!F48</f>
        <v>110</v>
      </c>
      <c r="G26" s="385">
        <f t="shared" si="3"/>
        <v>1100</v>
      </c>
      <c r="I26" s="366"/>
      <c r="J26" s="409"/>
      <c r="K26" s="410"/>
      <c r="L26" s="410"/>
      <c r="M26" s="409"/>
      <c r="N26" s="411"/>
      <c r="O26" s="412"/>
    </row>
    <row r="27" spans="1:15" ht="15.75">
      <c r="A27" s="380">
        <f t="shared" si="2"/>
        <v>7</v>
      </c>
      <c r="B27" s="381" t="str">
        <f>BADAC!E49</f>
        <v>pcs</v>
      </c>
      <c r="C27" s="1074" t="str">
        <f>BADAC!C49</f>
        <v>Cutting Disc 4" ( Flexiarapid super A 60 U )</v>
      </c>
      <c r="D27" s="1074"/>
      <c r="E27" s="383">
        <f>BADAC!D49</f>
        <v>5</v>
      </c>
      <c r="F27" s="384">
        <f>BADAC!F49</f>
        <v>210</v>
      </c>
      <c r="G27" s="385">
        <f t="shared" si="3"/>
        <v>1050</v>
      </c>
      <c r="H27" s="371">
        <f>SUM(G24:G27)</f>
        <v>10070</v>
      </c>
      <c r="I27" s="366"/>
      <c r="J27" s="409"/>
      <c r="K27" s="410"/>
      <c r="L27" s="410"/>
      <c r="M27" s="409"/>
      <c r="N27" s="411"/>
      <c r="O27" s="412"/>
    </row>
    <row r="28" spans="1:15" ht="15.75">
      <c r="A28" s="380">
        <f t="shared" si="2"/>
        <v>8</v>
      </c>
      <c r="B28" s="381" t="str">
        <f>BADAC!E67</f>
        <v>bd.ft</v>
      </c>
      <c r="C28" s="1074" t="str">
        <f>BADAC!C67</f>
        <v>Coco-lumber ( 2"x3"x12' )</v>
      </c>
      <c r="D28" s="1074"/>
      <c r="E28" s="383">
        <f>BADAC!D67</f>
        <v>120</v>
      </c>
      <c r="F28" s="384">
        <f>BADAC!F67</f>
        <v>38</v>
      </c>
      <c r="G28" s="385">
        <f t="shared" si="3"/>
        <v>4560</v>
      </c>
      <c r="I28" s="366"/>
      <c r="J28" s="409"/>
      <c r="K28" s="410"/>
      <c r="L28" s="410"/>
      <c r="M28" s="409"/>
      <c r="N28" s="411"/>
      <c r="O28" s="412"/>
    </row>
    <row r="29" spans="1:15" ht="15.75">
      <c r="A29" s="380">
        <f t="shared" si="2"/>
        <v>9</v>
      </c>
      <c r="B29" s="381" t="str">
        <f>BADAC!E68</f>
        <v>bd.ft</v>
      </c>
      <c r="C29" s="1074" t="str">
        <f>BADAC!C68</f>
        <v>Coco-lumber ( 2"x2"x12' )</v>
      </c>
      <c r="D29" s="1074"/>
      <c r="E29" s="383">
        <f>BADAC!D68</f>
        <v>80</v>
      </c>
      <c r="F29" s="384">
        <f>BADAC!F68</f>
        <v>38</v>
      </c>
      <c r="G29" s="385">
        <f t="shared" si="3"/>
        <v>3040</v>
      </c>
      <c r="I29" s="366"/>
      <c r="J29" s="409"/>
      <c r="K29" s="410"/>
      <c r="L29" s="410"/>
      <c r="M29" s="409"/>
      <c r="N29" s="411"/>
      <c r="O29" s="412"/>
    </row>
    <row r="30" spans="1:15" ht="15.75">
      <c r="A30" s="380">
        <f t="shared" si="2"/>
        <v>10</v>
      </c>
      <c r="B30" s="381" t="str">
        <f>BADAC!E69</f>
        <v>sht</v>
      </c>
      <c r="C30" s="1074" t="str">
        <f>BADAC!C69</f>
        <v>Ordinary plywood 10MM 4'X8'</v>
      </c>
      <c r="D30" s="1074"/>
      <c r="E30" s="383">
        <f>BADAC!D69</f>
        <v>4</v>
      </c>
      <c r="F30" s="384">
        <f>BADAC!F69</f>
        <v>714</v>
      </c>
      <c r="G30" s="385">
        <f t="shared" si="3"/>
        <v>2856</v>
      </c>
      <c r="I30" s="366"/>
      <c r="J30" s="409"/>
      <c r="K30" s="410"/>
      <c r="L30" s="410"/>
      <c r="M30" s="409"/>
      <c r="N30" s="411"/>
      <c r="O30" s="412"/>
    </row>
    <row r="31" spans="1:15" ht="15.75">
      <c r="A31" s="380">
        <f t="shared" si="2"/>
        <v>11</v>
      </c>
      <c r="B31" s="381" t="str">
        <f>BADAC!E70</f>
        <v>roll</v>
      </c>
      <c r="C31" s="1074" t="str">
        <f>BADAC!C70</f>
        <v>Nylon string ( 0.40mm )</v>
      </c>
      <c r="D31" s="1074"/>
      <c r="E31" s="383">
        <f>BADAC!D70</f>
        <v>4</v>
      </c>
      <c r="F31" s="384">
        <f>BADAC!F70</f>
        <v>68</v>
      </c>
      <c r="G31" s="385">
        <f t="shared" si="3"/>
        <v>272</v>
      </c>
      <c r="I31" s="366"/>
      <c r="J31" s="409"/>
      <c r="K31" s="410"/>
      <c r="L31" s="410"/>
      <c r="M31" s="409"/>
      <c r="N31" s="411"/>
      <c r="O31" s="412"/>
    </row>
    <row r="32" spans="1:15" ht="15.75">
      <c r="A32" s="380">
        <f t="shared" si="2"/>
        <v>12</v>
      </c>
      <c r="B32" s="381" t="str">
        <f>BADAC!E71</f>
        <v>kgs</v>
      </c>
      <c r="C32" s="1074" t="str">
        <f>BADAC!C71</f>
        <v>CWN 4"</v>
      </c>
      <c r="D32" s="1074"/>
      <c r="E32" s="383">
        <f>BADAC!D71</f>
        <v>5</v>
      </c>
      <c r="F32" s="384">
        <f>BADAC!F71</f>
        <v>94</v>
      </c>
      <c r="G32" s="385">
        <f t="shared" si="3"/>
        <v>470</v>
      </c>
      <c r="I32" s="366"/>
      <c r="J32" s="409"/>
      <c r="K32" s="410"/>
      <c r="L32" s="410"/>
      <c r="M32" s="409"/>
      <c r="N32" s="411"/>
      <c r="O32" s="412"/>
    </row>
    <row r="33" spans="1:15" ht="15.75">
      <c r="A33" s="380">
        <f t="shared" si="2"/>
        <v>13</v>
      </c>
      <c r="B33" s="381" t="str">
        <f>BADAC!E72</f>
        <v>kgs</v>
      </c>
      <c r="C33" s="1074" t="str">
        <f>BADAC!C72</f>
        <v>CWN 3"</v>
      </c>
      <c r="D33" s="1074"/>
      <c r="E33" s="383">
        <f>BADAC!D72</f>
        <v>5</v>
      </c>
      <c r="F33" s="384">
        <f>BADAC!F72</f>
        <v>94</v>
      </c>
      <c r="G33" s="385">
        <f t="shared" si="3"/>
        <v>470</v>
      </c>
      <c r="I33" s="366"/>
      <c r="J33" s="409"/>
      <c r="K33" s="410"/>
      <c r="L33" s="410"/>
      <c r="M33" s="409"/>
      <c r="N33" s="411"/>
      <c r="O33" s="412"/>
    </row>
    <row r="34" spans="1:15" ht="15.75">
      <c r="A34" s="380">
        <f t="shared" si="2"/>
        <v>14</v>
      </c>
      <c r="B34" s="381" t="str">
        <f>BADAC!E73</f>
        <v>kgs</v>
      </c>
      <c r="C34" s="1074" t="str">
        <f>BADAC!C73</f>
        <v>Tie Wire # 16</v>
      </c>
      <c r="D34" s="1074"/>
      <c r="E34" s="383">
        <f>BADAC!D73</f>
        <v>3.1181999999999999</v>
      </c>
      <c r="F34" s="384">
        <f>BADAC!F73</f>
        <v>110</v>
      </c>
      <c r="G34" s="385">
        <f t="shared" si="3"/>
        <v>343.00200000000001</v>
      </c>
      <c r="I34" s="366"/>
      <c r="J34" s="409"/>
      <c r="K34" s="410"/>
      <c r="L34" s="410"/>
      <c r="M34" s="409"/>
      <c r="N34" s="411"/>
      <c r="O34" s="412"/>
    </row>
    <row r="35" spans="1:15" ht="15.75">
      <c r="A35" s="380">
        <f t="shared" si="2"/>
        <v>15</v>
      </c>
      <c r="B35" s="381" t="str">
        <f>BADAC!E74</f>
        <v>kgs</v>
      </c>
      <c r="C35" s="1074" t="str">
        <f>BADAC!C74</f>
        <v>CWN 1 1/2"</v>
      </c>
      <c r="D35" s="1074"/>
      <c r="E35" s="383">
        <f>BADAC!D74</f>
        <v>3</v>
      </c>
      <c r="F35" s="384">
        <f>BADAC!F74</f>
        <v>94</v>
      </c>
      <c r="G35" s="385">
        <f t="shared" si="3"/>
        <v>282</v>
      </c>
      <c r="I35" s="366"/>
      <c r="J35" s="409"/>
      <c r="K35" s="410"/>
      <c r="L35" s="410"/>
      <c r="M35" s="409"/>
      <c r="N35" s="411"/>
      <c r="O35" s="412"/>
    </row>
    <row r="36" spans="1:15" ht="15.75">
      <c r="A36" s="380">
        <f t="shared" si="2"/>
        <v>16</v>
      </c>
      <c r="B36" s="381" t="str">
        <f>BADAC!E75</f>
        <v>m</v>
      </c>
      <c r="C36" s="1074" t="str">
        <f>BADAC!C75</f>
        <v>Hardware cloth 1/8"</v>
      </c>
      <c r="D36" s="1074"/>
      <c r="E36" s="383">
        <f>BADAC!D75</f>
        <v>3</v>
      </c>
      <c r="F36" s="384">
        <f>BADAC!F75</f>
        <v>189</v>
      </c>
      <c r="G36" s="385">
        <f t="shared" si="3"/>
        <v>567</v>
      </c>
      <c r="H36" s="371">
        <f>SUM(G28:G36)</f>
        <v>12860.002</v>
      </c>
      <c r="I36" s="366"/>
      <c r="J36" s="409"/>
      <c r="K36" s="410"/>
      <c r="L36" s="410"/>
      <c r="M36" s="409"/>
      <c r="N36" s="411"/>
      <c r="O36" s="412"/>
    </row>
    <row r="37" spans="1:15" ht="15.75">
      <c r="A37" s="380">
        <f t="shared" si="2"/>
        <v>17</v>
      </c>
      <c r="B37" s="381" t="str">
        <f>BADAC!E93</f>
        <v>pcs</v>
      </c>
      <c r="C37" s="1074" t="str">
        <f>BADAC!C93</f>
        <v>CHB 4"x8"x16"</v>
      </c>
      <c r="D37" s="1074"/>
      <c r="E37" s="383">
        <f>BADAC!D93</f>
        <v>300</v>
      </c>
      <c r="F37" s="384">
        <f>BADAC!F93</f>
        <v>13</v>
      </c>
      <c r="G37" s="385">
        <f t="shared" ref="G37:G40" si="4">F37*E37</f>
        <v>3900</v>
      </c>
      <c r="I37" s="366"/>
      <c r="J37" s="409"/>
      <c r="K37" s="410"/>
      <c r="L37" s="410"/>
      <c r="M37" s="409"/>
      <c r="N37" s="411"/>
      <c r="O37" s="412"/>
    </row>
    <row r="38" spans="1:15" ht="15.75">
      <c r="A38" s="380">
        <f t="shared" si="2"/>
        <v>18</v>
      </c>
      <c r="B38" s="381" t="str">
        <f>BADAC!E94</f>
        <v>length</v>
      </c>
      <c r="C38" s="1074" t="str">
        <f>BADAC!C94</f>
        <v>10mm diam x 6m corr. Deform bar</v>
      </c>
      <c r="D38" s="1074"/>
      <c r="E38" s="383">
        <f>BADAC!D94</f>
        <v>20</v>
      </c>
      <c r="F38" s="384">
        <f>BADAC!F94</f>
        <v>210</v>
      </c>
      <c r="G38" s="385">
        <f t="shared" si="4"/>
        <v>4200</v>
      </c>
      <c r="I38" s="366"/>
      <c r="J38" s="409"/>
      <c r="K38" s="410"/>
      <c r="L38" s="410"/>
      <c r="M38" s="409"/>
      <c r="N38" s="411"/>
      <c r="O38" s="412"/>
    </row>
    <row r="39" spans="1:15" ht="15.75">
      <c r="A39" s="380">
        <f t="shared" si="2"/>
        <v>19</v>
      </c>
      <c r="B39" s="381" t="str">
        <f>BADAC!E95</f>
        <v>bags</v>
      </c>
      <c r="C39" s="1074" t="str">
        <f>BADAC!C95</f>
        <v>Premium Portland Cement ASTM C595</v>
      </c>
      <c r="D39" s="1074"/>
      <c r="E39" s="383">
        <f>BADAC!D95</f>
        <v>90</v>
      </c>
      <c r="F39" s="384">
        <f>BADAC!F95</f>
        <v>310</v>
      </c>
      <c r="G39" s="385">
        <f t="shared" si="4"/>
        <v>27900</v>
      </c>
      <c r="I39" s="366"/>
      <c r="J39" s="409"/>
      <c r="K39" s="410"/>
      <c r="L39" s="410"/>
      <c r="M39" s="409"/>
      <c r="N39" s="411"/>
      <c r="O39" s="412"/>
    </row>
    <row r="40" spans="1:15" ht="15.75">
      <c r="A40" s="380">
        <f t="shared" si="2"/>
        <v>20</v>
      </c>
      <c r="B40" s="381" t="str">
        <f>BADAC!E96</f>
        <v>cu.m.</v>
      </c>
      <c r="C40" s="1074" t="str">
        <f>BADAC!C96</f>
        <v>W. Sand</v>
      </c>
      <c r="D40" s="1074"/>
      <c r="E40" s="383">
        <f>BADAC!D96</f>
        <v>1</v>
      </c>
      <c r="F40" s="384">
        <f>BADAC!F96</f>
        <v>600</v>
      </c>
      <c r="G40" s="385">
        <f t="shared" si="4"/>
        <v>600</v>
      </c>
      <c r="H40" s="371">
        <f>SUM(G37:G40)</f>
        <v>36600</v>
      </c>
      <c r="I40" s="366"/>
      <c r="J40" s="409"/>
      <c r="K40" s="410"/>
      <c r="L40" s="410"/>
      <c r="M40" s="409"/>
      <c r="N40" s="411"/>
      <c r="O40" s="412"/>
    </row>
    <row r="41" spans="1:15" ht="15.75">
      <c r="A41" s="380">
        <f t="shared" si="2"/>
        <v>21</v>
      </c>
      <c r="B41" s="381" t="str">
        <f>BADAC!E114</f>
        <v>sq.m.</v>
      </c>
      <c r="C41" s="1074" t="str">
        <f>BADAC!C114</f>
        <v>Pre fabricated Long Span (0.40mm THK)</v>
      </c>
      <c r="D41" s="1074"/>
      <c r="E41" s="383">
        <f>BADAC!D114</f>
        <v>18</v>
      </c>
      <c r="F41" s="384">
        <f>BADAC!F114</f>
        <v>520</v>
      </c>
      <c r="G41" s="385">
        <f t="shared" ref="G41:G46" si="5">F41*E41</f>
        <v>9360</v>
      </c>
      <c r="I41" s="366"/>
      <c r="J41" s="409"/>
      <c r="K41" s="410"/>
      <c r="L41" s="410"/>
      <c r="M41" s="409"/>
      <c r="N41" s="411"/>
      <c r="O41" s="412"/>
    </row>
    <row r="42" spans="1:15" ht="15.75">
      <c r="A42" s="380">
        <f t="shared" si="2"/>
        <v>22</v>
      </c>
      <c r="B42" s="381" t="str">
        <f>BADAC!E115</f>
        <v>pcs</v>
      </c>
      <c r="C42" s="1074" t="str">
        <f>BADAC!C115</f>
        <v>Tek Screw #2</v>
      </c>
      <c r="D42" s="1074"/>
      <c r="E42" s="383">
        <f>BADAC!D115</f>
        <v>200</v>
      </c>
      <c r="F42" s="384">
        <f>BADAC!F115</f>
        <v>3</v>
      </c>
      <c r="G42" s="385">
        <f t="shared" si="5"/>
        <v>600</v>
      </c>
      <c r="I42" s="366"/>
      <c r="J42" s="409"/>
      <c r="K42" s="410"/>
      <c r="L42" s="410"/>
      <c r="M42" s="409"/>
      <c r="N42" s="411"/>
      <c r="O42" s="412"/>
    </row>
    <row r="43" spans="1:15" ht="15.75">
      <c r="A43" s="380">
        <f t="shared" si="2"/>
        <v>23</v>
      </c>
      <c r="B43" s="381" t="str">
        <f>BADAC!E116</f>
        <v>length</v>
      </c>
      <c r="C43" s="1074" t="str">
        <f>BADAC!C116</f>
        <v>Cee-Purlins 1.2mmx2"x4"x6m</v>
      </c>
      <c r="D43" s="1074"/>
      <c r="E43" s="383">
        <f>BADAC!D116</f>
        <v>7</v>
      </c>
      <c r="F43" s="384">
        <f>BADAC!F116</f>
        <v>650</v>
      </c>
      <c r="G43" s="385">
        <f t="shared" si="5"/>
        <v>4550</v>
      </c>
      <c r="I43" s="366"/>
      <c r="J43" s="409"/>
      <c r="K43" s="410"/>
      <c r="L43" s="410"/>
      <c r="M43" s="409"/>
      <c r="N43" s="411"/>
      <c r="O43" s="412"/>
    </row>
    <row r="44" spans="1:15" ht="15.75">
      <c r="A44" s="380">
        <f t="shared" si="2"/>
        <v>24</v>
      </c>
      <c r="B44" s="381" t="str">
        <f>BADAC!E117</f>
        <v>length</v>
      </c>
      <c r="C44" s="1074" t="str">
        <f>BADAC!C117</f>
        <v>Cee Purlins 1.2mmx2"x3"x6m</v>
      </c>
      <c r="D44" s="1074"/>
      <c r="E44" s="383">
        <f>BADAC!D117</f>
        <v>12</v>
      </c>
      <c r="F44" s="384">
        <f>BADAC!F117</f>
        <v>550</v>
      </c>
      <c r="G44" s="385">
        <f t="shared" si="5"/>
        <v>6600</v>
      </c>
      <c r="I44" s="366"/>
      <c r="J44" s="409"/>
      <c r="K44" s="410"/>
      <c r="L44" s="410"/>
      <c r="M44" s="409"/>
      <c r="N44" s="411"/>
      <c r="O44" s="412"/>
    </row>
    <row r="45" spans="1:15" ht="15.75">
      <c r="A45" s="380">
        <f t="shared" si="2"/>
        <v>25</v>
      </c>
      <c r="B45" s="381" t="str">
        <f>BADAC!E118</f>
        <v>pcs</v>
      </c>
      <c r="C45" s="1074" t="str">
        <f>BADAC!C118</f>
        <v>Grinding Stone 4"</v>
      </c>
      <c r="D45" s="1074"/>
      <c r="E45" s="383">
        <f>BADAC!D118</f>
        <v>5</v>
      </c>
      <c r="F45" s="384">
        <f>BADAC!F118</f>
        <v>120</v>
      </c>
      <c r="G45" s="385">
        <f t="shared" si="5"/>
        <v>600</v>
      </c>
      <c r="I45" s="366"/>
      <c r="J45" s="409"/>
      <c r="K45" s="410"/>
      <c r="L45" s="410"/>
      <c r="M45" s="409"/>
      <c r="N45" s="411"/>
      <c r="O45" s="412"/>
    </row>
    <row r="46" spans="1:15" ht="15.75">
      <c r="A46" s="380">
        <f t="shared" si="2"/>
        <v>26</v>
      </c>
      <c r="B46" s="381" t="str">
        <f>BADAC!E119</f>
        <v>pcs</v>
      </c>
      <c r="C46" s="1074" t="str">
        <f>BADAC!C119</f>
        <v>Drill bit 3/16</v>
      </c>
      <c r="D46" s="1074"/>
      <c r="E46" s="383">
        <f>BADAC!D119</f>
        <v>5</v>
      </c>
      <c r="F46" s="384">
        <f>BADAC!F119</f>
        <v>110</v>
      </c>
      <c r="G46" s="385">
        <f t="shared" si="5"/>
        <v>550</v>
      </c>
      <c r="I46" s="366"/>
      <c r="J46" s="409"/>
      <c r="K46" s="410"/>
      <c r="L46" s="410"/>
      <c r="M46" s="409"/>
      <c r="N46" s="411"/>
      <c r="O46" s="412"/>
    </row>
    <row r="47" spans="1:15" ht="15.75">
      <c r="A47" s="380">
        <f t="shared" si="2"/>
        <v>27</v>
      </c>
      <c r="B47" s="381" t="str">
        <f>BADAC!E120</f>
        <v>kgs</v>
      </c>
      <c r="C47" s="1074" t="str">
        <f>BADAC!C120</f>
        <v>Welding Rod 6013</v>
      </c>
      <c r="D47" s="1074"/>
      <c r="E47" s="383">
        <f>BADAC!D120</f>
        <v>5</v>
      </c>
      <c r="F47" s="384">
        <f>BADAC!F120</f>
        <v>190</v>
      </c>
      <c r="G47" s="385">
        <f t="shared" ref="G47:G49" si="6">F47*E47</f>
        <v>950</v>
      </c>
      <c r="I47" s="366"/>
      <c r="J47" s="409"/>
      <c r="K47" s="410"/>
      <c r="L47" s="410"/>
      <c r="M47" s="409"/>
      <c r="N47" s="411"/>
      <c r="O47" s="412"/>
    </row>
    <row r="48" spans="1:15" ht="15.75">
      <c r="A48" s="380">
        <f t="shared" si="2"/>
        <v>28</v>
      </c>
      <c r="B48" s="381" t="str">
        <f>BADAC!E121</f>
        <v>pcs</v>
      </c>
      <c r="C48" s="1074" t="str">
        <f>BADAC!C121</f>
        <v>Cutting Disc 4" ( Flexiarapid super A 60 U )</v>
      </c>
      <c r="D48" s="1074"/>
      <c r="E48" s="383">
        <f>BADAC!D121</f>
        <v>5</v>
      </c>
      <c r="F48" s="384">
        <f>BADAC!F121</f>
        <v>210</v>
      </c>
      <c r="G48" s="385">
        <f t="shared" si="6"/>
        <v>1050</v>
      </c>
      <c r="H48" s="371">
        <f>SUM(G41:G48)</f>
        <v>24260</v>
      </c>
      <c r="I48" s="366"/>
      <c r="J48" s="409"/>
      <c r="K48" s="410"/>
      <c r="L48" s="410"/>
      <c r="M48" s="409"/>
      <c r="N48" s="411"/>
      <c r="O48" s="412"/>
    </row>
    <row r="49" spans="1:15" ht="15.75">
      <c r="A49" s="380">
        <f t="shared" si="2"/>
        <v>29</v>
      </c>
      <c r="B49" s="381" t="str">
        <f>BADAC!E140</f>
        <v>bags</v>
      </c>
      <c r="C49" s="1074" t="str">
        <f>BADAC!C140</f>
        <v>Skim Coat</v>
      </c>
      <c r="D49" s="1074"/>
      <c r="E49" s="383">
        <f>BADAC!D140</f>
        <v>5</v>
      </c>
      <c r="F49" s="384">
        <f>BADAC!F140</f>
        <v>615</v>
      </c>
      <c r="G49" s="385">
        <f t="shared" si="6"/>
        <v>3075</v>
      </c>
      <c r="I49" s="366"/>
      <c r="J49" s="409"/>
      <c r="K49" s="410"/>
      <c r="L49" s="410"/>
      <c r="M49" s="409"/>
      <c r="N49" s="411"/>
      <c r="O49" s="412"/>
    </row>
    <row r="50" spans="1:15" ht="15.75">
      <c r="A50" s="380">
        <f t="shared" si="2"/>
        <v>30</v>
      </c>
      <c r="B50" s="381" t="str">
        <f>BADAC!E141</f>
        <v>gals</v>
      </c>
      <c r="C50" s="1074" t="str">
        <f>BADAC!C141</f>
        <v>Epoxy Primer gray ( Premium quality )</v>
      </c>
      <c r="D50" s="1074"/>
      <c r="E50" s="383">
        <f>BADAC!D141</f>
        <v>5</v>
      </c>
      <c r="F50" s="384">
        <f>BADAC!F141</f>
        <v>850</v>
      </c>
      <c r="G50" s="385">
        <f t="shared" ref="G50:G53" si="7">F50*E50</f>
        <v>4250</v>
      </c>
      <c r="I50" s="366"/>
      <c r="J50" s="409"/>
      <c r="K50" s="410"/>
      <c r="L50" s="410"/>
      <c r="M50" s="409"/>
      <c r="N50" s="411"/>
      <c r="O50" s="412"/>
    </row>
    <row r="51" spans="1:15" ht="15.75">
      <c r="A51" s="380">
        <f t="shared" si="2"/>
        <v>31</v>
      </c>
      <c r="B51" s="381" t="str">
        <f>BADAC!E142</f>
        <v>gals</v>
      </c>
      <c r="C51" s="1074" t="str">
        <f>BADAC!C142</f>
        <v>Semi-Gloss Latex (Raw Sienna) ( Premium quality )</v>
      </c>
      <c r="D51" s="1074"/>
      <c r="E51" s="383">
        <f>BADAC!D142</f>
        <v>10</v>
      </c>
      <c r="F51" s="384">
        <f>BADAC!F142</f>
        <v>800</v>
      </c>
      <c r="G51" s="385">
        <f t="shared" si="7"/>
        <v>8000</v>
      </c>
      <c r="I51" s="366"/>
      <c r="J51" s="409"/>
      <c r="K51" s="410"/>
      <c r="L51" s="410"/>
      <c r="M51" s="409"/>
      <c r="N51" s="411"/>
      <c r="O51" s="412"/>
    </row>
    <row r="52" spans="1:15" ht="15.75">
      <c r="A52" s="380">
        <f t="shared" si="2"/>
        <v>32</v>
      </c>
      <c r="B52" s="381" t="str">
        <f>BADAC!E143</f>
        <v>gals</v>
      </c>
      <c r="C52" s="1074" t="str">
        <f>BADAC!C143</f>
        <v>Flat Latex White ( Premium quality )</v>
      </c>
      <c r="D52" s="1074"/>
      <c r="E52" s="383">
        <f>BADAC!D143</f>
        <v>14</v>
      </c>
      <c r="F52" s="384">
        <f>BADAC!F143</f>
        <v>810</v>
      </c>
      <c r="G52" s="385">
        <f t="shared" si="7"/>
        <v>11340</v>
      </c>
      <c r="I52" s="366"/>
      <c r="J52" s="409"/>
      <c r="K52" s="410"/>
      <c r="L52" s="410"/>
      <c r="M52" s="409"/>
      <c r="N52" s="411"/>
      <c r="O52" s="412"/>
    </row>
    <row r="53" spans="1:15" ht="15.75">
      <c r="A53" s="380">
        <f t="shared" si="2"/>
        <v>33</v>
      </c>
      <c r="B53" s="381" t="str">
        <f>BADAC!E144</f>
        <v>qrt</v>
      </c>
      <c r="C53" s="1074" t="str">
        <f>BADAC!C144</f>
        <v>Polytuff with hardener</v>
      </c>
      <c r="D53" s="1074"/>
      <c r="E53" s="383">
        <f>BADAC!D144</f>
        <v>8</v>
      </c>
      <c r="F53" s="384">
        <f>BADAC!F144</f>
        <v>350</v>
      </c>
      <c r="G53" s="385">
        <f t="shared" si="7"/>
        <v>2800</v>
      </c>
      <c r="I53" s="366"/>
      <c r="J53" s="409"/>
      <c r="K53" s="410"/>
      <c r="L53" s="410"/>
      <c r="M53" s="409"/>
      <c r="N53" s="411"/>
      <c r="O53" s="412"/>
    </row>
    <row r="54" spans="1:15">
      <c r="A54" s="380">
        <f t="shared" si="2"/>
        <v>34</v>
      </c>
      <c r="B54" s="381" t="str">
        <f>BADAC!E145</f>
        <v>gals</v>
      </c>
      <c r="C54" s="1074" t="str">
        <f>BADAC!C145</f>
        <v>Lacquer Thinner ( Mayon )</v>
      </c>
      <c r="D54" s="1074"/>
      <c r="E54" s="383">
        <f>BADAC!D145</f>
        <v>7</v>
      </c>
      <c r="F54" s="384">
        <f>BADAC!F145</f>
        <v>650</v>
      </c>
      <c r="G54" s="385">
        <f t="shared" ref="G54" si="8">F54*E54</f>
        <v>4550</v>
      </c>
    </row>
    <row r="55" spans="1:15">
      <c r="A55" s="380">
        <f t="shared" si="2"/>
        <v>35</v>
      </c>
      <c r="B55" s="381" t="str">
        <f>BADAC!E146</f>
        <v>sets</v>
      </c>
      <c r="C55" s="1074" t="str">
        <f>BADAC!C146</f>
        <v>Roller Brush #7 with pan</v>
      </c>
      <c r="D55" s="1074"/>
      <c r="E55" s="383">
        <f>BADAC!D146</f>
        <v>8</v>
      </c>
      <c r="F55" s="384">
        <f>BADAC!F146</f>
        <v>250</v>
      </c>
      <c r="G55" s="385">
        <f t="shared" ref="G55:G61" si="9">F55*E55</f>
        <v>2000</v>
      </c>
    </row>
    <row r="56" spans="1:15">
      <c r="A56" s="380">
        <f t="shared" si="2"/>
        <v>36</v>
      </c>
      <c r="B56" s="381" t="str">
        <f>BADAC!E147</f>
        <v>pcs</v>
      </c>
      <c r="C56" s="1074" t="str">
        <f>BADAC!C147</f>
        <v>Paint Brush #1</v>
      </c>
      <c r="D56" s="1074"/>
      <c r="E56" s="383">
        <f>BADAC!D147</f>
        <v>8</v>
      </c>
      <c r="F56" s="384">
        <f>BADAC!F147</f>
        <v>35</v>
      </c>
      <c r="G56" s="385">
        <f t="shared" si="9"/>
        <v>280</v>
      </c>
    </row>
    <row r="57" spans="1:15">
      <c r="A57" s="380">
        <f t="shared" si="2"/>
        <v>37</v>
      </c>
      <c r="B57" s="381" t="str">
        <f>BADAC!E148</f>
        <v>pcs</v>
      </c>
      <c r="C57" s="1074" t="str">
        <f>BADAC!C148</f>
        <v>Paint Brush #2</v>
      </c>
      <c r="D57" s="1074"/>
      <c r="E57" s="383">
        <f>BADAC!D148</f>
        <v>5</v>
      </c>
      <c r="F57" s="384">
        <f>BADAC!F148</f>
        <v>45</v>
      </c>
      <c r="G57" s="385">
        <f t="shared" si="9"/>
        <v>225</v>
      </c>
    </row>
    <row r="58" spans="1:15">
      <c r="A58" s="380">
        <f t="shared" si="2"/>
        <v>38</v>
      </c>
      <c r="B58" s="381" t="str">
        <f>BADAC!E149</f>
        <v>pcs</v>
      </c>
      <c r="C58" s="1074" t="str">
        <f>BADAC!C149</f>
        <v>Paint Brush #3</v>
      </c>
      <c r="D58" s="1074"/>
      <c r="E58" s="383">
        <f>BADAC!D149</f>
        <v>5</v>
      </c>
      <c r="F58" s="384">
        <f>BADAC!F149</f>
        <v>95</v>
      </c>
      <c r="G58" s="385">
        <f t="shared" si="9"/>
        <v>475</v>
      </c>
    </row>
    <row r="59" spans="1:15">
      <c r="A59" s="380">
        <f t="shared" si="2"/>
        <v>39</v>
      </c>
      <c r="B59" s="381" t="str">
        <f>BADAC!E150</f>
        <v>pcs</v>
      </c>
      <c r="C59" s="1074" t="str">
        <f>BADAC!C150</f>
        <v>Paint Brush #4</v>
      </c>
      <c r="D59" s="1074"/>
      <c r="E59" s="383">
        <f>BADAC!D150</f>
        <v>5</v>
      </c>
      <c r="F59" s="384">
        <f>BADAC!F150</f>
        <v>135</v>
      </c>
      <c r="G59" s="385">
        <f t="shared" si="9"/>
        <v>675</v>
      </c>
    </row>
    <row r="60" spans="1:15">
      <c r="A60" s="380">
        <f t="shared" si="2"/>
        <v>40</v>
      </c>
      <c r="B60" s="381" t="str">
        <f>BADAC!E151</f>
        <v>pcs</v>
      </c>
      <c r="C60" s="1074" t="str">
        <f>BADAC!C151</f>
        <v>Baby Roller 4"</v>
      </c>
      <c r="D60" s="1074"/>
      <c r="E60" s="383">
        <f>BADAC!D151</f>
        <v>5</v>
      </c>
      <c r="F60" s="384">
        <f>BADAC!F151</f>
        <v>65</v>
      </c>
      <c r="G60" s="385">
        <f t="shared" si="9"/>
        <v>325</v>
      </c>
    </row>
    <row r="61" spans="1:15">
      <c r="A61" s="380">
        <f t="shared" si="2"/>
        <v>41</v>
      </c>
      <c r="B61" s="381" t="str">
        <f>BADAC!E152</f>
        <v>sheets</v>
      </c>
      <c r="C61" s="1074" t="str">
        <f>BADAC!C152</f>
        <v>Sand Paper #120</v>
      </c>
      <c r="D61" s="1074"/>
      <c r="E61" s="383">
        <f>BADAC!D152</f>
        <v>10</v>
      </c>
      <c r="F61" s="384">
        <f>BADAC!F152</f>
        <v>25</v>
      </c>
      <c r="G61" s="385">
        <f t="shared" si="9"/>
        <v>250</v>
      </c>
      <c r="H61" s="371">
        <f>SUM(G49:G61)</f>
        <v>38245</v>
      </c>
    </row>
    <row r="62" spans="1:15">
      <c r="A62" s="380">
        <f t="shared" si="2"/>
        <v>42</v>
      </c>
      <c r="B62" s="381" t="str">
        <f>BADAC!E170</f>
        <v>pcs</v>
      </c>
      <c r="C62" s="1074" t="str">
        <f>BADAC!C170</f>
        <v>Glazed Ceramic Tiles ( 0.60mx0.460m )</v>
      </c>
      <c r="D62" s="1074"/>
      <c r="E62" s="383">
        <f>BADAC!D170</f>
        <v>30</v>
      </c>
      <c r="F62" s="384">
        <f>BADAC!F170</f>
        <v>210</v>
      </c>
      <c r="G62" s="385">
        <f>F62*E62</f>
        <v>6300</v>
      </c>
    </row>
    <row r="63" spans="1:15">
      <c r="A63" s="1026" t="s">
        <v>1338</v>
      </c>
      <c r="B63" s="1026"/>
      <c r="C63" s="1026"/>
      <c r="D63" s="1026"/>
      <c r="E63" s="1026"/>
      <c r="F63" s="1026"/>
      <c r="G63" s="389">
        <f>SUM(G20:G62)</f>
        <v>149025.00200000001</v>
      </c>
      <c r="H63" s="371">
        <f>G63-BADAC!H170</f>
        <v>0</v>
      </c>
      <c r="I63" s="1027"/>
      <c r="J63" s="1027"/>
      <c r="K63" s="1027"/>
      <c r="L63" s="1027"/>
      <c r="M63" s="1027"/>
      <c r="N63" s="1027"/>
      <c r="O63" s="415"/>
    </row>
    <row r="64" spans="1:15" ht="15" customHeight="1">
      <c r="A64" s="1038" t="s">
        <v>1394</v>
      </c>
      <c r="B64" s="1039"/>
      <c r="C64" s="1042" t="s">
        <v>1670</v>
      </c>
      <c r="D64" s="1043"/>
      <c r="E64" s="1043"/>
      <c r="F64" s="1043"/>
      <c r="G64" s="1044"/>
      <c r="I64" s="416"/>
      <c r="J64" s="416"/>
      <c r="K64" s="416"/>
      <c r="L64" s="416"/>
      <c r="M64" s="416"/>
      <c r="N64" s="416"/>
      <c r="O64" s="416"/>
    </row>
    <row r="65" spans="1:15" ht="22.5" customHeight="1">
      <c r="A65" s="1040"/>
      <c r="B65" s="1041"/>
      <c r="C65" s="1045"/>
      <c r="D65" s="1046"/>
      <c r="E65" s="1046"/>
      <c r="F65" s="1046"/>
      <c r="G65" s="1047"/>
      <c r="I65" s="416"/>
      <c r="J65" s="416"/>
      <c r="K65" s="416"/>
      <c r="L65" s="416"/>
      <c r="M65" s="416"/>
      <c r="N65" s="416"/>
      <c r="O65" s="366"/>
    </row>
    <row r="66" spans="1:15">
      <c r="A66" s="390"/>
      <c r="B66" s="391"/>
      <c r="C66" s="392" t="s">
        <v>1395</v>
      </c>
      <c r="D66" s="1048" t="s">
        <v>1396</v>
      </c>
      <c r="E66" s="1049"/>
      <c r="F66" s="393" t="s">
        <v>1397</v>
      </c>
      <c r="G66" s="394"/>
      <c r="O66" s="366"/>
    </row>
    <row r="67" spans="1:15">
      <c r="A67" s="395"/>
      <c r="C67" s="396"/>
      <c r="D67" s="1050"/>
      <c r="E67" s="1051"/>
      <c r="F67" s="395"/>
      <c r="G67" s="397"/>
      <c r="O67" s="366"/>
    </row>
    <row r="68" spans="1:15">
      <c r="A68" s="398" t="s">
        <v>1069</v>
      </c>
      <c r="B68" s="399"/>
      <c r="C68" s="396"/>
      <c r="E68" s="397"/>
      <c r="F68" s="395"/>
      <c r="G68" s="397"/>
      <c r="O68" s="375"/>
    </row>
    <row r="69" spans="1:15">
      <c r="A69" s="398" t="s">
        <v>1070</v>
      </c>
      <c r="B69" s="399"/>
      <c r="C69" s="400" t="s">
        <v>1365</v>
      </c>
      <c r="D69" s="1052" t="s">
        <v>1398</v>
      </c>
      <c r="E69" s="1053"/>
      <c r="F69" s="1052" t="s">
        <v>1371</v>
      </c>
      <c r="G69" s="1053"/>
      <c r="K69" s="376"/>
      <c r="L69" s="376"/>
      <c r="N69" s="376"/>
      <c r="O69" s="376"/>
    </row>
    <row r="70" spans="1:15">
      <c r="A70" s="398" t="s">
        <v>1399</v>
      </c>
      <c r="B70" s="399"/>
      <c r="C70" s="401" t="s">
        <v>1400</v>
      </c>
      <c r="D70" s="1054" t="s">
        <v>1401</v>
      </c>
      <c r="E70" s="1055"/>
      <c r="F70" s="1056" t="s">
        <v>1074</v>
      </c>
      <c r="G70" s="1057"/>
      <c r="K70" s="417"/>
      <c r="L70" s="417"/>
      <c r="N70" s="364"/>
    </row>
    <row r="71" spans="1:15">
      <c r="A71" s="399" t="s">
        <v>1045</v>
      </c>
      <c r="B71" s="402"/>
      <c r="C71" s="403"/>
      <c r="D71" s="404"/>
      <c r="E71" s="405"/>
      <c r="F71" s="406"/>
      <c r="G71" s="405"/>
    </row>
    <row r="72" spans="1:15">
      <c r="A72" s="372"/>
      <c r="B72" s="372"/>
    </row>
    <row r="73" spans="1:15">
      <c r="A73" s="370" t="s">
        <v>1375</v>
      </c>
      <c r="E73" s="373" t="s">
        <v>1376</v>
      </c>
    </row>
    <row r="74" spans="1:15">
      <c r="E74" s="370" t="s">
        <v>1377</v>
      </c>
    </row>
    <row r="75" spans="1:15">
      <c r="E75" s="1072" t="str">
        <f>E4</f>
        <v xml:space="preserve">COMPLETION, RENOVATION AND 
IMPROVEMENT OF  DAY CARE CENTER
</v>
      </c>
      <c r="F75" s="927"/>
      <c r="G75" s="927"/>
    </row>
    <row r="76" spans="1:15">
      <c r="E76" s="927"/>
      <c r="F76" s="927"/>
      <c r="G76" s="927"/>
    </row>
    <row r="77" spans="1:15">
      <c r="A77" s="370" t="s">
        <v>1378</v>
      </c>
      <c r="E77" s="373" t="s">
        <v>1379</v>
      </c>
    </row>
    <row r="78" spans="1:15">
      <c r="A78" s="370" t="s">
        <v>1380</v>
      </c>
      <c r="E78" s="1032" t="str">
        <f>E7</f>
        <v xml:space="preserve">SITIO BADAC, BARANGAY SARAVIA, PUROK SAN FRANCISCO BARANGAY
NEW PANGASINAN, </v>
      </c>
      <c r="F78" s="1073"/>
      <c r="G78" s="1073"/>
    </row>
    <row r="79" spans="1:15">
      <c r="A79" s="370" t="s">
        <v>1381</v>
      </c>
      <c r="E79" s="1073"/>
      <c r="F79" s="1073"/>
      <c r="G79" s="1073"/>
    </row>
    <row r="80" spans="1:15" ht="15" customHeight="1">
      <c r="E80" s="1032" t="str">
        <f>E9</f>
        <v xml:space="preserve">PUROK BAGONG LIPUNAN BARANGAY SAN ISIDRO AND 
PUROK KAUSWAGAN BARANGAY SARAVIA
</v>
      </c>
      <c r="F80" s="1032"/>
      <c r="G80" s="1032"/>
    </row>
    <row r="81" spans="1:7">
      <c r="E81" s="1032"/>
      <c r="F81" s="1032"/>
      <c r="G81" s="1032"/>
    </row>
    <row r="82" spans="1:7">
      <c r="E82" s="1032"/>
      <c r="F82" s="1032"/>
      <c r="G82" s="1032"/>
    </row>
    <row r="83" spans="1:7">
      <c r="E83" s="1032"/>
      <c r="F83" s="1032"/>
      <c r="G83" s="1032"/>
    </row>
    <row r="84" spans="1:7">
      <c r="E84" s="374"/>
      <c r="F84" s="374"/>
      <c r="G84" s="374"/>
    </row>
    <row r="85" spans="1:7">
      <c r="E85" s="374"/>
      <c r="F85" s="374"/>
      <c r="G85" s="374"/>
    </row>
    <row r="86" spans="1:7">
      <c r="A86" s="1027" t="s">
        <v>1382</v>
      </c>
      <c r="B86" s="1027"/>
      <c r="C86" s="1027"/>
      <c r="D86" s="1027"/>
      <c r="E86" s="1027"/>
      <c r="F86" s="1027"/>
      <c r="G86" s="1027"/>
    </row>
    <row r="87" spans="1:7">
      <c r="A87" s="1028" t="s">
        <v>1383</v>
      </c>
      <c r="B87" s="1027"/>
      <c r="C87" s="1027"/>
      <c r="D87" s="1027"/>
      <c r="E87" s="1027"/>
      <c r="F87" s="1027"/>
      <c r="G87" s="1027"/>
    </row>
    <row r="88" spans="1:7">
      <c r="A88" s="1029" t="s">
        <v>1384</v>
      </c>
      <c r="B88" s="1029"/>
      <c r="C88" s="1029"/>
      <c r="D88" s="1029"/>
      <c r="E88" s="1029"/>
      <c r="F88" s="1029"/>
      <c r="G88" s="1029"/>
    </row>
    <row r="89" spans="1:7" ht="15.75">
      <c r="A89" s="370" t="s">
        <v>1385</v>
      </c>
      <c r="C89" s="376" t="s">
        <v>1386</v>
      </c>
      <c r="D89" s="377"/>
      <c r="E89" s="370" t="s">
        <v>1387</v>
      </c>
      <c r="F89" s="1036" t="str">
        <f>F16</f>
        <v>Date: February 24,2025</v>
      </c>
      <c r="G89" s="1037"/>
    </row>
    <row r="90" spans="1:7">
      <c r="A90" s="370" t="s">
        <v>1388</v>
      </c>
      <c r="E90" s="766" t="s">
        <v>1389</v>
      </c>
    </row>
    <row r="91" spans="1:7">
      <c r="A91" s="378" t="s">
        <v>1390</v>
      </c>
      <c r="B91" s="1066" t="s">
        <v>314</v>
      </c>
      <c r="C91" s="1068" t="s">
        <v>1391</v>
      </c>
      <c r="D91" s="1100"/>
      <c r="E91" s="1066" t="s">
        <v>1392</v>
      </c>
      <c r="F91" s="1069" t="s">
        <v>1393</v>
      </c>
      <c r="G91" s="1066" t="s">
        <v>1052</v>
      </c>
    </row>
    <row r="92" spans="1:7">
      <c r="A92" s="379" t="s">
        <v>1040</v>
      </c>
      <c r="B92" s="1067"/>
      <c r="C92" s="1070"/>
      <c r="D92" s="1101"/>
      <c r="E92" s="1067"/>
      <c r="F92" s="1071"/>
      <c r="G92" s="1067"/>
    </row>
    <row r="93" spans="1:7">
      <c r="A93" s="765">
        <v>43</v>
      </c>
      <c r="B93" s="764" t="str">
        <f>BADAC!E171</f>
        <v>pcs</v>
      </c>
      <c r="C93" s="382" t="str">
        <f>BADAC!C171</f>
        <v>Unglazed Ceramic Tiles ( 0.40mx0.40m )</v>
      </c>
      <c r="D93" s="382"/>
      <c r="E93" s="383">
        <f>BADAC!D171</f>
        <v>18</v>
      </c>
      <c r="F93" s="384">
        <f>BADAC!F171</f>
        <v>190</v>
      </c>
      <c r="G93" s="767">
        <f>F93*E93</f>
        <v>3420</v>
      </c>
    </row>
    <row r="94" spans="1:7">
      <c r="A94" s="763">
        <f>A93+1</f>
        <v>44</v>
      </c>
      <c r="B94" s="381" t="str">
        <f>BADAC!E172</f>
        <v>pcs</v>
      </c>
      <c r="C94" s="382" t="str">
        <f>BADAC!C172</f>
        <v>Glazed Ceramic Tiles ( 0.40mx0.40m )</v>
      </c>
      <c r="D94" s="382"/>
      <c r="E94" s="383">
        <f>BADAC!D172</f>
        <v>10</v>
      </c>
      <c r="F94" s="384">
        <f>BADAC!F172</f>
        <v>190</v>
      </c>
      <c r="G94" s="385">
        <f>F94*E94</f>
        <v>1900</v>
      </c>
    </row>
    <row r="95" spans="1:7">
      <c r="A95" s="763">
        <f t="shared" ref="A95:A111" si="10">A94+1</f>
        <v>45</v>
      </c>
      <c r="B95" s="381" t="str">
        <f>BADAC!E173</f>
        <v>bags</v>
      </c>
      <c r="C95" s="382" t="str">
        <f>BADAC!C173</f>
        <v>Tile Grout</v>
      </c>
      <c r="D95" s="382"/>
      <c r="E95" s="383">
        <f>BADAC!D173</f>
        <v>5</v>
      </c>
      <c r="F95" s="384">
        <f>BADAC!F173</f>
        <v>120</v>
      </c>
      <c r="G95" s="385">
        <f t="shared" ref="G95:G111" si="11">F95*E95</f>
        <v>600</v>
      </c>
    </row>
    <row r="96" spans="1:7">
      <c r="A96" s="763">
        <f t="shared" si="10"/>
        <v>46</v>
      </c>
      <c r="B96" s="381" t="str">
        <f>BADAC!E174</f>
        <v>lengths</v>
      </c>
      <c r="C96" s="382" t="str">
        <f>BADAC!C174</f>
        <v>PVC Pipe 4" S1000</v>
      </c>
      <c r="D96" s="382"/>
      <c r="E96" s="383">
        <f>BADAC!D174</f>
        <v>2</v>
      </c>
      <c r="F96" s="384">
        <f>BADAC!F174</f>
        <v>800</v>
      </c>
      <c r="G96" s="385">
        <f t="shared" si="11"/>
        <v>1600</v>
      </c>
    </row>
    <row r="97" spans="1:8">
      <c r="A97" s="763">
        <f t="shared" si="10"/>
        <v>47</v>
      </c>
      <c r="B97" s="381" t="str">
        <f>BADAC!E175</f>
        <v>lengths</v>
      </c>
      <c r="C97" s="382" t="str">
        <f>BADAC!C175</f>
        <v>PVC Pipe 2" S1000</v>
      </c>
      <c r="D97" s="382"/>
      <c r="E97" s="383">
        <f>BADAC!D175</f>
        <v>2</v>
      </c>
      <c r="F97" s="384">
        <f>BADAC!F175</f>
        <v>280</v>
      </c>
      <c r="G97" s="385">
        <f t="shared" si="11"/>
        <v>560</v>
      </c>
    </row>
    <row r="98" spans="1:8">
      <c r="A98" s="763">
        <f t="shared" si="10"/>
        <v>48</v>
      </c>
      <c r="B98" s="381" t="str">
        <f>BADAC!E176</f>
        <v>lengths</v>
      </c>
      <c r="C98" s="382" t="str">
        <f>BADAC!C176</f>
        <v>PVC Pipe 1/2" S1000</v>
      </c>
      <c r="D98" s="382"/>
      <c r="E98" s="383">
        <f>BADAC!D176</f>
        <v>2</v>
      </c>
      <c r="F98" s="384">
        <f>BADAC!F176</f>
        <v>80</v>
      </c>
      <c r="G98" s="385">
        <f t="shared" si="11"/>
        <v>160</v>
      </c>
    </row>
    <row r="99" spans="1:8">
      <c r="A99" s="763">
        <f t="shared" si="10"/>
        <v>49</v>
      </c>
      <c r="B99" s="381" t="str">
        <f>BADAC!E177</f>
        <v>pcs</v>
      </c>
      <c r="C99" s="382" t="str">
        <f>BADAC!C177</f>
        <v>PVC Elbow 90 deg. 4"</v>
      </c>
      <c r="D99" s="382"/>
      <c r="E99" s="383">
        <f>BADAC!D177</f>
        <v>3</v>
      </c>
      <c r="F99" s="384">
        <f>BADAC!F177</f>
        <v>60</v>
      </c>
      <c r="G99" s="385">
        <f t="shared" si="11"/>
        <v>180</v>
      </c>
    </row>
    <row r="100" spans="1:8">
      <c r="A100" s="763">
        <f t="shared" si="10"/>
        <v>50</v>
      </c>
      <c r="B100" s="381" t="str">
        <f>BADAC!E178</f>
        <v>pcs</v>
      </c>
      <c r="C100" s="382" t="str">
        <f>BADAC!C178</f>
        <v>PVC Elbow 45 deg. 4"</v>
      </c>
      <c r="D100" s="382"/>
      <c r="E100" s="383">
        <f>BADAC!D178</f>
        <v>3</v>
      </c>
      <c r="F100" s="384">
        <f>BADAC!F178</f>
        <v>50</v>
      </c>
      <c r="G100" s="385">
        <f t="shared" si="11"/>
        <v>150</v>
      </c>
    </row>
    <row r="101" spans="1:8">
      <c r="A101" s="763">
        <f t="shared" si="10"/>
        <v>51</v>
      </c>
      <c r="B101" s="381" t="str">
        <f>BADAC!E179</f>
        <v>pcs</v>
      </c>
      <c r="C101" s="382" t="str">
        <f>BADAC!C179</f>
        <v>PVC WYE Reducer 4"x 2"</v>
      </c>
      <c r="D101" s="382"/>
      <c r="E101" s="383">
        <f>BADAC!D179</f>
        <v>3</v>
      </c>
      <c r="F101" s="384">
        <f>BADAC!F179</f>
        <v>105</v>
      </c>
      <c r="G101" s="385">
        <f t="shared" si="11"/>
        <v>315</v>
      </c>
    </row>
    <row r="102" spans="1:8">
      <c r="A102" s="763">
        <f t="shared" si="10"/>
        <v>52</v>
      </c>
      <c r="B102" s="381" t="str">
        <f>BADAC!E180</f>
        <v>pcs</v>
      </c>
      <c r="C102" s="382" t="str">
        <f>BADAC!C180</f>
        <v>PVC Clean out 4"</v>
      </c>
      <c r="D102" s="382"/>
      <c r="E102" s="383">
        <f>BADAC!D180</f>
        <v>3</v>
      </c>
      <c r="F102" s="384">
        <f>BADAC!F180</f>
        <v>60</v>
      </c>
      <c r="G102" s="385">
        <f t="shared" si="11"/>
        <v>180</v>
      </c>
    </row>
    <row r="103" spans="1:8">
      <c r="A103" s="763">
        <f t="shared" si="10"/>
        <v>53</v>
      </c>
      <c r="B103" s="381" t="str">
        <f>BADAC!E181</f>
        <v>pcs</v>
      </c>
      <c r="C103" s="382" t="str">
        <f>BADAC!C181</f>
        <v>PVC P - Trap 2"</v>
      </c>
      <c r="D103" s="382"/>
      <c r="E103" s="383">
        <f>BADAC!D181</f>
        <v>2</v>
      </c>
      <c r="F103" s="384">
        <f>BADAC!F181</f>
        <v>60</v>
      </c>
      <c r="G103" s="385">
        <f t="shared" si="11"/>
        <v>120</v>
      </c>
    </row>
    <row r="104" spans="1:8">
      <c r="A104" s="763">
        <f t="shared" si="10"/>
        <v>54</v>
      </c>
      <c r="B104" s="381" t="str">
        <f>BADAC!E182</f>
        <v>pcs</v>
      </c>
      <c r="C104" s="382" t="str">
        <f>BADAC!C182</f>
        <v xml:space="preserve">PVC Elbow 90 deg. 2" </v>
      </c>
      <c r="D104" s="382"/>
      <c r="E104" s="383">
        <f>BADAC!D182</f>
        <v>3</v>
      </c>
      <c r="F104" s="384">
        <f>BADAC!F182</f>
        <v>60</v>
      </c>
      <c r="G104" s="385">
        <f t="shared" si="11"/>
        <v>180</v>
      </c>
    </row>
    <row r="105" spans="1:8">
      <c r="A105" s="763">
        <f t="shared" si="10"/>
        <v>55</v>
      </c>
      <c r="B105" s="381" t="str">
        <f>BADAC!E183</f>
        <v>rolls</v>
      </c>
      <c r="C105" s="1074" t="str">
        <f>BADAC!C183</f>
        <v>Teflon Tape 3/4</v>
      </c>
      <c r="D105" s="1074"/>
      <c r="E105" s="383">
        <f>BADAC!D183</f>
        <v>5</v>
      </c>
      <c r="F105" s="384">
        <f>BADAC!F183</f>
        <v>20</v>
      </c>
      <c r="G105" s="385">
        <f t="shared" si="11"/>
        <v>100</v>
      </c>
    </row>
    <row r="106" spans="1:8">
      <c r="A106" s="763">
        <f t="shared" si="10"/>
        <v>56</v>
      </c>
      <c r="B106" s="381" t="str">
        <f>BADAC!E184</f>
        <v>pcs</v>
      </c>
      <c r="C106" s="1074" t="str">
        <f>BADAC!C184</f>
        <v>Stainless Faucet 1/2"</v>
      </c>
      <c r="D106" s="1074"/>
      <c r="E106" s="383">
        <f>BADAC!D184</f>
        <v>2</v>
      </c>
      <c r="F106" s="384">
        <f>BADAC!F184</f>
        <v>300</v>
      </c>
      <c r="G106" s="385">
        <f t="shared" si="11"/>
        <v>600</v>
      </c>
    </row>
    <row r="107" spans="1:8">
      <c r="A107" s="763">
        <f t="shared" si="10"/>
        <v>57</v>
      </c>
      <c r="B107" s="381" t="str">
        <f>BADAC!E185</f>
        <v>pcs</v>
      </c>
      <c r="C107" s="1074" t="str">
        <f>BADAC!C185</f>
        <v>PVC Elbow 90 deg. 2" ( blue )</v>
      </c>
      <c r="D107" s="1074"/>
      <c r="E107" s="383">
        <f>BADAC!D185</f>
        <v>3</v>
      </c>
      <c r="F107" s="384">
        <f>BADAC!F185</f>
        <v>60</v>
      </c>
      <c r="G107" s="385">
        <f t="shared" si="11"/>
        <v>180</v>
      </c>
    </row>
    <row r="108" spans="1:8">
      <c r="A108" s="763">
        <f t="shared" si="10"/>
        <v>58</v>
      </c>
      <c r="B108" s="381" t="str">
        <f>BADAC!E186</f>
        <v>pcs</v>
      </c>
      <c r="C108" s="1074" t="str">
        <f>BADAC!C186</f>
        <v>PVC Tee 2"x2" (blue)</v>
      </c>
      <c r="D108" s="1074"/>
      <c r="E108" s="383">
        <f>BADAC!D186</f>
        <v>3</v>
      </c>
      <c r="F108" s="384">
        <f>BADAC!F186</f>
        <v>40</v>
      </c>
      <c r="G108" s="385">
        <f t="shared" si="11"/>
        <v>120</v>
      </c>
    </row>
    <row r="109" spans="1:8">
      <c r="A109" s="763">
        <f t="shared" si="10"/>
        <v>59</v>
      </c>
      <c r="B109" s="381" t="str">
        <f>BADAC!E187</f>
        <v>can</v>
      </c>
      <c r="C109" s="1074" t="str">
        <f>BADAC!C187</f>
        <v>Solvent Cement (100cc)</v>
      </c>
      <c r="D109" s="1074"/>
      <c r="E109" s="383">
        <f>BADAC!D187</f>
        <v>5</v>
      </c>
      <c r="F109" s="384">
        <f>BADAC!F187</f>
        <v>50</v>
      </c>
      <c r="G109" s="385">
        <f t="shared" si="11"/>
        <v>250</v>
      </c>
    </row>
    <row r="110" spans="1:8">
      <c r="A110" s="763">
        <f t="shared" si="10"/>
        <v>60</v>
      </c>
      <c r="B110" s="381" t="str">
        <f>BADAC!E188</f>
        <v>sets</v>
      </c>
      <c r="C110" s="1074" t="str">
        <f>BADAC!C188</f>
        <v>Water Close ( Nation )</v>
      </c>
      <c r="D110" s="1074"/>
      <c r="E110" s="383">
        <f>BADAC!D188</f>
        <v>2</v>
      </c>
      <c r="F110" s="384">
        <f>BADAC!F188</f>
        <v>1100</v>
      </c>
      <c r="G110" s="385">
        <f t="shared" si="11"/>
        <v>2200</v>
      </c>
    </row>
    <row r="111" spans="1:8">
      <c r="A111" s="763">
        <f t="shared" si="10"/>
        <v>61</v>
      </c>
      <c r="B111" s="381" t="str">
        <f>BADAC!E189</f>
        <v>pcs</v>
      </c>
      <c r="C111" s="1074" t="str">
        <f>BADAC!C189</f>
        <v>Stainless Floor Drain 4"x4"</v>
      </c>
      <c r="D111" s="1074"/>
      <c r="E111" s="383">
        <f>BADAC!D189</f>
        <v>2</v>
      </c>
      <c r="F111" s="384">
        <f>BADAC!F189</f>
        <v>150</v>
      </c>
      <c r="G111" s="385">
        <f t="shared" si="11"/>
        <v>300</v>
      </c>
      <c r="H111" s="371">
        <f>SUM(G93:G111,G62)</f>
        <v>19415</v>
      </c>
    </row>
    <row r="112" spans="1:8">
      <c r="A112" s="1059">
        <v>62</v>
      </c>
      <c r="B112" s="1058" t="str">
        <f>BADAC!E207</f>
        <v>set</v>
      </c>
      <c r="C112" s="1080" t="str">
        <f>BADAC!C207</f>
        <v>Jalousie Windows with fixed Glass and complete accessories 2.45mx1.50m</v>
      </c>
      <c r="D112" s="1080"/>
      <c r="E112" s="1064">
        <f>BADAC!D207</f>
        <v>2</v>
      </c>
      <c r="F112" s="1099">
        <f>BADAC!F207</f>
        <v>7000</v>
      </c>
      <c r="G112" s="1064">
        <f>F112*E112</f>
        <v>14000</v>
      </c>
    </row>
    <row r="113" spans="1:9">
      <c r="A113" s="1059"/>
      <c r="B113" s="1058"/>
      <c r="C113" s="1080"/>
      <c r="D113" s="1080"/>
      <c r="E113" s="1064"/>
      <c r="F113" s="1099"/>
      <c r="G113" s="1064"/>
      <c r="I113" s="418"/>
    </row>
    <row r="114" spans="1:9">
      <c r="A114" s="1059">
        <v>63</v>
      </c>
      <c r="B114" s="1058" t="str">
        <f>BADAC!E209</f>
        <v>set</v>
      </c>
      <c r="C114" s="1080" t="str">
        <f>BADAC!C209</f>
        <v>Awning Window Analoc Frame with complete accessories</v>
      </c>
      <c r="D114" s="1080"/>
      <c r="E114" s="1064">
        <f>BADAC!D209</f>
        <v>2</v>
      </c>
      <c r="F114" s="1099">
        <f>BADAC!F209</f>
        <v>1300</v>
      </c>
      <c r="G114" s="1064">
        <f>F114*E114</f>
        <v>2600</v>
      </c>
    </row>
    <row r="115" spans="1:9">
      <c r="A115" s="1059"/>
      <c r="B115" s="1058"/>
      <c r="C115" s="1080"/>
      <c r="D115" s="1080"/>
      <c r="E115" s="1064"/>
      <c r="F115" s="1099"/>
      <c r="G115" s="1064"/>
    </row>
    <row r="116" spans="1:9">
      <c r="A116" s="1059">
        <v>64</v>
      </c>
      <c r="B116" s="1058" t="str">
        <f>BADAC!E211</f>
        <v>set</v>
      </c>
      <c r="C116" s="1080" t="str">
        <f>BADAC!C211</f>
        <v>1.00mx2.10m Pre Painted Decorative Wooden Panel Door With Heavy duty Door Knob and Complete accessories</v>
      </c>
      <c r="D116" s="1080"/>
      <c r="E116" s="1064">
        <f>BADAC!D211</f>
        <v>2</v>
      </c>
      <c r="F116" s="1099">
        <f>BADAC!F211</f>
        <v>7500</v>
      </c>
      <c r="G116" s="1064">
        <f>F116*E116</f>
        <v>15000</v>
      </c>
    </row>
    <row r="117" spans="1:9">
      <c r="A117" s="1059"/>
      <c r="B117" s="1058"/>
      <c r="C117" s="1080"/>
      <c r="D117" s="1080"/>
      <c r="E117" s="1064"/>
      <c r="F117" s="1099"/>
      <c r="G117" s="1064"/>
    </row>
    <row r="118" spans="1:9">
      <c r="A118" s="1059">
        <v>65</v>
      </c>
      <c r="B118" s="1058" t="str">
        <f>BADAC!E213</f>
        <v>set</v>
      </c>
      <c r="C118" s="1080" t="str">
        <f>BADAC!C213</f>
        <v>0.70mx2.10m PVC Door With Heavy duty Door Knob and Complete accessories</v>
      </c>
      <c r="D118" s="1080"/>
      <c r="E118" s="1064">
        <f>BADAC!D213</f>
        <v>2</v>
      </c>
      <c r="F118" s="1099">
        <f>BADAC!F213</f>
        <v>1600</v>
      </c>
      <c r="G118" s="1064">
        <f>F118*E118</f>
        <v>3200</v>
      </c>
    </row>
    <row r="119" spans="1:9">
      <c r="A119" s="1059"/>
      <c r="B119" s="1058"/>
      <c r="C119" s="1080"/>
      <c r="D119" s="1080"/>
      <c r="E119" s="1064"/>
      <c r="F119" s="1099"/>
      <c r="G119" s="1064"/>
      <c r="H119" s="371">
        <f>G118+G116+G114+G112</f>
        <v>34800</v>
      </c>
    </row>
    <row r="120" spans="1:9">
      <c r="A120" s="763">
        <v>66</v>
      </c>
      <c r="B120" s="381" t="str">
        <f>BADAC!E231</f>
        <v>box</v>
      </c>
      <c r="C120" s="1074" t="str">
        <f>BADAC!C231</f>
        <v>THHN Wire #2mm</v>
      </c>
      <c r="D120" s="1074"/>
      <c r="E120" s="383">
        <f>BADAC!D231</f>
        <v>1</v>
      </c>
      <c r="F120" s="384">
        <f>BADAC!F231</f>
        <v>2200</v>
      </c>
      <c r="G120" s="385">
        <f t="shared" ref="G120" si="12">F120*E120</f>
        <v>2200</v>
      </c>
      <c r="I120" s="418"/>
    </row>
    <row r="121" spans="1:9">
      <c r="A121" s="763">
        <f>A120+1</f>
        <v>67</v>
      </c>
      <c r="B121" s="381" t="str">
        <f>BADAC!E232</f>
        <v>box</v>
      </c>
      <c r="C121" s="1074" t="str">
        <f>BADAC!C232</f>
        <v>THHN Wire #3.5mm</v>
      </c>
      <c r="D121" s="1074"/>
      <c r="E121" s="383">
        <f>BADAC!D232</f>
        <v>1</v>
      </c>
      <c r="F121" s="384">
        <f>BADAC!F232</f>
        <v>3200</v>
      </c>
      <c r="G121" s="385">
        <f t="shared" ref="G121:G131" si="13">F121*E121</f>
        <v>3200</v>
      </c>
      <c r="I121" s="418"/>
    </row>
    <row r="122" spans="1:9">
      <c r="A122" s="763">
        <f t="shared" ref="A122:A136" si="14">A121+1</f>
        <v>68</v>
      </c>
      <c r="B122" s="413" t="str">
        <f>BADAC!E233</f>
        <v>meter</v>
      </c>
      <c r="C122" s="1074" t="str">
        <f>BADAC!C233</f>
        <v>THHN Wire #8mm</v>
      </c>
      <c r="D122" s="1074"/>
      <c r="E122" s="761">
        <f>BADAC!D233</f>
        <v>10</v>
      </c>
      <c r="F122" s="384">
        <f>BADAC!F233</f>
        <v>70</v>
      </c>
      <c r="G122" s="762">
        <f t="shared" si="13"/>
        <v>700</v>
      </c>
      <c r="I122" s="418"/>
    </row>
    <row r="123" spans="1:9">
      <c r="A123" s="763">
        <f t="shared" si="14"/>
        <v>69</v>
      </c>
      <c r="B123" s="381" t="str">
        <f>BADAC!E234</f>
        <v>roll</v>
      </c>
      <c r="C123" s="387" t="str">
        <f>BADAC!C234</f>
        <v>Flexible Hose 1/2</v>
      </c>
      <c r="D123" s="388"/>
      <c r="E123" s="383">
        <f>BADAC!D234</f>
        <v>2</v>
      </c>
      <c r="F123" s="384">
        <f>BADAC!F234</f>
        <v>800</v>
      </c>
      <c r="G123" s="385">
        <f t="shared" si="13"/>
        <v>1600</v>
      </c>
      <c r="I123" s="418"/>
    </row>
    <row r="124" spans="1:9">
      <c r="A124" s="763">
        <f t="shared" si="14"/>
        <v>70</v>
      </c>
      <c r="B124" s="381" t="str">
        <f>BADAC!E235</f>
        <v>length</v>
      </c>
      <c r="C124" s="387" t="str">
        <f>BADAC!C235</f>
        <v>PVC Pipe 1/2" S1000 Orange</v>
      </c>
      <c r="D124" s="388"/>
      <c r="E124" s="383">
        <f>BADAC!D235</f>
        <v>5</v>
      </c>
      <c r="F124" s="384">
        <f>BADAC!F235</f>
        <v>78</v>
      </c>
      <c r="G124" s="385">
        <f t="shared" si="13"/>
        <v>390</v>
      </c>
      <c r="I124" s="418"/>
    </row>
    <row r="125" spans="1:9">
      <c r="A125" s="763">
        <f t="shared" si="14"/>
        <v>71</v>
      </c>
      <c r="B125" s="381" t="str">
        <f>BADAC!E236</f>
        <v>pcs</v>
      </c>
      <c r="C125" s="387" t="str">
        <f>BADAC!C236</f>
        <v>Utility Box</v>
      </c>
      <c r="D125" s="388"/>
      <c r="E125" s="383">
        <f>BADAC!D236</f>
        <v>5</v>
      </c>
      <c r="F125" s="384">
        <f>BADAC!F236</f>
        <v>55</v>
      </c>
      <c r="G125" s="385">
        <f t="shared" si="13"/>
        <v>275</v>
      </c>
      <c r="I125" s="418"/>
    </row>
    <row r="126" spans="1:9">
      <c r="A126" s="763">
        <f t="shared" si="14"/>
        <v>72</v>
      </c>
      <c r="B126" s="381" t="str">
        <f>BADAC!E237</f>
        <v>pcs</v>
      </c>
      <c r="C126" s="387" t="str">
        <f>BADAC!C237</f>
        <v>Junction Box</v>
      </c>
      <c r="D126" s="388"/>
      <c r="E126" s="383">
        <f>BADAC!D237</f>
        <v>5</v>
      </c>
      <c r="F126" s="384">
        <f>BADAC!F237</f>
        <v>55</v>
      </c>
      <c r="G126" s="385">
        <f t="shared" si="13"/>
        <v>275</v>
      </c>
      <c r="I126" s="418"/>
    </row>
    <row r="127" spans="1:9">
      <c r="A127" s="763">
        <f t="shared" si="14"/>
        <v>73</v>
      </c>
      <c r="B127" s="381" t="str">
        <f>BADAC!E238</f>
        <v>pcs</v>
      </c>
      <c r="C127" s="387" t="str">
        <f>BADAC!C238</f>
        <v>Convenience Outlet 2 Gang Flash Type</v>
      </c>
      <c r="D127" s="388"/>
      <c r="E127" s="383">
        <f>BADAC!D238</f>
        <v>3</v>
      </c>
      <c r="F127" s="384">
        <f>BADAC!F238</f>
        <v>150</v>
      </c>
      <c r="G127" s="385">
        <f t="shared" si="13"/>
        <v>450</v>
      </c>
      <c r="I127" s="418"/>
    </row>
    <row r="128" spans="1:9">
      <c r="A128" s="763">
        <f t="shared" si="14"/>
        <v>74</v>
      </c>
      <c r="B128" s="381" t="str">
        <f>BADAC!E239</f>
        <v>pcs</v>
      </c>
      <c r="C128" s="387" t="str">
        <f>BADAC!C239</f>
        <v>Switch Flash Type 3 Gang</v>
      </c>
      <c r="D128" s="388"/>
      <c r="E128" s="383">
        <f>BADAC!D239</f>
        <v>3</v>
      </c>
      <c r="F128" s="384">
        <f>BADAC!F239</f>
        <v>220</v>
      </c>
      <c r="G128" s="385">
        <f t="shared" si="13"/>
        <v>660</v>
      </c>
      <c r="I128" s="418"/>
    </row>
    <row r="129" spans="1:9">
      <c r="A129" s="763">
        <f t="shared" si="14"/>
        <v>75</v>
      </c>
      <c r="B129" s="381" t="str">
        <f>BADAC!E240</f>
        <v>pcs</v>
      </c>
      <c r="C129" s="387" t="str">
        <f>BADAC!C240</f>
        <v>Switch Flash Type 2 Gang</v>
      </c>
      <c r="D129" s="388"/>
      <c r="E129" s="383">
        <f>BADAC!D240</f>
        <v>2</v>
      </c>
      <c r="F129" s="384">
        <f>BADAC!F240</f>
        <v>200</v>
      </c>
      <c r="G129" s="385">
        <f t="shared" si="13"/>
        <v>400</v>
      </c>
      <c r="I129" s="418"/>
    </row>
    <row r="130" spans="1:9">
      <c r="A130" s="763">
        <f t="shared" si="14"/>
        <v>76</v>
      </c>
      <c r="B130" s="381" t="str">
        <f>BADAC!E241</f>
        <v>pcs</v>
      </c>
      <c r="C130" s="387" t="str">
        <f>BADAC!C241</f>
        <v>Switch Flash Type 1 Gang</v>
      </c>
      <c r="D130" s="388"/>
      <c r="E130" s="383">
        <f>BADAC!D241</f>
        <v>2</v>
      </c>
      <c r="F130" s="384">
        <f>BADAC!F241</f>
        <v>180</v>
      </c>
      <c r="G130" s="385">
        <f t="shared" si="13"/>
        <v>360</v>
      </c>
      <c r="I130" s="418"/>
    </row>
    <row r="131" spans="1:9">
      <c r="A131" s="763">
        <f t="shared" si="14"/>
        <v>77</v>
      </c>
      <c r="B131" s="381" t="str">
        <f>BADAC!E242</f>
        <v>pcs</v>
      </c>
      <c r="C131" s="387" t="str">
        <f>BADAC!C242</f>
        <v>Flexible Connector 1/2</v>
      </c>
      <c r="D131" s="388"/>
      <c r="E131" s="383">
        <f>BADAC!D242</f>
        <v>10</v>
      </c>
      <c r="F131" s="384">
        <f>BADAC!F242</f>
        <v>150</v>
      </c>
      <c r="G131" s="385">
        <f t="shared" si="13"/>
        <v>1500</v>
      </c>
      <c r="I131" s="418"/>
    </row>
    <row r="132" spans="1:9">
      <c r="A132" s="763">
        <f t="shared" si="14"/>
        <v>78</v>
      </c>
      <c r="B132" s="381" t="str">
        <f>BADAC!E243</f>
        <v>pcs</v>
      </c>
      <c r="C132" s="387" t="str">
        <f>BADAC!C243</f>
        <v>Electrical Tape Big</v>
      </c>
      <c r="D132" s="388"/>
      <c r="E132" s="383">
        <f>BADAC!D243</f>
        <v>10</v>
      </c>
      <c r="F132" s="384">
        <f>BADAC!F243</f>
        <v>55</v>
      </c>
      <c r="G132" s="385">
        <f t="shared" ref="G132:G135" si="15">F132*E132</f>
        <v>550</v>
      </c>
      <c r="I132" s="418"/>
    </row>
    <row r="133" spans="1:9">
      <c r="A133" s="763">
        <f t="shared" si="14"/>
        <v>79</v>
      </c>
      <c r="B133" s="381" t="str">
        <f>BADAC!E244</f>
        <v>pcs</v>
      </c>
      <c r="C133" s="387" t="str">
        <f>BADAC!C244</f>
        <v>Receptacle Outlet</v>
      </c>
      <c r="D133" s="388"/>
      <c r="E133" s="383">
        <f>BADAC!D244</f>
        <v>10</v>
      </c>
      <c r="F133" s="384">
        <f>BADAC!F244</f>
        <v>40</v>
      </c>
      <c r="G133" s="385">
        <f t="shared" si="15"/>
        <v>400</v>
      </c>
      <c r="I133" s="418"/>
    </row>
    <row r="134" spans="1:9">
      <c r="A134" s="763">
        <f t="shared" si="14"/>
        <v>80</v>
      </c>
      <c r="B134" s="381" t="str">
        <f>BADAC!E245</f>
        <v>sets</v>
      </c>
      <c r="C134" s="387" t="str">
        <f>BADAC!C245</f>
        <v>Led Tube 18Watts with Housing</v>
      </c>
      <c r="D134" s="388"/>
      <c r="E134" s="383">
        <f>BADAC!D245</f>
        <v>6</v>
      </c>
      <c r="F134" s="384">
        <f>BADAC!F245</f>
        <v>355</v>
      </c>
      <c r="G134" s="385">
        <f t="shared" si="15"/>
        <v>2130</v>
      </c>
      <c r="I134" s="418"/>
    </row>
    <row r="135" spans="1:9">
      <c r="A135" s="763">
        <f t="shared" si="14"/>
        <v>81</v>
      </c>
      <c r="B135" s="381" t="str">
        <f>BADAC!E246</f>
        <v>sets</v>
      </c>
      <c r="C135" s="387" t="str">
        <f>BADAC!C246</f>
        <v>Led Bulb 9 Watts</v>
      </c>
      <c r="D135" s="388"/>
      <c r="E135" s="383">
        <f>BADAC!D246</f>
        <v>3</v>
      </c>
      <c r="F135" s="384">
        <f>BADAC!F246</f>
        <v>270</v>
      </c>
      <c r="G135" s="385">
        <f t="shared" si="15"/>
        <v>810</v>
      </c>
      <c r="I135" s="418"/>
    </row>
    <row r="136" spans="1:9">
      <c r="A136" s="763">
        <f t="shared" si="14"/>
        <v>82</v>
      </c>
      <c r="B136" s="381" t="str">
        <f>BADAC!E247</f>
        <v>sets</v>
      </c>
      <c r="C136" s="387" t="str">
        <f>BADAC!C247</f>
        <v>Entrance Cap 1/2</v>
      </c>
      <c r="D136" s="388"/>
      <c r="E136" s="383">
        <f>BADAC!D247</f>
        <v>1</v>
      </c>
      <c r="F136" s="384">
        <f>BADAC!F247</f>
        <v>45</v>
      </c>
      <c r="G136" s="385">
        <f>F136*E136</f>
        <v>45</v>
      </c>
      <c r="I136" s="418"/>
    </row>
    <row r="137" spans="1:9">
      <c r="A137" s="1026" t="s">
        <v>1338</v>
      </c>
      <c r="B137" s="1026"/>
      <c r="C137" s="1026"/>
      <c r="D137" s="1026"/>
      <c r="E137" s="1026"/>
      <c r="F137" s="1026"/>
      <c r="G137" s="389">
        <f>SUM(G93:G136)</f>
        <v>63860</v>
      </c>
    </row>
    <row r="138" spans="1:9" ht="15" customHeight="1">
      <c r="A138" s="1038" t="s">
        <v>1394</v>
      </c>
      <c r="B138" s="1039"/>
      <c r="C138" s="1042" t="s">
        <v>1670</v>
      </c>
      <c r="D138" s="1043"/>
      <c r="E138" s="1043"/>
      <c r="F138" s="1043"/>
      <c r="G138" s="1044"/>
    </row>
    <row r="139" spans="1:9">
      <c r="A139" s="1040"/>
      <c r="B139" s="1041"/>
      <c r="C139" s="1045"/>
      <c r="D139" s="1046"/>
      <c r="E139" s="1046"/>
      <c r="F139" s="1046"/>
      <c r="G139" s="1047"/>
    </row>
    <row r="140" spans="1:9">
      <c r="A140" s="390"/>
      <c r="B140" s="391"/>
      <c r="C140" s="392" t="s">
        <v>1395</v>
      </c>
      <c r="D140" s="1048" t="s">
        <v>1396</v>
      </c>
      <c r="E140" s="1049"/>
      <c r="F140" s="393" t="s">
        <v>1397</v>
      </c>
      <c r="G140" s="394"/>
    </row>
    <row r="141" spans="1:9">
      <c r="A141" s="395"/>
      <c r="C141" s="396"/>
      <c r="D141" s="1050"/>
      <c r="E141" s="1051"/>
      <c r="F141" s="395"/>
      <c r="G141" s="397"/>
    </row>
    <row r="142" spans="1:9">
      <c r="A142" s="398" t="s">
        <v>1069</v>
      </c>
      <c r="B142" s="399"/>
      <c r="C142" s="396"/>
      <c r="E142" s="397"/>
      <c r="F142" s="395"/>
      <c r="G142" s="397"/>
    </row>
    <row r="143" spans="1:9">
      <c r="A143" s="398" t="s">
        <v>1070</v>
      </c>
      <c r="B143" s="399"/>
      <c r="C143" s="400" t="s">
        <v>1365</v>
      </c>
      <c r="D143" s="1052" t="s">
        <v>1398</v>
      </c>
      <c r="E143" s="1053"/>
      <c r="F143" s="1052" t="s">
        <v>1371</v>
      </c>
      <c r="G143" s="1053"/>
    </row>
    <row r="144" spans="1:9">
      <c r="A144" s="398" t="s">
        <v>1399</v>
      </c>
      <c r="B144" s="399"/>
      <c r="C144" s="401" t="s">
        <v>1400</v>
      </c>
      <c r="D144" s="1054" t="s">
        <v>1401</v>
      </c>
      <c r="E144" s="1055"/>
      <c r="F144" s="1056" t="s">
        <v>1074</v>
      </c>
      <c r="G144" s="1057"/>
    </row>
    <row r="145" spans="1:7">
      <c r="A145" s="399" t="s">
        <v>1045</v>
      </c>
      <c r="B145" s="402"/>
      <c r="C145" s="403"/>
      <c r="D145" s="404"/>
      <c r="E145" s="405"/>
      <c r="F145" s="406"/>
      <c r="G145" s="405"/>
    </row>
    <row r="146" spans="1:7">
      <c r="A146" s="372"/>
      <c r="B146" s="372"/>
    </row>
    <row r="147" spans="1:7">
      <c r="A147" s="370" t="s">
        <v>1375</v>
      </c>
      <c r="E147" s="373" t="s">
        <v>1376</v>
      </c>
    </row>
    <row r="148" spans="1:7">
      <c r="E148" s="370" t="s">
        <v>1377</v>
      </c>
    </row>
    <row r="149" spans="1:7">
      <c r="E149" s="1072" t="str">
        <f>E75</f>
        <v xml:space="preserve">COMPLETION, RENOVATION AND 
IMPROVEMENT OF  DAY CARE CENTER
</v>
      </c>
      <c r="F149" s="927"/>
      <c r="G149" s="927"/>
    </row>
    <row r="150" spans="1:7">
      <c r="E150" s="927"/>
      <c r="F150" s="927"/>
      <c r="G150" s="927"/>
    </row>
    <row r="151" spans="1:7">
      <c r="A151" s="370" t="s">
        <v>1378</v>
      </c>
      <c r="E151" s="373" t="s">
        <v>1379</v>
      </c>
    </row>
    <row r="152" spans="1:7">
      <c r="A152" s="370" t="s">
        <v>1380</v>
      </c>
      <c r="E152" s="1032" t="str">
        <f>E78</f>
        <v xml:space="preserve">SITIO BADAC, BARANGAY SARAVIA, PUROK SAN FRANCISCO BARANGAY
NEW PANGASINAN, </v>
      </c>
      <c r="F152" s="1073"/>
      <c r="G152" s="1073"/>
    </row>
    <row r="153" spans="1:7">
      <c r="A153" s="370" t="s">
        <v>1381</v>
      </c>
      <c r="E153" s="1073"/>
      <c r="F153" s="1073"/>
      <c r="G153" s="1073"/>
    </row>
    <row r="154" spans="1:7" ht="15" customHeight="1">
      <c r="E154" s="1032" t="str">
        <f t="shared" ref="E154" si="16">E80</f>
        <v xml:space="preserve">PUROK BAGONG LIPUNAN BARANGAY SAN ISIDRO AND 
PUROK KAUSWAGAN BARANGAY SARAVIA
</v>
      </c>
      <c r="F154" s="1032"/>
      <c r="G154" s="1032"/>
    </row>
    <row r="155" spans="1:7">
      <c r="E155" s="1032"/>
      <c r="F155" s="1032"/>
      <c r="G155" s="1032"/>
    </row>
    <row r="156" spans="1:7">
      <c r="E156" s="1032"/>
      <c r="F156" s="1032"/>
      <c r="G156" s="1032"/>
    </row>
    <row r="157" spans="1:7">
      <c r="E157" s="1032"/>
      <c r="F157" s="1032"/>
      <c r="G157" s="1032"/>
    </row>
    <row r="158" spans="1:7">
      <c r="E158" s="374"/>
      <c r="F158" s="374"/>
      <c r="G158" s="374"/>
    </row>
    <row r="159" spans="1:7">
      <c r="E159" s="374"/>
      <c r="F159" s="374"/>
      <c r="G159" s="374"/>
    </row>
    <row r="160" spans="1:7">
      <c r="A160" s="1027" t="s">
        <v>1382</v>
      </c>
      <c r="B160" s="1027"/>
      <c r="C160" s="1027"/>
      <c r="D160" s="1027"/>
      <c r="E160" s="1027"/>
      <c r="F160" s="1027"/>
      <c r="G160" s="1027"/>
    </row>
    <row r="161" spans="1:9">
      <c r="A161" s="1028" t="s">
        <v>1383</v>
      </c>
      <c r="B161" s="1027"/>
      <c r="C161" s="1027"/>
      <c r="D161" s="1027"/>
      <c r="E161" s="1027"/>
      <c r="F161" s="1027"/>
      <c r="G161" s="1027"/>
    </row>
    <row r="162" spans="1:9">
      <c r="A162" s="1029" t="s">
        <v>1384</v>
      </c>
      <c r="B162" s="1029"/>
      <c r="C162" s="1029"/>
      <c r="D162" s="1029"/>
      <c r="E162" s="1029"/>
      <c r="F162" s="1029"/>
      <c r="G162" s="1029"/>
    </row>
    <row r="163" spans="1:9" ht="15.75">
      <c r="A163" s="370" t="s">
        <v>1385</v>
      </c>
      <c r="C163" s="376" t="s">
        <v>1386</v>
      </c>
      <c r="D163" s="377"/>
      <c r="E163" s="370" t="s">
        <v>1387</v>
      </c>
      <c r="F163" s="1036" t="str">
        <f>F89</f>
        <v>Date: February 24,2025</v>
      </c>
      <c r="G163" s="1037"/>
    </row>
    <row r="164" spans="1:9">
      <c r="A164" s="370" t="s">
        <v>1388</v>
      </c>
      <c r="E164" s="370" t="s">
        <v>1389</v>
      </c>
    </row>
    <row r="165" spans="1:9">
      <c r="A165" s="378" t="s">
        <v>1390</v>
      </c>
      <c r="B165" s="1066" t="s">
        <v>314</v>
      </c>
      <c r="C165" s="1068" t="s">
        <v>1391</v>
      </c>
      <c r="D165" s="1069"/>
      <c r="E165" s="1066" t="s">
        <v>1392</v>
      </c>
      <c r="F165" s="1066" t="s">
        <v>1393</v>
      </c>
      <c r="G165" s="1066" t="s">
        <v>1052</v>
      </c>
    </row>
    <row r="166" spans="1:9">
      <c r="A166" s="379" t="s">
        <v>1040</v>
      </c>
      <c r="B166" s="1067"/>
      <c r="C166" s="1070"/>
      <c r="D166" s="1071"/>
      <c r="E166" s="1067"/>
      <c r="F166" s="1067"/>
      <c r="G166" s="1067"/>
    </row>
    <row r="167" spans="1:9">
      <c r="A167" s="380">
        <v>83</v>
      </c>
      <c r="B167" s="381" t="str">
        <f>BADAC!E248</f>
        <v>sets</v>
      </c>
      <c r="C167" s="387" t="str">
        <f>BADAC!C248</f>
        <v>Straight Connector 1/2</v>
      </c>
      <c r="D167" s="388"/>
      <c r="E167" s="383">
        <f>BADAC!D248</f>
        <v>1</v>
      </c>
      <c r="F167" s="384">
        <f>BADAC!F248</f>
        <v>35</v>
      </c>
      <c r="G167" s="385">
        <f t="shared" ref="G167:G172" si="17">F167*E167</f>
        <v>35</v>
      </c>
      <c r="I167" s="418"/>
    </row>
    <row r="168" spans="1:9">
      <c r="A168" s="380">
        <f>A167+1</f>
        <v>84</v>
      </c>
      <c r="B168" s="381" t="str">
        <f>BADAC!E249</f>
        <v>sets</v>
      </c>
      <c r="C168" s="387" t="str">
        <f>BADAC!C249</f>
        <v>PVC Elbow 90 Degree 1/2 Orange ( Long Bend )</v>
      </c>
      <c r="D168" s="388"/>
      <c r="E168" s="383">
        <f>BADAC!D249</f>
        <v>2</v>
      </c>
      <c r="F168" s="384">
        <f>BADAC!F249</f>
        <v>30</v>
      </c>
      <c r="G168" s="385">
        <f t="shared" si="17"/>
        <v>60</v>
      </c>
      <c r="H168" s="371">
        <f>SUM(G167,G120:G136,G168)</f>
        <v>16040</v>
      </c>
      <c r="I168" s="418"/>
    </row>
    <row r="169" spans="1:9">
      <c r="A169" s="380">
        <f t="shared" ref="A169:A181" si="18">A168+1</f>
        <v>85</v>
      </c>
      <c r="B169" s="381" t="str">
        <f>BADAC!E265</f>
        <v>lots</v>
      </c>
      <c r="C169" s="387" t="str">
        <f>BADAC!C265</f>
        <v>Tarpaulin with wood Frame (8'x8')</v>
      </c>
      <c r="D169" s="388"/>
      <c r="E169" s="383">
        <f>BADAC!D265</f>
        <v>1</v>
      </c>
      <c r="F169" s="384">
        <f>BADAC!F265</f>
        <v>2000</v>
      </c>
      <c r="G169" s="385">
        <f t="shared" si="17"/>
        <v>2000</v>
      </c>
      <c r="H169" s="371">
        <f>G169</f>
        <v>2000</v>
      </c>
      <c r="I169" s="418"/>
    </row>
    <row r="170" spans="1:9">
      <c r="A170" s="380">
        <f t="shared" si="18"/>
        <v>86</v>
      </c>
      <c r="B170" s="381" t="str">
        <f>BADAC!E283</f>
        <v>sheet</v>
      </c>
      <c r="C170" s="387" t="str">
        <f>BADAC!C283</f>
        <v xml:space="preserve">Cement Board 4.5mm x 4 x 8 </v>
      </c>
      <c r="D170" s="388"/>
      <c r="E170" s="383">
        <f>BADAC!D283</f>
        <v>40</v>
      </c>
      <c r="F170" s="384">
        <f>BADAC!F283</f>
        <v>600</v>
      </c>
      <c r="G170" s="385">
        <f t="shared" si="17"/>
        <v>24000</v>
      </c>
      <c r="I170" s="418"/>
    </row>
    <row r="171" spans="1:9">
      <c r="A171" s="380">
        <f t="shared" si="18"/>
        <v>87</v>
      </c>
      <c r="B171" s="381" t="str">
        <f>BADAC!E284</f>
        <v>length</v>
      </c>
      <c r="C171" s="387" t="str">
        <f>BADAC!C284</f>
        <v>Metal Furring  Double</v>
      </c>
      <c r="D171" s="388"/>
      <c r="E171" s="383">
        <f>BADAC!D284</f>
        <v>35</v>
      </c>
      <c r="F171" s="384">
        <f>BADAC!F284</f>
        <v>130</v>
      </c>
      <c r="G171" s="385">
        <f t="shared" si="17"/>
        <v>4550</v>
      </c>
      <c r="I171" s="418"/>
    </row>
    <row r="172" spans="1:9">
      <c r="A172" s="380">
        <f t="shared" si="18"/>
        <v>88</v>
      </c>
      <c r="B172" s="381" t="str">
        <f>BADAC!E285</f>
        <v>length</v>
      </c>
      <c r="C172" s="387" t="str">
        <f>BADAC!C285</f>
        <v>Carrying Channel</v>
      </c>
      <c r="D172" s="388"/>
      <c r="E172" s="383">
        <f>BADAC!D285</f>
        <v>34</v>
      </c>
      <c r="F172" s="384">
        <f>BADAC!F285</f>
        <v>150</v>
      </c>
      <c r="G172" s="385">
        <f t="shared" si="17"/>
        <v>5100</v>
      </c>
      <c r="I172" s="418"/>
    </row>
    <row r="173" spans="1:9">
      <c r="A173" s="380">
        <f t="shared" si="18"/>
        <v>89</v>
      </c>
      <c r="B173" s="381" t="str">
        <f>BADAC!E286</f>
        <v>pcs</v>
      </c>
      <c r="C173" s="387" t="str">
        <f>BADAC!C286</f>
        <v>W. Clip</v>
      </c>
      <c r="D173" s="388"/>
      <c r="E173" s="383">
        <f>BADAC!D286</f>
        <v>250</v>
      </c>
      <c r="F173" s="384">
        <f>BADAC!F286</f>
        <v>7</v>
      </c>
      <c r="G173" s="385">
        <f t="shared" ref="G173:G175" si="19">F173*E173</f>
        <v>1750</v>
      </c>
      <c r="I173" s="418"/>
    </row>
    <row r="174" spans="1:9">
      <c r="A174" s="380">
        <f t="shared" si="18"/>
        <v>90</v>
      </c>
      <c r="B174" s="381" t="str">
        <f>BADAC!E287</f>
        <v>box</v>
      </c>
      <c r="C174" s="387" t="str">
        <f>BADAC!C287</f>
        <v>Blind Rivets 1/8" x 1/2"</v>
      </c>
      <c r="D174" s="388"/>
      <c r="E174" s="383">
        <f>BADAC!D287</f>
        <v>2</v>
      </c>
      <c r="F174" s="384">
        <f>BADAC!F287</f>
        <v>500</v>
      </c>
      <c r="G174" s="385">
        <f t="shared" si="19"/>
        <v>1000</v>
      </c>
      <c r="I174" s="418"/>
    </row>
    <row r="175" spans="1:9">
      <c r="A175" s="380">
        <f t="shared" si="18"/>
        <v>91</v>
      </c>
      <c r="B175" s="381" t="str">
        <f>BADAC!E288</f>
        <v>kgs</v>
      </c>
      <c r="C175" s="387" t="str">
        <f>BADAC!C288</f>
        <v>Concrete Nails #1</v>
      </c>
      <c r="D175" s="388"/>
      <c r="E175" s="383">
        <f>BADAC!D288</f>
        <v>2</v>
      </c>
      <c r="F175" s="384">
        <f>BADAC!F288</f>
        <v>150</v>
      </c>
      <c r="G175" s="385">
        <f t="shared" si="19"/>
        <v>300</v>
      </c>
      <c r="H175" s="371">
        <f>SUM(G170:G175)</f>
        <v>36700</v>
      </c>
      <c r="I175" s="418"/>
    </row>
    <row r="176" spans="1:9">
      <c r="A176" s="380">
        <f t="shared" si="18"/>
        <v>92</v>
      </c>
      <c r="B176" s="381" t="str">
        <f>BADAC!E339</f>
        <v>length</v>
      </c>
      <c r="C176" s="387" t="str">
        <f>BADAC!C339</f>
        <v>GI Pipe 1.5" Schd. 40</v>
      </c>
      <c r="D176" s="388"/>
      <c r="E176" s="383">
        <f>BADAC!D339</f>
        <v>4</v>
      </c>
      <c r="F176" s="384">
        <f>BADAC!F339</f>
        <v>1400</v>
      </c>
      <c r="G176" s="385">
        <f t="shared" ref="G176:G181" si="20">F176*E176</f>
        <v>5600</v>
      </c>
      <c r="I176" s="418"/>
    </row>
    <row r="177" spans="1:15">
      <c r="A177" s="380">
        <f t="shared" si="18"/>
        <v>93</v>
      </c>
      <c r="B177" s="381" t="str">
        <f>BADAC!E340</f>
        <v>kgs</v>
      </c>
      <c r="C177" s="387" t="str">
        <f>BADAC!C340</f>
        <v>Welding Rod 6013</v>
      </c>
      <c r="D177" s="388"/>
      <c r="E177" s="383">
        <f>BADAC!D340</f>
        <v>10</v>
      </c>
      <c r="F177" s="384">
        <f>BADAC!F340</f>
        <v>190</v>
      </c>
      <c r="G177" s="385">
        <f t="shared" si="20"/>
        <v>1900</v>
      </c>
      <c r="I177" s="418"/>
    </row>
    <row r="178" spans="1:15">
      <c r="A178" s="380">
        <f t="shared" si="18"/>
        <v>94</v>
      </c>
      <c r="B178" s="381" t="str">
        <f>BADAC!E341</f>
        <v>length</v>
      </c>
      <c r="C178" s="387" t="str">
        <f>BADAC!C341</f>
        <v>Angle Bar 1"x1"x5mm</v>
      </c>
      <c r="D178" s="388"/>
      <c r="E178" s="383">
        <f>BADAC!D341</f>
        <v>15</v>
      </c>
      <c r="F178" s="384">
        <f>BADAC!F341</f>
        <v>210</v>
      </c>
      <c r="G178" s="385">
        <f t="shared" si="20"/>
        <v>3150</v>
      </c>
      <c r="I178" s="418"/>
    </row>
    <row r="179" spans="1:15">
      <c r="A179" s="380">
        <f t="shared" si="18"/>
        <v>95</v>
      </c>
      <c r="B179" s="381" t="str">
        <f>BADAC!E342</f>
        <v>pcs</v>
      </c>
      <c r="C179" s="1062" t="str">
        <f>BADAC!C342</f>
        <v>Cutting Disc 4" ( Flexiarapid super A 60 U )</v>
      </c>
      <c r="D179" s="1063"/>
      <c r="E179" s="383">
        <f>BADAC!D342</f>
        <v>7</v>
      </c>
      <c r="F179" s="384">
        <f>BADAC!F342</f>
        <v>690</v>
      </c>
      <c r="G179" s="385">
        <f t="shared" si="20"/>
        <v>4830</v>
      </c>
      <c r="I179" s="418"/>
    </row>
    <row r="180" spans="1:15">
      <c r="A180" s="380">
        <f t="shared" si="18"/>
        <v>96</v>
      </c>
      <c r="B180" s="381" t="str">
        <f>BADAC!E343</f>
        <v>sheet</v>
      </c>
      <c r="C180" s="1062" t="str">
        <f>BADAC!C343</f>
        <v>Steel Matting 4.5mm</v>
      </c>
      <c r="D180" s="1063"/>
      <c r="E180" s="383">
        <f>BADAC!D343</f>
        <v>4</v>
      </c>
      <c r="F180" s="384">
        <f>BADAC!F343</f>
        <v>750</v>
      </c>
      <c r="G180" s="385">
        <f t="shared" si="20"/>
        <v>3000</v>
      </c>
      <c r="I180" s="418"/>
    </row>
    <row r="181" spans="1:15">
      <c r="A181" s="380">
        <f t="shared" si="18"/>
        <v>97</v>
      </c>
      <c r="B181" s="381" t="str">
        <f>BADAC!E344</f>
        <v>length</v>
      </c>
      <c r="C181" s="1062" t="str">
        <f>BADAC!C344</f>
        <v>GI Pipe 3" Schd. 40</v>
      </c>
      <c r="D181" s="1063"/>
      <c r="E181" s="383">
        <f>BADAC!D344</f>
        <v>2</v>
      </c>
      <c r="F181" s="384">
        <f>BADAC!F344</f>
        <v>3100</v>
      </c>
      <c r="G181" s="385">
        <f t="shared" si="20"/>
        <v>6200</v>
      </c>
      <c r="H181" s="371">
        <f>SUM(G176:G181)</f>
        <v>24680</v>
      </c>
      <c r="I181" s="418"/>
    </row>
    <row r="182" spans="1:15" ht="15.75">
      <c r="A182" s="1075" t="str">
        <f>'SAN FRAN BO4'!B6</f>
        <v>IMPROVEMENT OF DAY CARE CENTER AT PUROK SAN FRANCISCO BARANGAY SITE BARANGAY NEW PANGASINAN</v>
      </c>
      <c r="B182" s="1076"/>
      <c r="C182" s="1076"/>
      <c r="D182" s="1076"/>
      <c r="E182" s="1076"/>
      <c r="F182" s="1076"/>
      <c r="G182" s="1077"/>
      <c r="I182" s="366"/>
      <c r="J182" s="409"/>
      <c r="K182" s="410"/>
      <c r="L182" s="410"/>
      <c r="M182" s="409"/>
      <c r="N182" s="411"/>
      <c r="O182" s="412"/>
    </row>
    <row r="183" spans="1:15">
      <c r="A183" s="380"/>
      <c r="B183" s="381" t="str">
        <f>'SAN FRAN BO4'!E27</f>
        <v>bags</v>
      </c>
      <c r="C183" s="1062" t="str">
        <f>'SAN FRAN BO4'!C27</f>
        <v>Premium Portland Cement ASTM C595</v>
      </c>
      <c r="D183" s="1063"/>
      <c r="E183" s="383">
        <f>'SAN FRAN BO4'!D27</f>
        <v>87</v>
      </c>
      <c r="F183" s="384">
        <f>'SAN FRAN BO4'!F27</f>
        <v>310</v>
      </c>
      <c r="G183" s="385">
        <f>F183*E183</f>
        <v>26970</v>
      </c>
      <c r="I183" s="418"/>
    </row>
    <row r="184" spans="1:15">
      <c r="A184" s="380"/>
      <c r="B184" s="381" t="str">
        <f>'SAN FRAN BO4'!E28</f>
        <v>cu.m.</v>
      </c>
      <c r="C184" s="1062" t="str">
        <f>'SAN FRAN BO4'!C28</f>
        <v>W. Sand</v>
      </c>
      <c r="D184" s="1063"/>
      <c r="E184" s="383">
        <f>'SAN FRAN BO4'!D28</f>
        <v>10</v>
      </c>
      <c r="F184" s="384">
        <f>'SAN FRAN BO4'!F28</f>
        <v>600</v>
      </c>
      <c r="G184" s="385">
        <f t="shared" ref="G184:G185" si="21">F184*E184</f>
        <v>6000</v>
      </c>
      <c r="I184" s="418"/>
    </row>
    <row r="185" spans="1:15">
      <c r="A185" s="380"/>
      <c r="B185" s="381" t="str">
        <f>'SAN FRAN BO4'!E29</f>
        <v>cu.m.</v>
      </c>
      <c r="C185" s="1062" t="str">
        <f>'SAN FRAN BO4'!C29</f>
        <v>Gravel 3/4", Crushed</v>
      </c>
      <c r="D185" s="1063"/>
      <c r="E185" s="383">
        <f>'SAN FRAN BO4'!D29</f>
        <v>5</v>
      </c>
      <c r="F185" s="384">
        <f>'SAN FRAN BO4'!F29</f>
        <v>1450</v>
      </c>
      <c r="G185" s="385">
        <f t="shared" si="21"/>
        <v>7250</v>
      </c>
      <c r="I185" s="418"/>
    </row>
    <row r="186" spans="1:15">
      <c r="A186" s="380"/>
      <c r="B186" s="381" t="str">
        <f>'SAN FRAN BO4'!E46</f>
        <v>length</v>
      </c>
      <c r="C186" s="1062" t="str">
        <f>'SAN FRAN BO4'!C46</f>
        <v>10mm diam x 6m corr. Deform bar</v>
      </c>
      <c r="D186" s="1063"/>
      <c r="E186" s="383">
        <f>'SAN FRAN BO4'!D46</f>
        <v>34</v>
      </c>
      <c r="F186" s="384">
        <f>'SAN FRAN BO4'!F46</f>
        <v>210</v>
      </c>
      <c r="G186" s="385">
        <f t="shared" ref="G186:G193" si="22">F186*E186</f>
        <v>7140</v>
      </c>
      <c r="I186" s="418"/>
    </row>
    <row r="187" spans="1:15">
      <c r="A187" s="380"/>
      <c r="B187" s="381" t="str">
        <f>'SAN FRAN BO4'!E47</f>
        <v>length</v>
      </c>
      <c r="C187" s="1062" t="str">
        <f>'SAN FRAN BO4'!C47</f>
        <v>12mm diam x 6m corr. Deform bar</v>
      </c>
      <c r="D187" s="1063"/>
      <c r="E187" s="383">
        <f>'SAN FRAN BO4'!D47</f>
        <v>11</v>
      </c>
      <c r="F187" s="384">
        <f>'SAN FRAN BO4'!F47</f>
        <v>310</v>
      </c>
      <c r="G187" s="385">
        <f t="shared" si="22"/>
        <v>3410</v>
      </c>
      <c r="I187" s="418"/>
    </row>
    <row r="188" spans="1:15">
      <c r="A188" s="380"/>
      <c r="B188" s="381" t="str">
        <f>'SAN FRAN BO4'!E48</f>
        <v>pcs</v>
      </c>
      <c r="C188" s="1062" t="str">
        <f>'SAN FRAN BO4'!C48</f>
        <v>Tie Wire # 16</v>
      </c>
      <c r="D188" s="1063"/>
      <c r="E188" s="383">
        <f>'SAN FRAN BO4'!D48</f>
        <v>10</v>
      </c>
      <c r="F188" s="384">
        <f>'SAN FRAN BO4'!F48</f>
        <v>110</v>
      </c>
      <c r="G188" s="385">
        <f t="shared" si="22"/>
        <v>1100</v>
      </c>
      <c r="I188" s="418"/>
    </row>
    <row r="189" spans="1:15">
      <c r="A189" s="380"/>
      <c r="B189" s="381" t="str">
        <f>'SAN FRAN BO4'!E49</f>
        <v>pcs</v>
      </c>
      <c r="C189" s="1062" t="str">
        <f>'SAN FRAN BO4'!C49</f>
        <v>Cutting Disc 4" ( Flexiarapid super A 60 U )</v>
      </c>
      <c r="D189" s="1063"/>
      <c r="E189" s="383">
        <f>'SAN FRAN BO4'!D49</f>
        <v>5</v>
      </c>
      <c r="F189" s="384">
        <f>'SAN FRAN BO4'!F49</f>
        <v>210</v>
      </c>
      <c r="G189" s="385">
        <f t="shared" si="22"/>
        <v>1050</v>
      </c>
      <c r="I189" s="418"/>
    </row>
    <row r="190" spans="1:15">
      <c r="A190" s="380"/>
      <c r="B190" s="381" t="str">
        <f>'SAN FRAN BO4'!E67</f>
        <v>bd.ft</v>
      </c>
      <c r="C190" s="1062" t="str">
        <f>'SAN FRAN BO4'!C67</f>
        <v>Coco-lumber ( 2"x3"x12' )</v>
      </c>
      <c r="D190" s="1063"/>
      <c r="E190" s="383">
        <f>'SAN FRAN BO4'!D67</f>
        <v>120</v>
      </c>
      <c r="F190" s="384">
        <f>'SAN FRAN BO4'!F67</f>
        <v>38</v>
      </c>
      <c r="G190" s="385">
        <f t="shared" si="22"/>
        <v>4560</v>
      </c>
      <c r="I190" s="418"/>
    </row>
    <row r="191" spans="1:15">
      <c r="A191" s="380"/>
      <c r="B191" s="381" t="str">
        <f>'SAN FRAN BO4'!E68</f>
        <v>bd.ft</v>
      </c>
      <c r="C191" s="1062" t="str">
        <f>'SAN FRAN BO4'!C68</f>
        <v>Coco-lumber ( 2"x2"x12' )</v>
      </c>
      <c r="D191" s="1063"/>
      <c r="E191" s="383">
        <f>'SAN FRAN BO4'!D68</f>
        <v>80</v>
      </c>
      <c r="F191" s="384">
        <f>'SAN FRAN BO4'!F68</f>
        <v>38</v>
      </c>
      <c r="G191" s="385">
        <f t="shared" si="22"/>
        <v>3040</v>
      </c>
      <c r="I191" s="418"/>
    </row>
    <row r="192" spans="1:15">
      <c r="A192" s="380"/>
      <c r="B192" s="381" t="str">
        <f>'SAN FRAN BO4'!E69</f>
        <v>sht</v>
      </c>
      <c r="C192" s="1062" t="str">
        <f>'SAN FRAN BO4'!C69</f>
        <v>Ordinary plywood 10MM 4'X8'</v>
      </c>
      <c r="D192" s="1063"/>
      <c r="E192" s="383">
        <f>'SAN FRAN BO4'!D69</f>
        <v>4</v>
      </c>
      <c r="F192" s="384">
        <f>'SAN FRAN BO4'!F69</f>
        <v>714</v>
      </c>
      <c r="G192" s="385">
        <f t="shared" si="22"/>
        <v>2856</v>
      </c>
      <c r="I192" s="418"/>
    </row>
    <row r="193" spans="1:9">
      <c r="A193" s="380"/>
      <c r="B193" s="381" t="str">
        <f>'SAN FRAN BO4'!E70</f>
        <v>roll</v>
      </c>
      <c r="C193" s="1062" t="str">
        <f>'SAN FRAN BO4'!C70</f>
        <v>Nylon string ( 0.40mm )</v>
      </c>
      <c r="D193" s="1063"/>
      <c r="E193" s="383">
        <f>'SAN FRAN BO4'!D70</f>
        <v>4</v>
      </c>
      <c r="F193" s="384">
        <f>'SAN FRAN BO4'!F70</f>
        <v>68</v>
      </c>
      <c r="G193" s="385">
        <f t="shared" si="22"/>
        <v>272</v>
      </c>
      <c r="I193" s="418"/>
    </row>
    <row r="194" spans="1:9">
      <c r="A194" s="380"/>
      <c r="B194" s="381" t="str">
        <f>'SAN FRAN BO4'!E71</f>
        <v>kgs</v>
      </c>
      <c r="C194" s="1062" t="str">
        <f>'SAN FRAN BO4'!C71</f>
        <v>CWN 4"</v>
      </c>
      <c r="D194" s="1063"/>
      <c r="E194" s="383">
        <f>'SAN FRAN BO4'!D71</f>
        <v>5</v>
      </c>
      <c r="F194" s="384">
        <f>'SAN FRAN BO4'!F71</f>
        <v>94</v>
      </c>
      <c r="G194" s="385">
        <f t="shared" ref="G194:G198" si="23">F194*E194</f>
        <v>470</v>
      </c>
      <c r="I194" s="418"/>
    </row>
    <row r="195" spans="1:9">
      <c r="A195" s="380"/>
      <c r="B195" s="381" t="str">
        <f>'SAN FRAN BO4'!E72</f>
        <v>kgs</v>
      </c>
      <c r="C195" s="1062" t="str">
        <f>'SAN FRAN BO4'!C72</f>
        <v>CWN 3"</v>
      </c>
      <c r="D195" s="1063"/>
      <c r="E195" s="383">
        <f>'SAN FRAN BO4'!D72</f>
        <v>5</v>
      </c>
      <c r="F195" s="384">
        <f>'SAN FRAN BO4'!F72</f>
        <v>94</v>
      </c>
      <c r="G195" s="385">
        <f t="shared" si="23"/>
        <v>470</v>
      </c>
      <c r="I195" s="418"/>
    </row>
    <row r="196" spans="1:9">
      <c r="A196" s="380"/>
      <c r="B196" s="381" t="str">
        <f>'SAN FRAN BO4'!E73</f>
        <v>kgs</v>
      </c>
      <c r="C196" s="1062" t="str">
        <f>'SAN FRAN BO4'!C73</f>
        <v>Tie Wire # 16</v>
      </c>
      <c r="D196" s="1063"/>
      <c r="E196" s="383">
        <f>'SAN FRAN BO4'!D73</f>
        <v>3.9272999999999998</v>
      </c>
      <c r="F196" s="384">
        <f>'SAN FRAN BO4'!F73</f>
        <v>110</v>
      </c>
      <c r="G196" s="385">
        <f t="shared" si="23"/>
        <v>432.00299999999999</v>
      </c>
      <c r="I196" s="418"/>
    </row>
    <row r="197" spans="1:9">
      <c r="A197" s="380"/>
      <c r="B197" s="381" t="str">
        <f>'SAN FRAN BO4'!E74</f>
        <v>kgs</v>
      </c>
      <c r="C197" s="1062" t="str">
        <f>'SAN FRAN BO4'!C74</f>
        <v>CWN 1 1/2"</v>
      </c>
      <c r="D197" s="1063"/>
      <c r="E197" s="383">
        <f>'SAN FRAN BO4'!D74</f>
        <v>3</v>
      </c>
      <c r="F197" s="384">
        <f>'SAN FRAN BO4'!F74</f>
        <v>94</v>
      </c>
      <c r="G197" s="385">
        <f t="shared" si="23"/>
        <v>282</v>
      </c>
      <c r="I197" s="418"/>
    </row>
    <row r="198" spans="1:9">
      <c r="A198" s="380"/>
      <c r="B198" s="381" t="str">
        <f>'SAN FRAN BO4'!E75</f>
        <v>m</v>
      </c>
      <c r="C198" s="1062" t="str">
        <f>'SAN FRAN BO4'!C75</f>
        <v>Hardware cloth 1/8"</v>
      </c>
      <c r="D198" s="1063"/>
      <c r="E198" s="383">
        <f>'SAN FRAN BO4'!D75</f>
        <v>3</v>
      </c>
      <c r="F198" s="384">
        <f>'SAN FRAN BO4'!F75</f>
        <v>189</v>
      </c>
      <c r="G198" s="385">
        <f t="shared" si="23"/>
        <v>567</v>
      </c>
      <c r="I198" s="418"/>
    </row>
    <row r="199" spans="1:9">
      <c r="A199" s="380"/>
      <c r="B199" s="381" t="str">
        <f>'SAN FRAN BO4'!E93</f>
        <v>pcs</v>
      </c>
      <c r="C199" s="1062" t="str">
        <f>'SAN FRAN BO4'!C93</f>
        <v>CHB 4"x8"x16"</v>
      </c>
      <c r="D199" s="1063"/>
      <c r="E199" s="383">
        <f>'SAN FRAN BO4'!D93</f>
        <v>300</v>
      </c>
      <c r="F199" s="384">
        <f>'SAN FRAN BO4'!F93</f>
        <v>13</v>
      </c>
      <c r="G199" s="385">
        <f t="shared" ref="G199:G207" si="24">F199*E199</f>
        <v>3900</v>
      </c>
      <c r="I199" s="418"/>
    </row>
    <row r="200" spans="1:9">
      <c r="A200" s="380"/>
      <c r="B200" s="381" t="str">
        <f>'SAN FRAN BO4'!E94</f>
        <v>length</v>
      </c>
      <c r="C200" s="1062" t="str">
        <f>'SAN FRAN BO4'!C94</f>
        <v>10mm diam x 6m corr. Deform bar</v>
      </c>
      <c r="D200" s="1063"/>
      <c r="E200" s="383">
        <f>'SAN FRAN BO4'!D94</f>
        <v>20</v>
      </c>
      <c r="F200" s="384">
        <f>'SAN FRAN BO4'!F94</f>
        <v>210</v>
      </c>
      <c r="G200" s="385">
        <f t="shared" si="24"/>
        <v>4200</v>
      </c>
      <c r="I200" s="418"/>
    </row>
    <row r="201" spans="1:9">
      <c r="A201" s="380"/>
      <c r="B201" s="381" t="str">
        <f>'SAN FRAN BO4'!E95</f>
        <v>bags</v>
      </c>
      <c r="C201" s="1062" t="str">
        <f>'SAN FRAN BO4'!C95</f>
        <v>Premium Portland Cement ASTM C595</v>
      </c>
      <c r="D201" s="1063"/>
      <c r="E201" s="383">
        <f>'SAN FRAN BO4'!D95</f>
        <v>90</v>
      </c>
      <c r="F201" s="384">
        <f>'SAN FRAN BO4'!F95</f>
        <v>310</v>
      </c>
      <c r="G201" s="385">
        <f t="shared" si="24"/>
        <v>27900</v>
      </c>
      <c r="I201" s="418"/>
    </row>
    <row r="202" spans="1:9">
      <c r="A202" s="380"/>
      <c r="B202" s="381" t="str">
        <f>'SAN FRAN BO4'!E96</f>
        <v>cu.m.</v>
      </c>
      <c r="C202" s="1062" t="str">
        <f>'SAN FRAN BO4'!C96</f>
        <v>W. Sand</v>
      </c>
      <c r="D202" s="1063"/>
      <c r="E202" s="383">
        <f>'SAN FRAN BO4'!D96</f>
        <v>1</v>
      </c>
      <c r="F202" s="384">
        <f>'SAN FRAN BO4'!F96</f>
        <v>600</v>
      </c>
      <c r="G202" s="385">
        <f t="shared" si="24"/>
        <v>600</v>
      </c>
      <c r="I202" s="418"/>
    </row>
    <row r="203" spans="1:9">
      <c r="A203" s="380"/>
      <c r="B203" s="381" t="str">
        <f>'SAN FRAN BO4'!E114</f>
        <v>sq.m.</v>
      </c>
      <c r="C203" s="387" t="str">
        <f>'SAN FRAN BO4'!C114</f>
        <v>Pre fabricated Long Span (0.40mm THK)</v>
      </c>
      <c r="D203" s="388"/>
      <c r="E203" s="383">
        <f>'SAN FRAN BO4'!D114</f>
        <v>18</v>
      </c>
      <c r="F203" s="384">
        <f>'SAN FRAN BO4'!F114</f>
        <v>520</v>
      </c>
      <c r="G203" s="385">
        <f t="shared" si="24"/>
        <v>9360</v>
      </c>
      <c r="I203" s="418"/>
    </row>
    <row r="204" spans="1:9">
      <c r="A204" s="380"/>
      <c r="B204" s="381" t="str">
        <f>'SAN FRAN BO4'!E115</f>
        <v>pcs</v>
      </c>
      <c r="C204" s="387" t="str">
        <f>'SAN FRAN BO4'!C115</f>
        <v>Tek Screw #2</v>
      </c>
      <c r="D204" s="388"/>
      <c r="E204" s="383">
        <f>'SAN FRAN BO4'!D115</f>
        <v>200</v>
      </c>
      <c r="F204" s="384">
        <f>'SAN FRAN BO4'!F115</f>
        <v>3</v>
      </c>
      <c r="G204" s="385">
        <f t="shared" si="24"/>
        <v>600</v>
      </c>
      <c r="I204" s="418"/>
    </row>
    <row r="205" spans="1:9">
      <c r="A205" s="380"/>
      <c r="B205" s="381" t="str">
        <f>'SAN FRAN BO4'!E116</f>
        <v>length</v>
      </c>
      <c r="C205" s="1062" t="str">
        <f>'SAN FRAN BO4'!C116</f>
        <v>Cee-Purlins 1.2mmx2"x4"x6m</v>
      </c>
      <c r="D205" s="1063"/>
      <c r="E205" s="383">
        <f>'SAN FRAN BO4'!D116</f>
        <v>7</v>
      </c>
      <c r="F205" s="384">
        <f>'SAN FRAN BO4'!F116</f>
        <v>650</v>
      </c>
      <c r="G205" s="385">
        <f t="shared" si="24"/>
        <v>4550</v>
      </c>
      <c r="I205" s="418"/>
    </row>
    <row r="206" spans="1:9">
      <c r="A206" s="380"/>
      <c r="B206" s="381" t="str">
        <f>'SAN FRAN BO4'!E117</f>
        <v>length</v>
      </c>
      <c r="C206" s="1062" t="str">
        <f>'SAN FRAN BO4'!C117</f>
        <v>Cee Purlins 1.2mmx2"x3"x6m</v>
      </c>
      <c r="D206" s="1063"/>
      <c r="E206" s="383">
        <f>'SAN FRAN BO4'!D117</f>
        <v>12</v>
      </c>
      <c r="F206" s="384">
        <f>'SAN FRAN BO4'!F117</f>
        <v>550</v>
      </c>
      <c r="G206" s="385">
        <f t="shared" si="24"/>
        <v>6600</v>
      </c>
      <c r="I206" s="418"/>
    </row>
    <row r="207" spans="1:9">
      <c r="A207" s="380"/>
      <c r="B207" s="381" t="str">
        <f>'SAN FRAN BO4'!E118</f>
        <v>pcs</v>
      </c>
      <c r="C207" s="1062" t="str">
        <f>'SAN FRAN BO4'!C118</f>
        <v>Grinding Stone 4"</v>
      </c>
      <c r="D207" s="1063"/>
      <c r="E207" s="383">
        <f>'SAN FRAN BO4'!D118</f>
        <v>5</v>
      </c>
      <c r="F207" s="384">
        <f>'SAN FRAN BO4'!F118</f>
        <v>120</v>
      </c>
      <c r="G207" s="385">
        <f t="shared" si="24"/>
        <v>600</v>
      </c>
      <c r="I207" s="418"/>
    </row>
    <row r="208" spans="1:9">
      <c r="A208" s="380"/>
      <c r="B208" s="381" t="str">
        <f>'SAN FRAN BO4'!E119</f>
        <v>pcs</v>
      </c>
      <c r="C208" s="1062" t="str">
        <f>'SAN FRAN BO4'!C119</f>
        <v>Drill bit 3/16</v>
      </c>
      <c r="D208" s="1063"/>
      <c r="E208" s="383">
        <f>'SAN FRAN BO4'!D119</f>
        <v>5</v>
      </c>
      <c r="F208" s="384">
        <f>'SAN FRAN BO4'!F119</f>
        <v>110</v>
      </c>
      <c r="G208" s="385">
        <f t="shared" ref="G208:G209" si="25">F208*E208</f>
        <v>550</v>
      </c>
      <c r="I208" s="418"/>
    </row>
    <row r="209" spans="1:9">
      <c r="A209" s="380"/>
      <c r="B209" s="381" t="str">
        <f>'SAN FRAN BO4'!E120</f>
        <v>kgs</v>
      </c>
      <c r="C209" s="1062" t="str">
        <f>'SAN FRAN BO4'!C120</f>
        <v>Welding Rod 6013</v>
      </c>
      <c r="D209" s="1063"/>
      <c r="E209" s="383">
        <f>'SAN FRAN BO4'!D120</f>
        <v>5</v>
      </c>
      <c r="F209" s="384">
        <f>'SAN FRAN BO4'!F120</f>
        <v>190</v>
      </c>
      <c r="G209" s="385">
        <f t="shared" si="25"/>
        <v>950</v>
      </c>
      <c r="I209" s="418"/>
    </row>
    <row r="210" spans="1:9">
      <c r="A210" s="380"/>
      <c r="B210" s="381" t="str">
        <f>'SAN FRAN BO4'!E121</f>
        <v>pcs</v>
      </c>
      <c r="C210" s="1062" t="str">
        <f>'SAN FRAN BO4'!C121</f>
        <v>Cutting Disc 4" ( Flexiarapid super A 60 U )</v>
      </c>
      <c r="D210" s="1063"/>
      <c r="E210" s="383">
        <f>'SAN FRAN BO4'!D121</f>
        <v>5</v>
      </c>
      <c r="F210" s="384">
        <f>'SAN FRAN BO4'!F121</f>
        <v>210</v>
      </c>
      <c r="G210" s="385">
        <f>F210*E210</f>
        <v>1050</v>
      </c>
      <c r="I210" s="418"/>
    </row>
    <row r="211" spans="1:9">
      <c r="A211" s="1026" t="s">
        <v>1338</v>
      </c>
      <c r="B211" s="1026"/>
      <c r="C211" s="1026"/>
      <c r="D211" s="1026"/>
      <c r="E211" s="1026"/>
      <c r="F211" s="1026"/>
      <c r="G211" s="389">
        <f>SUM(G167:G181,G183:G210)</f>
        <v>190204.003</v>
      </c>
    </row>
    <row r="212" spans="1:9">
      <c r="A212" s="1038" t="s">
        <v>1394</v>
      </c>
      <c r="B212" s="1039"/>
      <c r="C212" s="1095" t="str">
        <f>C138</f>
        <v>Materials for the SITIO BADAC, BARANGAY SARAVIA, PUROK SAN FRANCISCO BARANGAY PUROK BAGONG LIPUNAN BARANGAY SAN ISIDRO AND PUROK KAUSWAGAN BARANGAY SARAVIA CITY OF KORONADAL</v>
      </c>
      <c r="D212" s="1043"/>
      <c r="E212" s="1043"/>
      <c r="F212" s="1043"/>
      <c r="G212" s="1044"/>
    </row>
    <row r="213" spans="1:9" ht="26.25" customHeight="1">
      <c r="A213" s="1040"/>
      <c r="B213" s="1041"/>
      <c r="C213" s="1045"/>
      <c r="D213" s="1046"/>
      <c r="E213" s="1046"/>
      <c r="F213" s="1046"/>
      <c r="G213" s="1047"/>
    </row>
    <row r="214" spans="1:9">
      <c r="A214" s="390"/>
      <c r="B214" s="391"/>
      <c r="C214" s="392" t="s">
        <v>1395</v>
      </c>
      <c r="D214" s="1048" t="s">
        <v>1396</v>
      </c>
      <c r="E214" s="1049"/>
      <c r="F214" s="393" t="s">
        <v>1397</v>
      </c>
      <c r="G214" s="394"/>
    </row>
    <row r="215" spans="1:9">
      <c r="A215" s="395"/>
      <c r="C215" s="396"/>
      <c r="D215" s="1050"/>
      <c r="E215" s="1051"/>
      <c r="F215" s="395"/>
      <c r="G215" s="397"/>
    </row>
    <row r="216" spans="1:9">
      <c r="A216" s="398" t="s">
        <v>1069</v>
      </c>
      <c r="B216" s="399"/>
      <c r="C216" s="396"/>
      <c r="E216" s="397"/>
      <c r="F216" s="395"/>
      <c r="G216" s="397"/>
    </row>
    <row r="217" spans="1:9">
      <c r="A217" s="398" t="s">
        <v>1070</v>
      </c>
      <c r="B217" s="399"/>
      <c r="C217" s="400" t="s">
        <v>1365</v>
      </c>
      <c r="D217" s="1052" t="s">
        <v>1398</v>
      </c>
      <c r="E217" s="1053"/>
      <c r="F217" s="1052" t="s">
        <v>1371</v>
      </c>
      <c r="G217" s="1053"/>
    </row>
    <row r="218" spans="1:9">
      <c r="A218" s="398" t="s">
        <v>1399</v>
      </c>
      <c r="B218" s="399"/>
      <c r="C218" s="401" t="s">
        <v>1400</v>
      </c>
      <c r="D218" s="1054" t="s">
        <v>1401</v>
      </c>
      <c r="E218" s="1055"/>
      <c r="F218" s="1056" t="s">
        <v>1074</v>
      </c>
      <c r="G218" s="1057"/>
    </row>
    <row r="219" spans="1:9">
      <c r="A219" s="399" t="s">
        <v>1045</v>
      </c>
      <c r="B219" s="402"/>
      <c r="C219" s="403"/>
      <c r="D219" s="404"/>
      <c r="E219" s="405"/>
      <c r="F219" s="406"/>
      <c r="G219" s="405"/>
    </row>
    <row r="220" spans="1:9">
      <c r="A220" s="372"/>
      <c r="B220" s="372"/>
    </row>
    <row r="221" spans="1:9">
      <c r="A221" s="370" t="s">
        <v>1375</v>
      </c>
      <c r="E221" s="373" t="s">
        <v>1376</v>
      </c>
    </row>
    <row r="222" spans="1:9">
      <c r="E222" s="370" t="s">
        <v>1377</v>
      </c>
    </row>
    <row r="223" spans="1:9">
      <c r="E223" s="1072" t="str">
        <f>E149</f>
        <v xml:space="preserve">COMPLETION, RENOVATION AND 
IMPROVEMENT OF  DAY CARE CENTER
</v>
      </c>
      <c r="F223" s="927"/>
      <c r="G223" s="927"/>
    </row>
    <row r="224" spans="1:9">
      <c r="E224" s="927"/>
      <c r="F224" s="927"/>
      <c r="G224" s="927"/>
    </row>
    <row r="225" spans="1:7">
      <c r="A225" s="370" t="s">
        <v>1378</v>
      </c>
      <c r="E225" s="373" t="s">
        <v>1379</v>
      </c>
    </row>
    <row r="226" spans="1:7">
      <c r="A226" s="370" t="s">
        <v>1380</v>
      </c>
      <c r="E226" s="1032" t="str">
        <f>E152</f>
        <v xml:space="preserve">SITIO BADAC, BARANGAY SARAVIA, PUROK SAN FRANCISCO BARANGAY
NEW PANGASINAN, </v>
      </c>
      <c r="F226" s="1073"/>
      <c r="G226" s="1073"/>
    </row>
    <row r="227" spans="1:7">
      <c r="A227" s="370" t="s">
        <v>1381</v>
      </c>
      <c r="E227" s="1073"/>
      <c r="F227" s="1073"/>
      <c r="G227" s="1073"/>
    </row>
    <row r="228" spans="1:7" ht="15" customHeight="1">
      <c r="E228" s="1032" t="str">
        <f>E154</f>
        <v xml:space="preserve">PUROK BAGONG LIPUNAN BARANGAY SAN ISIDRO AND 
PUROK KAUSWAGAN BARANGAY SARAVIA
</v>
      </c>
      <c r="F228" s="1032"/>
      <c r="G228" s="1032"/>
    </row>
    <row r="229" spans="1:7">
      <c r="E229" s="1032"/>
      <c r="F229" s="1032"/>
      <c r="G229" s="1032"/>
    </row>
    <row r="230" spans="1:7">
      <c r="E230" s="1032"/>
      <c r="F230" s="1032"/>
      <c r="G230" s="1032"/>
    </row>
    <row r="231" spans="1:7">
      <c r="E231" s="1032"/>
      <c r="F231" s="1032"/>
      <c r="G231" s="1032"/>
    </row>
    <row r="232" spans="1:7">
      <c r="E232" s="374"/>
      <c r="F232" s="374"/>
      <c r="G232" s="374"/>
    </row>
    <row r="233" spans="1:7">
      <c r="E233" s="374"/>
      <c r="F233" s="374"/>
      <c r="G233" s="374"/>
    </row>
    <row r="234" spans="1:7">
      <c r="A234" s="1027" t="s">
        <v>1382</v>
      </c>
      <c r="B234" s="1027"/>
      <c r="C234" s="1027"/>
      <c r="D234" s="1027"/>
      <c r="E234" s="1027"/>
      <c r="F234" s="1027"/>
      <c r="G234" s="1027"/>
    </row>
    <row r="235" spans="1:7">
      <c r="A235" s="1028" t="s">
        <v>1383</v>
      </c>
      <c r="B235" s="1027"/>
      <c r="C235" s="1027"/>
      <c r="D235" s="1027"/>
      <c r="E235" s="1027"/>
      <c r="F235" s="1027"/>
      <c r="G235" s="1027"/>
    </row>
    <row r="236" spans="1:7">
      <c r="A236" s="1029" t="s">
        <v>1384</v>
      </c>
      <c r="B236" s="1029"/>
      <c r="C236" s="1029"/>
      <c r="D236" s="1029"/>
      <c r="E236" s="1029"/>
      <c r="F236" s="1029"/>
      <c r="G236" s="1029"/>
    </row>
    <row r="237" spans="1:7" ht="15.75">
      <c r="A237" s="370" t="s">
        <v>1385</v>
      </c>
      <c r="C237" s="376" t="s">
        <v>1386</v>
      </c>
      <c r="D237" s="377"/>
      <c r="E237" s="370" t="s">
        <v>1387</v>
      </c>
      <c r="F237" s="1036" t="str">
        <f>F163</f>
        <v>Date: February 24,2025</v>
      </c>
      <c r="G237" s="1037"/>
    </row>
    <row r="238" spans="1:7">
      <c r="A238" s="370" t="s">
        <v>1388</v>
      </c>
      <c r="E238" s="370" t="s">
        <v>1389</v>
      </c>
    </row>
    <row r="239" spans="1:7">
      <c r="A239" s="378" t="s">
        <v>1390</v>
      </c>
      <c r="B239" s="1066" t="s">
        <v>314</v>
      </c>
      <c r="C239" s="1068" t="s">
        <v>1391</v>
      </c>
      <c r="D239" s="1069"/>
      <c r="E239" s="1066" t="s">
        <v>1392</v>
      </c>
      <c r="F239" s="1066" t="s">
        <v>1393</v>
      </c>
      <c r="G239" s="1066" t="s">
        <v>1052</v>
      </c>
    </row>
    <row r="240" spans="1:7">
      <c r="A240" s="379" t="s">
        <v>1040</v>
      </c>
      <c r="B240" s="1067"/>
      <c r="C240" s="1070"/>
      <c r="D240" s="1071"/>
      <c r="E240" s="1067"/>
      <c r="F240" s="1067"/>
      <c r="G240" s="1067"/>
    </row>
    <row r="241" spans="1:9">
      <c r="A241" s="380"/>
      <c r="B241" s="381" t="str">
        <f>'SAN FRAN BO4'!E140</f>
        <v>bags</v>
      </c>
      <c r="C241" s="1062" t="str">
        <f>'SAN FRAN BO4'!C140</f>
        <v>Skim Coat</v>
      </c>
      <c r="D241" s="1063"/>
      <c r="E241" s="383">
        <f>'SAN FRAN BO4'!D140</f>
        <v>10</v>
      </c>
      <c r="F241" s="384">
        <f>'SAN FRAN BO4'!F140</f>
        <v>615</v>
      </c>
      <c r="G241" s="385">
        <f t="shared" ref="G241:G250" si="26">F241*E241</f>
        <v>6150</v>
      </c>
      <c r="I241" s="418"/>
    </row>
    <row r="242" spans="1:9">
      <c r="A242" s="380"/>
      <c r="B242" s="381" t="str">
        <f>'SAN FRAN BO4'!E141</f>
        <v>gals</v>
      </c>
      <c r="C242" s="1062" t="str">
        <f>'SAN FRAN BO4'!C141</f>
        <v>Epoxy Primer gray ( Premium quality )</v>
      </c>
      <c r="D242" s="1063"/>
      <c r="E242" s="383">
        <f>'SAN FRAN BO4'!D141</f>
        <v>5</v>
      </c>
      <c r="F242" s="384">
        <f>'SAN FRAN BO4'!F141</f>
        <v>850</v>
      </c>
      <c r="G242" s="385">
        <f t="shared" si="26"/>
        <v>4250</v>
      </c>
      <c r="I242" s="418"/>
    </row>
    <row r="243" spans="1:9">
      <c r="A243" s="380"/>
      <c r="B243" s="381" t="str">
        <f>'SAN FRAN BO4'!E142</f>
        <v>gals</v>
      </c>
      <c r="C243" s="1062" t="str">
        <f>'SAN FRAN BO4'!C142</f>
        <v>Semi-Gloss Latex (Raw Sienna) ( Premium quality )</v>
      </c>
      <c r="D243" s="1063"/>
      <c r="E243" s="383">
        <f>'SAN FRAN BO4'!D142</f>
        <v>20</v>
      </c>
      <c r="F243" s="384">
        <f>'SAN FRAN BO4'!F142</f>
        <v>800</v>
      </c>
      <c r="G243" s="385">
        <f t="shared" si="26"/>
        <v>16000</v>
      </c>
      <c r="I243" s="418"/>
    </row>
    <row r="244" spans="1:9">
      <c r="A244" s="380"/>
      <c r="B244" s="381" t="str">
        <f>'SAN FRAN BO4'!E143</f>
        <v>gals</v>
      </c>
      <c r="C244" s="1062" t="str">
        <f>'SAN FRAN BO4'!C143</f>
        <v>Flat Latex White ( Premium quality )</v>
      </c>
      <c r="D244" s="1063"/>
      <c r="E244" s="383">
        <f>'SAN FRAN BO4'!D143</f>
        <v>20</v>
      </c>
      <c r="F244" s="384">
        <f>'SAN FRAN BO4'!F143</f>
        <v>810</v>
      </c>
      <c r="G244" s="385">
        <f t="shared" si="26"/>
        <v>16200</v>
      </c>
      <c r="I244" s="418"/>
    </row>
    <row r="245" spans="1:9">
      <c r="A245" s="380"/>
      <c r="B245" s="381" t="str">
        <f>'SAN FRAN BO4'!E144</f>
        <v>qrt</v>
      </c>
      <c r="C245" s="1062" t="str">
        <f>'SAN FRAN BO4'!C144</f>
        <v>Polytuff with hardener</v>
      </c>
      <c r="D245" s="1063"/>
      <c r="E245" s="383">
        <f>'SAN FRAN BO4'!D144</f>
        <v>10</v>
      </c>
      <c r="F245" s="384">
        <f>'SAN FRAN BO4'!F144</f>
        <v>350</v>
      </c>
      <c r="G245" s="385">
        <f t="shared" si="26"/>
        <v>3500</v>
      </c>
      <c r="I245" s="418"/>
    </row>
    <row r="246" spans="1:9">
      <c r="A246" s="380"/>
      <c r="B246" s="381" t="str">
        <f>'SAN FRAN BO4'!E145</f>
        <v>gals</v>
      </c>
      <c r="C246" s="1062" t="str">
        <f>'SAN FRAN BO4'!C145</f>
        <v>Lacquer Thinner ( Mayon )</v>
      </c>
      <c r="D246" s="1063"/>
      <c r="E246" s="383">
        <f>'SAN FRAN BO4'!D145</f>
        <v>7</v>
      </c>
      <c r="F246" s="384">
        <f>'SAN FRAN BO4'!F145</f>
        <v>650</v>
      </c>
      <c r="G246" s="385">
        <f t="shared" si="26"/>
        <v>4550</v>
      </c>
      <c r="I246" s="418"/>
    </row>
    <row r="247" spans="1:9">
      <c r="A247" s="380"/>
      <c r="B247" s="381" t="str">
        <f>'SAN FRAN BO4'!E146</f>
        <v>sets</v>
      </c>
      <c r="C247" s="1062" t="str">
        <f>'SAN FRAN BO4'!C146</f>
        <v>Roller Brush #7 with pan</v>
      </c>
      <c r="D247" s="1063"/>
      <c r="E247" s="383">
        <f>'SAN FRAN BO4'!D146</f>
        <v>8</v>
      </c>
      <c r="F247" s="384">
        <f>'SAN FRAN BO4'!F146</f>
        <v>250</v>
      </c>
      <c r="G247" s="385">
        <f t="shared" si="26"/>
        <v>2000</v>
      </c>
      <c r="I247" s="418"/>
    </row>
    <row r="248" spans="1:9">
      <c r="A248" s="380"/>
      <c r="B248" s="381" t="str">
        <f>'SAN FRAN BO4'!E147</f>
        <v>pcs</v>
      </c>
      <c r="C248" s="1062" t="str">
        <f>'SAN FRAN BO4'!C147</f>
        <v>Paint Brush #1</v>
      </c>
      <c r="D248" s="1063"/>
      <c r="E248" s="383">
        <f>'SAN FRAN BO4'!D147</f>
        <v>8</v>
      </c>
      <c r="F248" s="384">
        <f>'SAN FRAN BO4'!F147</f>
        <v>35</v>
      </c>
      <c r="G248" s="385">
        <f t="shared" si="26"/>
        <v>280</v>
      </c>
      <c r="I248" s="418"/>
    </row>
    <row r="249" spans="1:9">
      <c r="A249" s="380"/>
      <c r="B249" s="381" t="str">
        <f>'SAN FRAN BO4'!E148</f>
        <v>pcs</v>
      </c>
      <c r="C249" s="1062" t="str">
        <f>'SAN FRAN BO4'!C148</f>
        <v>Paint Brush #2</v>
      </c>
      <c r="D249" s="1063"/>
      <c r="E249" s="383">
        <f>'SAN FRAN BO4'!D148</f>
        <v>5</v>
      </c>
      <c r="F249" s="384">
        <f>'SAN FRAN BO4'!F148</f>
        <v>45</v>
      </c>
      <c r="G249" s="385">
        <f t="shared" si="26"/>
        <v>225</v>
      </c>
      <c r="I249" s="418"/>
    </row>
    <row r="250" spans="1:9">
      <c r="A250" s="380"/>
      <c r="B250" s="381" t="str">
        <f>'SAN FRAN BO4'!E149</f>
        <v>pcs</v>
      </c>
      <c r="C250" s="1062" t="str">
        <f>'SAN FRAN BO4'!C149</f>
        <v>Paint Brush #3</v>
      </c>
      <c r="D250" s="1063"/>
      <c r="E250" s="383">
        <f>'SAN FRAN BO4'!D149</f>
        <v>5</v>
      </c>
      <c r="F250" s="384">
        <f>'SAN FRAN BO4'!F149</f>
        <v>95</v>
      </c>
      <c r="G250" s="385">
        <f t="shared" si="26"/>
        <v>475</v>
      </c>
      <c r="I250" s="418"/>
    </row>
    <row r="251" spans="1:9">
      <c r="A251" s="380"/>
      <c r="B251" s="381" t="str">
        <f>'SAN FRAN BO4'!E150</f>
        <v>pcs</v>
      </c>
      <c r="C251" s="1062" t="str">
        <f>'SAN FRAN BO4'!C150</f>
        <v>Paint Brush #4</v>
      </c>
      <c r="D251" s="1063"/>
      <c r="E251" s="383">
        <f>'SAN FRAN BO4'!D150</f>
        <v>5</v>
      </c>
      <c r="F251" s="384">
        <f>'SAN FRAN BO4'!F150</f>
        <v>135</v>
      </c>
      <c r="G251" s="385">
        <f t="shared" ref="G251:G253" si="27">F251*E251</f>
        <v>675</v>
      </c>
      <c r="I251" s="418"/>
    </row>
    <row r="252" spans="1:9">
      <c r="A252" s="380"/>
      <c r="B252" s="381" t="str">
        <f>'SAN FRAN BO4'!E151</f>
        <v>pcs</v>
      </c>
      <c r="C252" s="1062" t="str">
        <f>'SAN FRAN BO4'!C151</f>
        <v>Baby Roller 4"</v>
      </c>
      <c r="D252" s="1063"/>
      <c r="E252" s="383">
        <f>'SAN FRAN BO4'!D151</f>
        <v>5</v>
      </c>
      <c r="F252" s="384">
        <f>'SAN FRAN BO4'!F151</f>
        <v>65</v>
      </c>
      <c r="G252" s="385">
        <f t="shared" si="27"/>
        <v>325</v>
      </c>
      <c r="I252" s="418"/>
    </row>
    <row r="253" spans="1:9">
      <c r="A253" s="380"/>
      <c r="B253" s="381" t="str">
        <f>'SAN FRAN BO4'!E152</f>
        <v>sheets</v>
      </c>
      <c r="C253" s="1062" t="str">
        <f>'SAN FRAN BO4'!C152</f>
        <v>Sand Paper #120</v>
      </c>
      <c r="D253" s="1063"/>
      <c r="E253" s="383">
        <f>'SAN FRAN BO4'!D152</f>
        <v>10</v>
      </c>
      <c r="F253" s="384">
        <f>'SAN FRAN BO4'!F152</f>
        <v>25</v>
      </c>
      <c r="G253" s="385">
        <f t="shared" si="27"/>
        <v>250</v>
      </c>
      <c r="I253" s="418"/>
    </row>
    <row r="254" spans="1:9">
      <c r="A254" s="380"/>
      <c r="B254" s="381" t="str">
        <f>'SAN FRAN BO4'!E170</f>
        <v>pcs</v>
      </c>
      <c r="C254" s="1062" t="str">
        <f>'SAN FRAN BO4'!C170</f>
        <v>Glazed Ceramic Tiles ( 0.60mx0.460m )</v>
      </c>
      <c r="D254" s="1063"/>
      <c r="E254" s="383">
        <f>'SAN FRAN BO4'!D170</f>
        <v>30</v>
      </c>
      <c r="F254" s="384">
        <f>'SAN FRAN BO4'!F170</f>
        <v>210</v>
      </c>
      <c r="G254" s="385">
        <f t="shared" ref="G254:G266" si="28">F254*E254</f>
        <v>6300</v>
      </c>
      <c r="I254" s="418"/>
    </row>
    <row r="255" spans="1:9">
      <c r="A255" s="380"/>
      <c r="B255" s="381" t="str">
        <f>'SAN FRAN BO4'!E171</f>
        <v>pcs</v>
      </c>
      <c r="C255" s="1062" t="str">
        <f>'SAN FRAN BO4'!C171</f>
        <v>Unglazed Ceramic Tiles ( 0.40mx0.40m )</v>
      </c>
      <c r="D255" s="1063"/>
      <c r="E255" s="383">
        <f>'SAN FRAN BO4'!D171</f>
        <v>18</v>
      </c>
      <c r="F255" s="384">
        <f>'SAN FRAN BO4'!F171</f>
        <v>190</v>
      </c>
      <c r="G255" s="385">
        <f t="shared" si="28"/>
        <v>3420</v>
      </c>
      <c r="I255" s="418"/>
    </row>
    <row r="256" spans="1:9">
      <c r="A256" s="380"/>
      <c r="B256" s="381" t="str">
        <f>'SAN FRAN BO4'!E172</f>
        <v>pcs</v>
      </c>
      <c r="C256" s="1062" t="str">
        <f>'SAN FRAN BO4'!C172</f>
        <v>Glazed Ceramic Tiles ( 0.40mx0.40m )</v>
      </c>
      <c r="D256" s="1063"/>
      <c r="E256" s="383">
        <f>'SAN FRAN BO4'!D172</f>
        <v>10</v>
      </c>
      <c r="F256" s="384">
        <f>'SAN FRAN BO4'!F172</f>
        <v>190</v>
      </c>
      <c r="G256" s="385">
        <f t="shared" si="28"/>
        <v>1900</v>
      </c>
      <c r="I256" s="418"/>
    </row>
    <row r="257" spans="1:9">
      <c r="A257" s="380"/>
      <c r="B257" s="381" t="str">
        <f>'SAN FRAN BO4'!E173</f>
        <v>bags</v>
      </c>
      <c r="C257" s="1062" t="str">
        <f>'SAN FRAN BO4'!C173</f>
        <v>Tile Grout</v>
      </c>
      <c r="D257" s="1063"/>
      <c r="E257" s="383">
        <f>'SAN FRAN BO4'!D173</f>
        <v>5</v>
      </c>
      <c r="F257" s="384">
        <f>'SAN FRAN BO4'!F173</f>
        <v>120</v>
      </c>
      <c r="G257" s="385">
        <f t="shared" si="28"/>
        <v>600</v>
      </c>
      <c r="I257" s="418"/>
    </row>
    <row r="258" spans="1:9">
      <c r="A258" s="380"/>
      <c r="B258" s="381" t="str">
        <f>'SAN FRAN BO4'!E174</f>
        <v>lengths</v>
      </c>
      <c r="C258" s="1062" t="str">
        <f>'SAN FRAN BO4'!C174</f>
        <v>PVC Pipe 4" S1000</v>
      </c>
      <c r="D258" s="1063"/>
      <c r="E258" s="383">
        <f>'SAN FRAN BO4'!D174</f>
        <v>2</v>
      </c>
      <c r="F258" s="384">
        <f>'SAN FRAN BO4'!F174</f>
        <v>800</v>
      </c>
      <c r="G258" s="385">
        <f t="shared" si="28"/>
        <v>1600</v>
      </c>
      <c r="I258" s="418"/>
    </row>
    <row r="259" spans="1:9">
      <c r="A259" s="380"/>
      <c r="B259" s="381" t="str">
        <f>'SAN FRAN BO4'!E175</f>
        <v>lengths</v>
      </c>
      <c r="C259" s="1062" t="str">
        <f>'SAN FRAN BO4'!C175</f>
        <v>PVC Pipe 2" S1000</v>
      </c>
      <c r="D259" s="1063"/>
      <c r="E259" s="383">
        <f>'SAN FRAN BO4'!D175</f>
        <v>2</v>
      </c>
      <c r="F259" s="384">
        <f>'SAN FRAN BO4'!F175</f>
        <v>280</v>
      </c>
      <c r="G259" s="385">
        <f t="shared" si="28"/>
        <v>560</v>
      </c>
      <c r="I259" s="418"/>
    </row>
    <row r="260" spans="1:9">
      <c r="A260" s="380"/>
      <c r="B260" s="381" t="str">
        <f>'SAN FRAN BO4'!E176</f>
        <v>lengths</v>
      </c>
      <c r="C260" s="1062" t="str">
        <f>'SAN FRAN BO4'!C176</f>
        <v>PVC Pipe 1/2" S1000</v>
      </c>
      <c r="D260" s="1063"/>
      <c r="E260" s="383">
        <f>'SAN FRAN BO4'!D176</f>
        <v>2</v>
      </c>
      <c r="F260" s="384">
        <f>'SAN FRAN BO4'!F176</f>
        <v>80</v>
      </c>
      <c r="G260" s="385">
        <f t="shared" si="28"/>
        <v>160</v>
      </c>
      <c r="I260" s="418"/>
    </row>
    <row r="261" spans="1:9">
      <c r="A261" s="380"/>
      <c r="B261" s="381" t="str">
        <f>'SAN FRAN BO4'!E177</f>
        <v>pcs</v>
      </c>
      <c r="C261" s="1062" t="str">
        <f>'SAN FRAN BO4'!C177</f>
        <v>PVC Elbow 90 deg. 4"</v>
      </c>
      <c r="D261" s="1063"/>
      <c r="E261" s="383">
        <f>'SAN FRAN BO4'!D177</f>
        <v>3</v>
      </c>
      <c r="F261" s="384">
        <f>'SAN FRAN BO4'!F177</f>
        <v>60</v>
      </c>
      <c r="G261" s="385">
        <f t="shared" si="28"/>
        <v>180</v>
      </c>
      <c r="I261" s="418"/>
    </row>
    <row r="262" spans="1:9">
      <c r="A262" s="380"/>
      <c r="B262" s="381" t="str">
        <f>'SAN FRAN BO4'!E178</f>
        <v>pcs</v>
      </c>
      <c r="C262" s="1062" t="str">
        <f>'SAN FRAN BO4'!C178</f>
        <v>PVC Elbow 45 deg. 4"</v>
      </c>
      <c r="D262" s="1063"/>
      <c r="E262" s="383">
        <f>'SAN FRAN BO4'!D178</f>
        <v>3</v>
      </c>
      <c r="F262" s="384">
        <f>'SAN FRAN BO4'!F178</f>
        <v>50</v>
      </c>
      <c r="G262" s="385">
        <f t="shared" si="28"/>
        <v>150</v>
      </c>
      <c r="I262" s="418"/>
    </row>
    <row r="263" spans="1:9">
      <c r="A263" s="380"/>
      <c r="B263" s="381" t="str">
        <f>'SAN FRAN BO4'!E179</f>
        <v>pcs</v>
      </c>
      <c r="C263" s="1062" t="str">
        <f>'SAN FRAN BO4'!C179</f>
        <v>PVC WYE Reducer 4"x 2"</v>
      </c>
      <c r="D263" s="1063"/>
      <c r="E263" s="383">
        <f>'SAN FRAN BO4'!D179</f>
        <v>3</v>
      </c>
      <c r="F263" s="384">
        <f>'SAN FRAN BO4'!F179</f>
        <v>105</v>
      </c>
      <c r="G263" s="385">
        <f t="shared" si="28"/>
        <v>315</v>
      </c>
      <c r="I263" s="418"/>
    </row>
    <row r="264" spans="1:9">
      <c r="A264" s="380"/>
      <c r="B264" s="381" t="str">
        <f>'SAN FRAN BO4'!E180</f>
        <v>pcs</v>
      </c>
      <c r="C264" s="1062" t="str">
        <f>'SAN FRAN BO4'!C180</f>
        <v>PVC Clean out 4"</v>
      </c>
      <c r="D264" s="1063"/>
      <c r="E264" s="383">
        <f>'SAN FRAN BO4'!D180</f>
        <v>3</v>
      </c>
      <c r="F264" s="384">
        <f>'SAN FRAN BO4'!F180</f>
        <v>60</v>
      </c>
      <c r="G264" s="385">
        <f t="shared" si="28"/>
        <v>180</v>
      </c>
      <c r="I264" s="418"/>
    </row>
    <row r="265" spans="1:9">
      <c r="A265" s="380"/>
      <c r="B265" s="381" t="str">
        <f>'SAN FRAN BO4'!E181</f>
        <v>pcs</v>
      </c>
      <c r="C265" s="1062" t="str">
        <f>'SAN FRAN BO4'!C181</f>
        <v>PVC P - Trap 2"</v>
      </c>
      <c r="D265" s="1063"/>
      <c r="E265" s="383">
        <f>'SAN FRAN BO4'!D181</f>
        <v>2</v>
      </c>
      <c r="F265" s="384">
        <f>'SAN FRAN BO4'!F181</f>
        <v>60</v>
      </c>
      <c r="G265" s="385">
        <f t="shared" si="28"/>
        <v>120</v>
      </c>
      <c r="I265" s="418"/>
    </row>
    <row r="266" spans="1:9">
      <c r="A266" s="380"/>
      <c r="B266" s="381" t="str">
        <f>'SAN FRAN BO4'!E182</f>
        <v>pcs</v>
      </c>
      <c r="C266" s="1062" t="str">
        <f>'SAN FRAN BO4'!C182</f>
        <v xml:space="preserve">PVC Elbow 90 deg. 2" </v>
      </c>
      <c r="D266" s="1063"/>
      <c r="E266" s="383">
        <f>'SAN FRAN BO4'!D182</f>
        <v>3</v>
      </c>
      <c r="F266" s="384">
        <f>'SAN FRAN BO4'!F182</f>
        <v>60</v>
      </c>
      <c r="G266" s="385">
        <f t="shared" si="28"/>
        <v>180</v>
      </c>
      <c r="I266" s="418"/>
    </row>
    <row r="267" spans="1:9">
      <c r="A267" s="380"/>
      <c r="B267" s="381" t="str">
        <f>'SAN FRAN BO4'!E183</f>
        <v>rolls</v>
      </c>
      <c r="C267" s="1062" t="str">
        <f>'SAN FRAN BO4'!C183</f>
        <v>Teflon Tape 3/4</v>
      </c>
      <c r="D267" s="1063"/>
      <c r="E267" s="383">
        <f>'SAN FRAN BO4'!D183</f>
        <v>5</v>
      </c>
      <c r="F267" s="384">
        <f>'SAN FRAN BO4'!F183</f>
        <v>20</v>
      </c>
      <c r="G267" s="385">
        <f t="shared" ref="G267:G273" si="29">F267*E267</f>
        <v>100</v>
      </c>
      <c r="I267" s="418"/>
    </row>
    <row r="268" spans="1:9">
      <c r="A268" s="380"/>
      <c r="B268" s="381" t="str">
        <f>'SAN FRAN BO4'!E184</f>
        <v>pcs</v>
      </c>
      <c r="C268" s="1062" t="str">
        <f>'SAN FRAN BO4'!C184</f>
        <v>Stainless Faucet 1/2"</v>
      </c>
      <c r="D268" s="1063"/>
      <c r="E268" s="383">
        <f>'SAN FRAN BO4'!D184</f>
        <v>2</v>
      </c>
      <c r="F268" s="384">
        <f>'SAN FRAN BO4'!F184</f>
        <v>300</v>
      </c>
      <c r="G268" s="385">
        <f t="shared" si="29"/>
        <v>600</v>
      </c>
      <c r="I268" s="418"/>
    </row>
    <row r="269" spans="1:9">
      <c r="A269" s="380"/>
      <c r="B269" s="381" t="str">
        <f>'SAN FRAN BO4'!E185</f>
        <v>pcs</v>
      </c>
      <c r="C269" s="1062" t="str">
        <f>'SAN FRAN BO4'!C185</f>
        <v>PVC Elbow 90 deg. 2" ( blue )</v>
      </c>
      <c r="D269" s="1063"/>
      <c r="E269" s="383">
        <f>'SAN FRAN BO4'!D185</f>
        <v>3</v>
      </c>
      <c r="F269" s="384">
        <f>'SAN FRAN BO4'!F185</f>
        <v>60</v>
      </c>
      <c r="G269" s="385">
        <f t="shared" si="29"/>
        <v>180</v>
      </c>
      <c r="I269" s="418"/>
    </row>
    <row r="270" spans="1:9">
      <c r="A270" s="380"/>
      <c r="B270" s="381" t="str">
        <f>'SAN FRAN BO4'!E186</f>
        <v>pcs</v>
      </c>
      <c r="C270" s="1062" t="str">
        <f>'SAN FRAN BO4'!C186</f>
        <v>PVC Tee 2"x2" (blue)</v>
      </c>
      <c r="D270" s="1063"/>
      <c r="E270" s="383">
        <f>'SAN FRAN BO4'!D186</f>
        <v>3</v>
      </c>
      <c r="F270" s="384">
        <f>'SAN FRAN BO4'!F186</f>
        <v>40</v>
      </c>
      <c r="G270" s="385">
        <f t="shared" si="29"/>
        <v>120</v>
      </c>
      <c r="I270" s="418"/>
    </row>
    <row r="271" spans="1:9">
      <c r="A271" s="380"/>
      <c r="B271" s="381" t="str">
        <f>'SAN FRAN BO4'!E187</f>
        <v>can</v>
      </c>
      <c r="C271" s="1062" t="str">
        <f>'SAN FRAN BO4'!C187</f>
        <v>Solvent Cement (100cc)</v>
      </c>
      <c r="D271" s="1063"/>
      <c r="E271" s="383">
        <f>'SAN FRAN BO4'!D187</f>
        <v>5</v>
      </c>
      <c r="F271" s="384">
        <f>'SAN FRAN BO4'!F187</f>
        <v>50</v>
      </c>
      <c r="G271" s="385">
        <f t="shared" si="29"/>
        <v>250</v>
      </c>
      <c r="I271" s="418"/>
    </row>
    <row r="272" spans="1:9">
      <c r="A272" s="380"/>
      <c r="B272" s="381" t="str">
        <f>'SAN FRAN BO4'!E188</f>
        <v>sets</v>
      </c>
      <c r="C272" s="1062" t="str">
        <f>'SAN FRAN BO4'!C188</f>
        <v>Water Close ( Nation )</v>
      </c>
      <c r="D272" s="1063"/>
      <c r="E272" s="383">
        <f>'SAN FRAN BO4'!D188</f>
        <v>2</v>
      </c>
      <c r="F272" s="384">
        <f>'SAN FRAN BO4'!F188</f>
        <v>1100</v>
      </c>
      <c r="G272" s="385">
        <f t="shared" si="29"/>
        <v>2200</v>
      </c>
      <c r="I272" s="418"/>
    </row>
    <row r="273" spans="1:9">
      <c r="A273" s="380"/>
      <c r="B273" s="381" t="str">
        <f>'SAN FRAN BO4'!E189</f>
        <v>pcs</v>
      </c>
      <c r="C273" s="1062" t="str">
        <f>'SAN FRAN BO4'!C189</f>
        <v>Stainless Floor Drain 4"x4"</v>
      </c>
      <c r="D273" s="1063"/>
      <c r="E273" s="383">
        <f>'SAN FRAN BO4'!D189</f>
        <v>2</v>
      </c>
      <c r="F273" s="384">
        <f>'SAN FRAN BO4'!F189</f>
        <v>150</v>
      </c>
      <c r="G273" s="385">
        <f t="shared" si="29"/>
        <v>300</v>
      </c>
      <c r="I273" s="418"/>
    </row>
    <row r="274" spans="1:9">
      <c r="A274" s="1059"/>
      <c r="B274" s="1058" t="str">
        <f>'SAN FRAN BO4'!E207</f>
        <v>set</v>
      </c>
      <c r="C274" s="1060" t="str">
        <f>'SAN FRAN BO4'!C207</f>
        <v>Jalousie Windows with fixed Glass and complete accessories 2.45mx1.50m</v>
      </c>
      <c r="D274" s="1061"/>
      <c r="E274" s="1064">
        <f>'SAN FRAN BO4'!D207</f>
        <v>2</v>
      </c>
      <c r="F274" s="1034">
        <f>'SAN FRAN BO4'!F207</f>
        <v>7000</v>
      </c>
      <c r="G274" s="1093">
        <f>F274*E274</f>
        <v>14000</v>
      </c>
      <c r="I274" s="418"/>
    </row>
    <row r="275" spans="1:9">
      <c r="A275" s="1059"/>
      <c r="B275" s="1058"/>
      <c r="C275" s="1060"/>
      <c r="D275" s="1061"/>
      <c r="E275" s="1064"/>
      <c r="F275" s="1034"/>
      <c r="G275" s="1093"/>
      <c r="I275" s="418"/>
    </row>
    <row r="276" spans="1:9">
      <c r="A276" s="1059"/>
      <c r="B276" s="1058" t="str">
        <f>'SAN FRAN BO4'!E209</f>
        <v>set</v>
      </c>
      <c r="C276" s="1060" t="str">
        <f>'SAN FRAN BO4'!C209</f>
        <v>Awning Window Analoc Frame with complete accessories</v>
      </c>
      <c r="D276" s="1061"/>
      <c r="E276" s="1064">
        <f>'SAN FRAN BO4'!D209</f>
        <v>2</v>
      </c>
      <c r="F276" s="1034">
        <f>'SAN FRAN BO4'!F209</f>
        <v>1300</v>
      </c>
      <c r="G276" s="1093">
        <f>F276*E276</f>
        <v>2600</v>
      </c>
      <c r="I276" s="418"/>
    </row>
    <row r="277" spans="1:9">
      <c r="A277" s="1059"/>
      <c r="B277" s="1058"/>
      <c r="C277" s="1060"/>
      <c r="D277" s="1061"/>
      <c r="E277" s="1064"/>
      <c r="F277" s="1034"/>
      <c r="G277" s="1093"/>
      <c r="I277" s="418"/>
    </row>
    <row r="278" spans="1:9">
      <c r="A278" s="1059"/>
      <c r="B278" s="1058" t="str">
        <f>'SAN FRAN BO4'!E211</f>
        <v>set</v>
      </c>
      <c r="C278" s="1060" t="str">
        <f>'SAN FRAN BO4'!C211</f>
        <v>0.70mx2.10m PVC Door With Heavy duty Door Knob and Complete accessories</v>
      </c>
      <c r="D278" s="1061"/>
      <c r="E278" s="1064">
        <f>'SAN FRAN BO4'!D211</f>
        <v>2</v>
      </c>
      <c r="F278" s="1034">
        <f>'SAN FRAN BO4'!F211</f>
        <v>1600</v>
      </c>
      <c r="G278" s="1093">
        <f>F278*E278</f>
        <v>3200</v>
      </c>
      <c r="I278" s="418"/>
    </row>
    <row r="279" spans="1:9">
      <c r="A279" s="1059"/>
      <c r="B279" s="1058"/>
      <c r="C279" s="1060"/>
      <c r="D279" s="1061"/>
      <c r="E279" s="1064"/>
      <c r="F279" s="1034"/>
      <c r="G279" s="1093"/>
      <c r="I279" s="418"/>
    </row>
    <row r="280" spans="1:9">
      <c r="A280" s="380"/>
      <c r="B280" s="381" t="str">
        <f>'SAN FRAN BO4'!E229</f>
        <v>box</v>
      </c>
      <c r="C280" s="1062" t="str">
        <f>'SAN FRAN BO4'!C229</f>
        <v>THHN Wire #2mm</v>
      </c>
      <c r="D280" s="1063"/>
      <c r="E280" s="383">
        <f>'SAN FRAN BO4'!D229</f>
        <v>1</v>
      </c>
      <c r="F280" s="384">
        <f>'SAN FRAN BO4'!F229</f>
        <v>2200</v>
      </c>
      <c r="G280" s="385">
        <f t="shared" ref="G280" si="30">F280*E280</f>
        <v>2200</v>
      </c>
      <c r="I280" s="418"/>
    </row>
    <row r="281" spans="1:9">
      <c r="A281" s="380"/>
      <c r="B281" s="381" t="str">
        <f>'SAN FRAN BO4'!E230</f>
        <v>box</v>
      </c>
      <c r="C281" s="1062" t="str">
        <f>'SAN FRAN BO4'!C230</f>
        <v>THHN Wire #3.5mm</v>
      </c>
      <c r="D281" s="1063"/>
      <c r="E281" s="383">
        <f>'SAN FRAN BO4'!D230</f>
        <v>1</v>
      </c>
      <c r="F281" s="384">
        <f>'SAN FRAN BO4'!F230</f>
        <v>3200</v>
      </c>
      <c r="G281" s="385">
        <f t="shared" ref="G281:G283" si="31">F281*E281</f>
        <v>3200</v>
      </c>
      <c r="I281" s="418"/>
    </row>
    <row r="282" spans="1:9">
      <c r="A282" s="380"/>
      <c r="B282" s="381" t="str">
        <f>'SAN FRAN BO4'!E231</f>
        <v>meter</v>
      </c>
      <c r="C282" s="1062" t="str">
        <f>'SAN FRAN BO4'!C231</f>
        <v>THHN Wire #8mm</v>
      </c>
      <c r="D282" s="1063"/>
      <c r="E282" s="383">
        <f>'SAN FRAN BO4'!D231</f>
        <v>10</v>
      </c>
      <c r="F282" s="384">
        <f>'SAN FRAN BO4'!F231</f>
        <v>70</v>
      </c>
      <c r="G282" s="385">
        <f t="shared" si="31"/>
        <v>700</v>
      </c>
      <c r="I282" s="418"/>
    </row>
    <row r="283" spans="1:9">
      <c r="A283" s="380"/>
      <c r="B283" s="381" t="str">
        <f>'SAN FRAN BO4'!E232</f>
        <v>roll</v>
      </c>
      <c r="C283" s="1062" t="str">
        <f>'SAN FRAN BO4'!C232</f>
        <v>Flexible Hose 1/2</v>
      </c>
      <c r="D283" s="1063"/>
      <c r="E283" s="383">
        <f>'SAN FRAN BO4'!D232</f>
        <v>2</v>
      </c>
      <c r="F283" s="384">
        <f>'SAN FRAN BO4'!F232</f>
        <v>800</v>
      </c>
      <c r="G283" s="385">
        <f t="shared" si="31"/>
        <v>1600</v>
      </c>
      <c r="I283" s="418"/>
    </row>
    <row r="284" spans="1:9">
      <c r="A284" s="1026" t="s">
        <v>1338</v>
      </c>
      <c r="B284" s="1026"/>
      <c r="C284" s="1026"/>
      <c r="D284" s="1026"/>
      <c r="E284" s="1026"/>
      <c r="F284" s="1026"/>
      <c r="G284" s="389">
        <f>SUM(G241:G283)</f>
        <v>101795</v>
      </c>
    </row>
    <row r="285" spans="1:9">
      <c r="A285" s="1038" t="s">
        <v>1394</v>
      </c>
      <c r="B285" s="1039"/>
      <c r="C285" s="1095" t="str">
        <f>C212</f>
        <v>Materials for the SITIO BADAC, BARANGAY SARAVIA, PUROK SAN FRANCISCO BARANGAY PUROK BAGONG LIPUNAN BARANGAY SAN ISIDRO AND PUROK KAUSWAGAN BARANGAY SARAVIA CITY OF KORONADAL</v>
      </c>
      <c r="D285" s="1043"/>
      <c r="E285" s="1043"/>
      <c r="F285" s="1043"/>
      <c r="G285" s="1044"/>
    </row>
    <row r="286" spans="1:9" ht="26.25" customHeight="1">
      <c r="A286" s="1040"/>
      <c r="B286" s="1041"/>
      <c r="C286" s="1045"/>
      <c r="D286" s="1046"/>
      <c r="E286" s="1046"/>
      <c r="F286" s="1046"/>
      <c r="G286" s="1047"/>
    </row>
    <row r="287" spans="1:9">
      <c r="A287" s="390"/>
      <c r="B287" s="391"/>
      <c r="C287" s="392" t="s">
        <v>1395</v>
      </c>
      <c r="D287" s="1048" t="s">
        <v>1396</v>
      </c>
      <c r="E287" s="1049"/>
      <c r="F287" s="393" t="s">
        <v>1397</v>
      </c>
      <c r="G287" s="394"/>
    </row>
    <row r="288" spans="1:9">
      <c r="A288" s="395"/>
      <c r="C288" s="396"/>
      <c r="D288" s="1050"/>
      <c r="E288" s="1051"/>
      <c r="F288" s="395"/>
      <c r="G288" s="397"/>
    </row>
    <row r="289" spans="1:7">
      <c r="A289" s="398" t="s">
        <v>1069</v>
      </c>
      <c r="B289" s="399"/>
      <c r="C289" s="396"/>
      <c r="E289" s="397"/>
      <c r="F289" s="395"/>
      <c r="G289" s="397"/>
    </row>
    <row r="290" spans="1:7">
      <c r="A290" s="398" t="s">
        <v>1070</v>
      </c>
      <c r="B290" s="399"/>
      <c r="C290" s="400" t="s">
        <v>1365</v>
      </c>
      <c r="D290" s="1052" t="s">
        <v>1398</v>
      </c>
      <c r="E290" s="1053"/>
      <c r="F290" s="1052" t="s">
        <v>1371</v>
      </c>
      <c r="G290" s="1053"/>
    </row>
    <row r="291" spans="1:7">
      <c r="A291" s="398" t="s">
        <v>1399</v>
      </c>
      <c r="B291" s="399"/>
      <c r="C291" s="401" t="s">
        <v>1400</v>
      </c>
      <c r="D291" s="1054" t="s">
        <v>1401</v>
      </c>
      <c r="E291" s="1055"/>
      <c r="F291" s="1056" t="s">
        <v>1074</v>
      </c>
      <c r="G291" s="1057"/>
    </row>
    <row r="292" spans="1:7">
      <c r="A292" s="399" t="s">
        <v>1045</v>
      </c>
      <c r="B292" s="402"/>
      <c r="C292" s="403"/>
      <c r="D292" s="404"/>
      <c r="E292" s="405"/>
      <c r="F292" s="406"/>
      <c r="G292" s="405"/>
    </row>
    <row r="293" spans="1:7">
      <c r="A293" s="372"/>
      <c r="B293" s="372"/>
    </row>
    <row r="294" spans="1:7">
      <c r="A294" s="370" t="s">
        <v>1375</v>
      </c>
      <c r="E294" s="373" t="s">
        <v>1376</v>
      </c>
    </row>
    <row r="295" spans="1:7">
      <c r="E295" s="370" t="s">
        <v>1377</v>
      </c>
    </row>
    <row r="296" spans="1:7">
      <c r="E296" s="1072" t="str">
        <f>E223</f>
        <v xml:space="preserve">COMPLETION, RENOVATION AND 
IMPROVEMENT OF  DAY CARE CENTER
</v>
      </c>
      <c r="F296" s="927"/>
      <c r="G296" s="927"/>
    </row>
    <row r="297" spans="1:7">
      <c r="E297" s="927"/>
      <c r="F297" s="927"/>
      <c r="G297" s="927"/>
    </row>
    <row r="298" spans="1:7">
      <c r="A298" s="370" t="s">
        <v>1378</v>
      </c>
      <c r="E298" s="373" t="s">
        <v>1379</v>
      </c>
    </row>
    <row r="299" spans="1:7">
      <c r="A299" s="370" t="s">
        <v>1380</v>
      </c>
      <c r="E299" s="1032" t="str">
        <f>E226</f>
        <v xml:space="preserve">SITIO BADAC, BARANGAY SARAVIA, PUROK SAN FRANCISCO BARANGAY
NEW PANGASINAN, </v>
      </c>
      <c r="F299" s="1073"/>
      <c r="G299" s="1073"/>
    </row>
    <row r="300" spans="1:7">
      <c r="A300" s="370" t="s">
        <v>1381</v>
      </c>
      <c r="E300" s="1073"/>
      <c r="F300" s="1073"/>
      <c r="G300" s="1073"/>
    </row>
    <row r="301" spans="1:7" ht="15" customHeight="1">
      <c r="E301" s="1032" t="str">
        <f>E228</f>
        <v xml:space="preserve">PUROK BAGONG LIPUNAN BARANGAY SAN ISIDRO AND 
PUROK KAUSWAGAN BARANGAY SARAVIA
</v>
      </c>
      <c r="F301" s="1032"/>
      <c r="G301" s="1032"/>
    </row>
    <row r="302" spans="1:7">
      <c r="E302" s="1032"/>
      <c r="F302" s="1032"/>
      <c r="G302" s="1032"/>
    </row>
    <row r="303" spans="1:7" ht="15" customHeight="1">
      <c r="E303" s="1032"/>
      <c r="F303" s="1032"/>
      <c r="G303" s="1032"/>
    </row>
    <row r="304" spans="1:7">
      <c r="E304" s="1032"/>
      <c r="F304" s="1032"/>
      <c r="G304" s="1032"/>
    </row>
    <row r="305" spans="1:9">
      <c r="E305" s="374"/>
      <c r="F305" s="374"/>
      <c r="G305" s="374"/>
    </row>
    <row r="306" spans="1:9">
      <c r="E306" s="374"/>
      <c r="F306" s="374"/>
      <c r="G306" s="374"/>
    </row>
    <row r="307" spans="1:9">
      <c r="A307" s="1027" t="s">
        <v>1382</v>
      </c>
      <c r="B307" s="1027"/>
      <c r="C307" s="1027"/>
      <c r="D307" s="1027"/>
      <c r="E307" s="1027"/>
      <c r="F307" s="1027"/>
      <c r="G307" s="1027"/>
    </row>
    <row r="308" spans="1:9">
      <c r="A308" s="1028" t="s">
        <v>1383</v>
      </c>
      <c r="B308" s="1027"/>
      <c r="C308" s="1027"/>
      <c r="D308" s="1027"/>
      <c r="E308" s="1027"/>
      <c r="F308" s="1027"/>
      <c r="G308" s="1027"/>
    </row>
    <row r="309" spans="1:9">
      <c r="A309" s="1029" t="s">
        <v>1384</v>
      </c>
      <c r="B309" s="1029"/>
      <c r="C309" s="1029"/>
      <c r="D309" s="1029"/>
      <c r="E309" s="1029"/>
      <c r="F309" s="1029"/>
      <c r="G309" s="1029"/>
    </row>
    <row r="310" spans="1:9" ht="15.75">
      <c r="A310" s="370" t="s">
        <v>1385</v>
      </c>
      <c r="C310" s="376" t="s">
        <v>1386</v>
      </c>
      <c r="D310" s="377"/>
      <c r="E310" s="370" t="s">
        <v>1387</v>
      </c>
      <c r="F310" s="1036" t="str">
        <f>F237</f>
        <v>Date: February 24,2025</v>
      </c>
      <c r="G310" s="1037"/>
    </row>
    <row r="311" spans="1:9">
      <c r="A311" s="370" t="s">
        <v>1388</v>
      </c>
      <c r="E311" s="370" t="s">
        <v>1389</v>
      </c>
    </row>
    <row r="312" spans="1:9">
      <c r="A312" s="378" t="s">
        <v>1390</v>
      </c>
      <c r="B312" s="1066" t="s">
        <v>314</v>
      </c>
      <c r="C312" s="1068" t="s">
        <v>1391</v>
      </c>
      <c r="D312" s="1069"/>
      <c r="E312" s="1066" t="s">
        <v>1392</v>
      </c>
      <c r="F312" s="1066" t="s">
        <v>1393</v>
      </c>
      <c r="G312" s="1066" t="s">
        <v>1052</v>
      </c>
    </row>
    <row r="313" spans="1:9">
      <c r="A313" s="379" t="s">
        <v>1040</v>
      </c>
      <c r="B313" s="1067"/>
      <c r="C313" s="1070"/>
      <c r="D313" s="1071"/>
      <c r="E313" s="1067"/>
      <c r="F313" s="1067"/>
      <c r="G313" s="1067"/>
    </row>
    <row r="314" spans="1:9">
      <c r="A314" s="380"/>
      <c r="B314" s="381" t="str">
        <f>'SAN FRAN BO4'!E233</f>
        <v>length</v>
      </c>
      <c r="C314" s="1062" t="str">
        <f>'SAN FRAN BO4'!C233</f>
        <v>PVC Pipe 1/2" S1000 Orange</v>
      </c>
      <c r="D314" s="1063"/>
      <c r="E314" s="383">
        <f>'SAN FRAN BO4'!D233</f>
        <v>5</v>
      </c>
      <c r="F314" s="384">
        <f>'SAN FRAN BO4'!F233</f>
        <v>78</v>
      </c>
      <c r="G314" s="385">
        <f>F314*E314</f>
        <v>390</v>
      </c>
      <c r="I314" s="418"/>
    </row>
    <row r="315" spans="1:9">
      <c r="A315" s="380"/>
      <c r="B315" s="381" t="str">
        <f>'SAN FRAN BO4'!E234</f>
        <v>pcs</v>
      </c>
      <c r="C315" s="1062" t="str">
        <f>'SAN FRAN BO4'!C234</f>
        <v>Utility Box</v>
      </c>
      <c r="D315" s="1063"/>
      <c r="E315" s="383">
        <f>'SAN FRAN BO4'!D234</f>
        <v>5</v>
      </c>
      <c r="F315" s="384">
        <f>'SAN FRAN BO4'!F234</f>
        <v>55</v>
      </c>
      <c r="G315" s="385">
        <f t="shared" ref="G315:G328" si="32">F315*E315</f>
        <v>275</v>
      </c>
      <c r="I315" s="418"/>
    </row>
    <row r="316" spans="1:9">
      <c r="A316" s="380"/>
      <c r="B316" s="381" t="str">
        <f>'SAN FRAN BO4'!E235</f>
        <v>pcs</v>
      </c>
      <c r="C316" s="1062" t="str">
        <f>'SAN FRAN BO4'!C235</f>
        <v>Junction Box</v>
      </c>
      <c r="D316" s="1063"/>
      <c r="E316" s="383">
        <f>'SAN FRAN BO4'!D235</f>
        <v>5</v>
      </c>
      <c r="F316" s="384">
        <f>'SAN FRAN BO4'!F235</f>
        <v>55</v>
      </c>
      <c r="G316" s="385">
        <f t="shared" si="32"/>
        <v>275</v>
      </c>
      <c r="I316" s="418"/>
    </row>
    <row r="317" spans="1:9">
      <c r="A317" s="380"/>
      <c r="B317" s="381" t="str">
        <f>'SAN FRAN BO4'!E236</f>
        <v>pcs</v>
      </c>
      <c r="C317" s="1062" t="str">
        <f>'SAN FRAN BO4'!C236</f>
        <v>Convenience Outlet 2 Gang Flash Type</v>
      </c>
      <c r="D317" s="1063"/>
      <c r="E317" s="383">
        <f>'SAN FRAN BO4'!D236</f>
        <v>3</v>
      </c>
      <c r="F317" s="384">
        <f>'SAN FRAN BO4'!F236</f>
        <v>150</v>
      </c>
      <c r="G317" s="385">
        <f t="shared" si="32"/>
        <v>450</v>
      </c>
      <c r="I317" s="418"/>
    </row>
    <row r="318" spans="1:9">
      <c r="A318" s="380"/>
      <c r="B318" s="381" t="str">
        <f>'SAN FRAN BO4'!E237</f>
        <v>pcs</v>
      </c>
      <c r="C318" s="1062" t="str">
        <f>'SAN FRAN BO4'!C237</f>
        <v>Switch Flash Type 3 Gang</v>
      </c>
      <c r="D318" s="1063"/>
      <c r="E318" s="383">
        <f>'SAN FRAN BO4'!D237</f>
        <v>3</v>
      </c>
      <c r="F318" s="384">
        <f>'SAN FRAN BO4'!F237</f>
        <v>220</v>
      </c>
      <c r="G318" s="385">
        <f t="shared" si="32"/>
        <v>660</v>
      </c>
      <c r="I318" s="418"/>
    </row>
    <row r="319" spans="1:9">
      <c r="A319" s="380"/>
      <c r="B319" s="381" t="str">
        <f>'SAN FRAN BO4'!E238</f>
        <v>pcs</v>
      </c>
      <c r="C319" s="1062" t="str">
        <f>'SAN FRAN BO4'!C238</f>
        <v>Switch Flash Type 2 Gang</v>
      </c>
      <c r="D319" s="1063"/>
      <c r="E319" s="383">
        <f>'SAN FRAN BO4'!D238</f>
        <v>2</v>
      </c>
      <c r="F319" s="384">
        <f>'SAN FRAN BO4'!F238</f>
        <v>200</v>
      </c>
      <c r="G319" s="385">
        <f t="shared" si="32"/>
        <v>400</v>
      </c>
      <c r="I319" s="418"/>
    </row>
    <row r="320" spans="1:9">
      <c r="A320" s="380"/>
      <c r="B320" s="381" t="str">
        <f>'SAN FRAN BO4'!E239</f>
        <v>pcs</v>
      </c>
      <c r="C320" s="1062" t="str">
        <f>'SAN FRAN BO4'!C239</f>
        <v>Switch Flash Type 1 Gang</v>
      </c>
      <c r="D320" s="1063"/>
      <c r="E320" s="383">
        <f>'SAN FRAN BO4'!D239</f>
        <v>2</v>
      </c>
      <c r="F320" s="384">
        <f>'SAN FRAN BO4'!F239</f>
        <v>180</v>
      </c>
      <c r="G320" s="385">
        <f t="shared" si="32"/>
        <v>360</v>
      </c>
      <c r="I320" s="418"/>
    </row>
    <row r="321" spans="1:15">
      <c r="A321" s="380"/>
      <c r="B321" s="381" t="str">
        <f>'SAN FRAN BO4'!E240</f>
        <v>pcs</v>
      </c>
      <c r="C321" s="1062" t="str">
        <f>'SAN FRAN BO4'!C240</f>
        <v>Flexible Connector 1/2</v>
      </c>
      <c r="D321" s="1063"/>
      <c r="E321" s="383">
        <f>'SAN FRAN BO4'!D240</f>
        <v>10</v>
      </c>
      <c r="F321" s="384">
        <f>'SAN FRAN BO4'!F240</f>
        <v>150</v>
      </c>
      <c r="G321" s="385">
        <f t="shared" si="32"/>
        <v>1500</v>
      </c>
      <c r="I321" s="418"/>
    </row>
    <row r="322" spans="1:15">
      <c r="A322" s="380"/>
      <c r="B322" s="381" t="str">
        <f>'SAN FRAN BO4'!E241</f>
        <v>pcs</v>
      </c>
      <c r="C322" s="1062" t="str">
        <f>'SAN FRAN BO4'!C241</f>
        <v>Electrical Tape Big</v>
      </c>
      <c r="D322" s="1063"/>
      <c r="E322" s="383">
        <f>'SAN FRAN BO4'!D241</f>
        <v>10</v>
      </c>
      <c r="F322" s="384">
        <f>'SAN FRAN BO4'!F241</f>
        <v>55</v>
      </c>
      <c r="G322" s="385">
        <f t="shared" si="32"/>
        <v>550</v>
      </c>
      <c r="I322" s="418"/>
    </row>
    <row r="323" spans="1:15">
      <c r="A323" s="380"/>
      <c r="B323" s="381" t="str">
        <f>'SAN FRAN BO4'!E242</f>
        <v>pcs</v>
      </c>
      <c r="C323" s="1062" t="str">
        <f>'SAN FRAN BO4'!C242</f>
        <v>Receptacle Outlet</v>
      </c>
      <c r="D323" s="1063"/>
      <c r="E323" s="383">
        <f>'SAN FRAN BO4'!D242</f>
        <v>10</v>
      </c>
      <c r="F323" s="384">
        <f>'SAN FRAN BO4'!F242</f>
        <v>40</v>
      </c>
      <c r="G323" s="385">
        <f t="shared" si="32"/>
        <v>400</v>
      </c>
      <c r="I323" s="418"/>
    </row>
    <row r="324" spans="1:15">
      <c r="A324" s="380"/>
      <c r="B324" s="381" t="str">
        <f>'SAN FRAN BO4'!E243</f>
        <v>sets</v>
      </c>
      <c r="C324" s="1062" t="str">
        <f>'SAN FRAN BO4'!C243</f>
        <v>Led Tube 18Watts with Housing</v>
      </c>
      <c r="D324" s="1063"/>
      <c r="E324" s="383">
        <f>'SAN FRAN BO4'!D243</f>
        <v>6</v>
      </c>
      <c r="F324" s="384">
        <f>'SAN FRAN BO4'!F243</f>
        <v>355</v>
      </c>
      <c r="G324" s="385">
        <f t="shared" si="32"/>
        <v>2130</v>
      </c>
      <c r="I324" s="418"/>
    </row>
    <row r="325" spans="1:15">
      <c r="A325" s="380"/>
      <c r="B325" s="381" t="str">
        <f>'SAN FRAN BO4'!E244</f>
        <v>sets</v>
      </c>
      <c r="C325" s="1062" t="str">
        <f>'SAN FRAN BO4'!C244</f>
        <v>Led Bulb 9 Watts</v>
      </c>
      <c r="D325" s="1063"/>
      <c r="E325" s="383">
        <f>'SAN FRAN BO4'!D244</f>
        <v>3</v>
      </c>
      <c r="F325" s="384">
        <f>'SAN FRAN BO4'!F244</f>
        <v>270</v>
      </c>
      <c r="G325" s="385">
        <f t="shared" si="32"/>
        <v>810</v>
      </c>
      <c r="I325" s="418"/>
    </row>
    <row r="326" spans="1:15">
      <c r="A326" s="380"/>
      <c r="B326" s="381" t="str">
        <f>'SAN FRAN BO4'!E245</f>
        <v>sets</v>
      </c>
      <c r="C326" s="1062" t="str">
        <f>'SAN FRAN BO4'!C245</f>
        <v>Entrance Cap 1/2</v>
      </c>
      <c r="D326" s="1063"/>
      <c r="E326" s="383">
        <f>'SAN FRAN BO4'!D245</f>
        <v>1</v>
      </c>
      <c r="F326" s="384">
        <f>'SAN FRAN BO4'!F245</f>
        <v>45</v>
      </c>
      <c r="G326" s="385">
        <f t="shared" si="32"/>
        <v>45</v>
      </c>
      <c r="I326" s="418"/>
    </row>
    <row r="327" spans="1:15">
      <c r="A327" s="380"/>
      <c r="B327" s="381" t="str">
        <f>'SAN FRAN BO4'!E246</f>
        <v>sets</v>
      </c>
      <c r="C327" s="1062" t="str">
        <f>'SAN FRAN BO4'!C246</f>
        <v>Straight Connector 1/2</v>
      </c>
      <c r="D327" s="1063"/>
      <c r="E327" s="383">
        <f>'SAN FRAN BO4'!D246</f>
        <v>1</v>
      </c>
      <c r="F327" s="384">
        <f>'SAN FRAN BO4'!F246</f>
        <v>35</v>
      </c>
      <c r="G327" s="385">
        <f t="shared" si="32"/>
        <v>35</v>
      </c>
      <c r="I327" s="418"/>
    </row>
    <row r="328" spans="1:15">
      <c r="A328" s="380"/>
      <c r="B328" s="381" t="str">
        <f>'SAN FRAN BO4'!E247</f>
        <v>sets</v>
      </c>
      <c r="C328" s="1062" t="str">
        <f>'SAN FRAN BO4'!C247</f>
        <v>PVC Elbow 90 Degree 1/2 Orange ( Long Bend )</v>
      </c>
      <c r="D328" s="1063"/>
      <c r="E328" s="383">
        <f>'SAN FRAN BO4'!D247</f>
        <v>2</v>
      </c>
      <c r="F328" s="384">
        <f>'SAN FRAN BO4'!F247</f>
        <v>30</v>
      </c>
      <c r="G328" s="385">
        <f t="shared" si="32"/>
        <v>60</v>
      </c>
      <c r="I328" s="418"/>
    </row>
    <row r="329" spans="1:15">
      <c r="A329" s="380"/>
      <c r="B329" s="381" t="str">
        <f>'SAN FRAN BO4'!E263</f>
        <v>lots</v>
      </c>
      <c r="C329" s="1062" t="str">
        <f>'SAN FRAN BO4'!C263</f>
        <v>Tarpaulin with wood Frame (8'x8')</v>
      </c>
      <c r="D329" s="1063"/>
      <c r="E329" s="383">
        <f>'SAN FRAN BO4'!D263</f>
        <v>1</v>
      </c>
      <c r="F329" s="384">
        <f>'SAN FRAN BO4'!F263</f>
        <v>2000</v>
      </c>
      <c r="G329" s="385">
        <f t="shared" ref="G329:G335" si="33">F329*E329</f>
        <v>2000</v>
      </c>
      <c r="I329" s="418"/>
    </row>
    <row r="330" spans="1:15">
      <c r="A330" s="380"/>
      <c r="B330" s="381" t="str">
        <f>'SAN FRAN BO4'!E281</f>
        <v>sheet</v>
      </c>
      <c r="C330" s="1062" t="str">
        <f>'SAN FRAN BO4'!C281</f>
        <v xml:space="preserve">Cement Board 4.5mm x 4 x 8 </v>
      </c>
      <c r="D330" s="1063"/>
      <c r="E330" s="383">
        <f>'SAN FRAN BO4'!D281</f>
        <v>40</v>
      </c>
      <c r="F330" s="384">
        <f>'SAN FRAN BO4'!F281</f>
        <v>600</v>
      </c>
      <c r="G330" s="385">
        <f t="shared" si="33"/>
        <v>24000</v>
      </c>
      <c r="I330" s="418"/>
    </row>
    <row r="331" spans="1:15">
      <c r="A331" s="380"/>
      <c r="B331" s="381" t="str">
        <f>'SAN FRAN BO4'!E282</f>
        <v>length</v>
      </c>
      <c r="C331" s="1062" t="str">
        <f>'SAN FRAN BO4'!C282</f>
        <v>Metal Furring  Double</v>
      </c>
      <c r="D331" s="1063"/>
      <c r="E331" s="383">
        <f>'SAN FRAN BO4'!D282</f>
        <v>35</v>
      </c>
      <c r="F331" s="384">
        <f>'SAN FRAN BO4'!F282</f>
        <v>130</v>
      </c>
      <c r="G331" s="385">
        <f t="shared" si="33"/>
        <v>4550</v>
      </c>
      <c r="I331" s="418"/>
    </row>
    <row r="332" spans="1:15">
      <c r="A332" s="380"/>
      <c r="B332" s="381" t="str">
        <f>'SAN FRAN BO4'!E283</f>
        <v>length</v>
      </c>
      <c r="C332" s="1062" t="str">
        <f>'SAN FRAN BO4'!C283</f>
        <v>Carrying Channel</v>
      </c>
      <c r="D332" s="1063"/>
      <c r="E332" s="383">
        <f>'SAN FRAN BO4'!D283</f>
        <v>34</v>
      </c>
      <c r="F332" s="384">
        <f>'SAN FRAN BO4'!F283</f>
        <v>150</v>
      </c>
      <c r="G332" s="385">
        <f t="shared" si="33"/>
        <v>5100</v>
      </c>
      <c r="I332" s="418"/>
    </row>
    <row r="333" spans="1:15">
      <c r="A333" s="380"/>
      <c r="B333" s="381" t="str">
        <f>'SAN FRAN BO4'!E284</f>
        <v>pcs</v>
      </c>
      <c r="C333" s="1062" t="str">
        <f>'SAN FRAN BO4'!C284</f>
        <v>W. Clip</v>
      </c>
      <c r="D333" s="1063"/>
      <c r="E333" s="383">
        <f>'SAN FRAN BO4'!D284</f>
        <v>250</v>
      </c>
      <c r="F333" s="384">
        <f>'SAN FRAN BO4'!F284</f>
        <v>7</v>
      </c>
      <c r="G333" s="385">
        <f t="shared" si="33"/>
        <v>1750</v>
      </c>
      <c r="I333" s="418"/>
    </row>
    <row r="334" spans="1:15">
      <c r="A334" s="380"/>
      <c r="B334" s="381" t="str">
        <f>'SAN FRAN BO4'!E285</f>
        <v>box</v>
      </c>
      <c r="C334" s="1062" t="str">
        <f>'SAN FRAN BO4'!C285</f>
        <v>Blind Rivets 1/8" x 1/2"</v>
      </c>
      <c r="D334" s="1063"/>
      <c r="E334" s="383">
        <f>'SAN FRAN BO4'!D285</f>
        <v>2</v>
      </c>
      <c r="F334" s="384">
        <f>'SAN FRAN BO4'!F285</f>
        <v>500</v>
      </c>
      <c r="G334" s="385">
        <f t="shared" si="33"/>
        <v>1000</v>
      </c>
      <c r="I334" s="418"/>
    </row>
    <row r="335" spans="1:15">
      <c r="A335" s="380"/>
      <c r="B335" s="381" t="str">
        <f>'SAN FRAN BO4'!E286</f>
        <v>kgs</v>
      </c>
      <c r="C335" s="1062" t="str">
        <f>'SAN FRAN BO4'!C286</f>
        <v>Concrete Nails #1</v>
      </c>
      <c r="D335" s="1063"/>
      <c r="E335" s="383">
        <f>'SAN FRAN BO4'!D286</f>
        <v>2</v>
      </c>
      <c r="F335" s="384">
        <f>'SAN FRAN BO4'!F286</f>
        <v>150</v>
      </c>
      <c r="G335" s="385">
        <f t="shared" si="33"/>
        <v>300</v>
      </c>
      <c r="H335" s="371">
        <f>SUM(G314:G335,G284,G183:G210)</f>
        <v>275564.00300000003</v>
      </c>
      <c r="I335" s="418">
        <f>H335-'SAN FRAN BO4'!G293</f>
        <v>0</v>
      </c>
    </row>
    <row r="336" spans="1:15" ht="15.75">
      <c r="A336" s="1075" t="str">
        <f>'BAGONG LIP.'!B6</f>
        <v>RENOVATION OF DAY CARE CENTER AT BAGONG LIPUNAN BARANGAY SAN ISIDRO</v>
      </c>
      <c r="B336" s="1076"/>
      <c r="C336" s="1076"/>
      <c r="D336" s="1076"/>
      <c r="E336" s="1076"/>
      <c r="F336" s="1076"/>
      <c r="G336" s="1077"/>
      <c r="I336" s="366"/>
      <c r="J336" s="409"/>
      <c r="K336" s="410"/>
      <c r="L336" s="410"/>
      <c r="M336" s="409"/>
      <c r="N336" s="411"/>
      <c r="O336" s="412"/>
    </row>
    <row r="337" spans="1:9">
      <c r="A337" s="380"/>
      <c r="B337" s="381" t="str">
        <f>'BAGONG LIP.'!E27</f>
        <v>bags</v>
      </c>
      <c r="C337" s="1062" t="str">
        <f>'BAGONG LIP.'!C27</f>
        <v>Premium Portland Cement ASTM C595</v>
      </c>
      <c r="D337" s="1063"/>
      <c r="E337" s="383">
        <f>'BAGONG LIP.'!D27</f>
        <v>24</v>
      </c>
      <c r="F337" s="384">
        <f>'BAGONG LIP.'!F27</f>
        <v>310</v>
      </c>
      <c r="G337" s="385">
        <f t="shared" ref="G337" si="34">F337*E337</f>
        <v>7440</v>
      </c>
      <c r="I337" s="418"/>
    </row>
    <row r="338" spans="1:9">
      <c r="A338" s="380"/>
      <c r="B338" s="381" t="str">
        <f>'BAGONG LIP.'!E28</f>
        <v>cu.m.</v>
      </c>
      <c r="C338" s="1062" t="str">
        <f>'BAGONG LIP.'!C28</f>
        <v>W. Sand</v>
      </c>
      <c r="D338" s="1063"/>
      <c r="E338" s="383">
        <f>'BAGONG LIP.'!D28</f>
        <v>10</v>
      </c>
      <c r="F338" s="384">
        <f>'BAGONG LIP.'!F28</f>
        <v>600</v>
      </c>
      <c r="G338" s="385">
        <f t="shared" ref="G338:G339" si="35">F338*E338</f>
        <v>6000</v>
      </c>
      <c r="I338" s="418"/>
    </row>
    <row r="339" spans="1:9">
      <c r="A339" s="380"/>
      <c r="B339" s="381" t="str">
        <f>'BAGONG LIP.'!E29</f>
        <v>cu.m.</v>
      </c>
      <c r="C339" s="1062" t="str">
        <f>'BAGONG LIP.'!C29</f>
        <v>Gravel 3/4", Crushed</v>
      </c>
      <c r="D339" s="1063"/>
      <c r="E339" s="383">
        <f>'BAGONG LIP.'!D29</f>
        <v>5</v>
      </c>
      <c r="F339" s="384">
        <f>'BAGONG LIP.'!F29</f>
        <v>1450</v>
      </c>
      <c r="G339" s="385">
        <f t="shared" si="35"/>
        <v>7250</v>
      </c>
      <c r="I339" s="418"/>
    </row>
    <row r="340" spans="1:9">
      <c r="A340" s="380"/>
      <c r="B340" s="381" t="str">
        <f>'BAGONG LIP.'!E46</f>
        <v>length</v>
      </c>
      <c r="C340" s="1062" t="str">
        <f>'BAGONG LIP.'!C46</f>
        <v>10mm diam x 6m corr. Deform bar</v>
      </c>
      <c r="D340" s="1063"/>
      <c r="E340" s="383">
        <f>'BAGONG LIP.'!D46</f>
        <v>20</v>
      </c>
      <c r="F340" s="384">
        <f>'BAGONG LIP.'!F46</f>
        <v>210</v>
      </c>
      <c r="G340" s="385">
        <f>F340*E340</f>
        <v>4200</v>
      </c>
      <c r="I340" s="418"/>
    </row>
    <row r="341" spans="1:9">
      <c r="A341" s="380"/>
      <c r="B341" s="381" t="str">
        <f>'BAGONG LIP.'!E47</f>
        <v>length</v>
      </c>
      <c r="C341" s="1062" t="str">
        <f>'BAGONG LIP.'!C47</f>
        <v>12mm diam x 6m corr. Deform bar</v>
      </c>
      <c r="D341" s="1063"/>
      <c r="E341" s="383">
        <f>'BAGONG LIP.'!D47</f>
        <v>12</v>
      </c>
      <c r="F341" s="384">
        <f>'BAGONG LIP.'!F47</f>
        <v>310</v>
      </c>
      <c r="G341" s="385">
        <f t="shared" ref="G341:G343" si="36">F341*E341</f>
        <v>3720</v>
      </c>
      <c r="I341" s="418"/>
    </row>
    <row r="342" spans="1:9">
      <c r="A342" s="380"/>
      <c r="B342" s="381" t="str">
        <f>'BAGONG LIP.'!E48</f>
        <v>pcs</v>
      </c>
      <c r="C342" s="1062" t="str">
        <f>'BAGONG LIP.'!C48</f>
        <v>Tie Wire # 16</v>
      </c>
      <c r="D342" s="1063"/>
      <c r="E342" s="383">
        <f>'BAGONG LIP.'!D48</f>
        <v>10</v>
      </c>
      <c r="F342" s="384">
        <f>'BAGONG LIP.'!F48</f>
        <v>110</v>
      </c>
      <c r="G342" s="385">
        <f t="shared" si="36"/>
        <v>1100</v>
      </c>
      <c r="I342" s="418"/>
    </row>
    <row r="343" spans="1:9">
      <c r="A343" s="380"/>
      <c r="B343" s="381" t="str">
        <f>'BAGONG LIP.'!E49</f>
        <v>pcs</v>
      </c>
      <c r="C343" s="1062" t="str">
        <f>'BAGONG LIP.'!C49</f>
        <v>Cutting Disc 4" ( Flexiarapid super A 60 U )</v>
      </c>
      <c r="D343" s="1063"/>
      <c r="E343" s="383">
        <f>'BAGONG LIP.'!D49</f>
        <v>5</v>
      </c>
      <c r="F343" s="384">
        <f>'BAGONG LIP.'!F49</f>
        <v>210</v>
      </c>
      <c r="G343" s="385">
        <f t="shared" si="36"/>
        <v>1050</v>
      </c>
      <c r="I343" s="418"/>
    </row>
    <row r="344" spans="1:9">
      <c r="A344" s="380"/>
      <c r="B344" s="381" t="str">
        <f>'BAGONG LIP.'!E67</f>
        <v>bd.ft</v>
      </c>
      <c r="C344" s="387" t="str">
        <f>'BAGONG LIP.'!C67</f>
        <v>Coco-lumber ( 2"x3"x12' )</v>
      </c>
      <c r="D344" s="388"/>
      <c r="E344" s="383">
        <f>'BAGONG LIP.'!D67</f>
        <v>120</v>
      </c>
      <c r="F344" s="384">
        <f>'BAGONG LIP.'!F67</f>
        <v>38</v>
      </c>
      <c r="G344" s="385">
        <f t="shared" ref="G344:G351" si="37">F344*E344</f>
        <v>4560</v>
      </c>
      <c r="I344" s="418"/>
    </row>
    <row r="345" spans="1:9">
      <c r="A345" s="380"/>
      <c r="B345" s="381" t="str">
        <f>'BAGONG LIP.'!E68</f>
        <v>bd.ft</v>
      </c>
      <c r="C345" s="387" t="str">
        <f>'BAGONG LIP.'!C68</f>
        <v>Coco-lumber ( 2"x2"x12' )</v>
      </c>
      <c r="D345" s="388"/>
      <c r="E345" s="383">
        <f>'BAGONG LIP.'!D68</f>
        <v>80</v>
      </c>
      <c r="F345" s="384">
        <f>'BAGONG LIP.'!F68</f>
        <v>38</v>
      </c>
      <c r="G345" s="385">
        <f t="shared" si="37"/>
        <v>3040</v>
      </c>
      <c r="I345" s="418"/>
    </row>
    <row r="346" spans="1:9">
      <c r="A346" s="380"/>
      <c r="B346" s="381" t="str">
        <f>'BAGONG LIP.'!E69</f>
        <v>sht</v>
      </c>
      <c r="C346" s="387" t="str">
        <f>'BAGONG LIP.'!C69</f>
        <v>Ordinary plywood 10MM 4'X8'</v>
      </c>
      <c r="D346" s="388"/>
      <c r="E346" s="383">
        <f>'BAGONG LIP.'!D69</f>
        <v>4</v>
      </c>
      <c r="F346" s="384">
        <f>'BAGONG LIP.'!F69</f>
        <v>714</v>
      </c>
      <c r="G346" s="385">
        <f t="shared" si="37"/>
        <v>2856</v>
      </c>
      <c r="I346" s="418"/>
    </row>
    <row r="347" spans="1:9">
      <c r="A347" s="380"/>
      <c r="B347" s="381" t="str">
        <f>'BAGONG LIP.'!E70</f>
        <v>roll</v>
      </c>
      <c r="C347" s="1062" t="str">
        <f>'BAGONG LIP.'!C70</f>
        <v>Nylon string ( 0.40mm )</v>
      </c>
      <c r="D347" s="1063"/>
      <c r="E347" s="383">
        <f>'BAGONG LIP.'!D70</f>
        <v>4</v>
      </c>
      <c r="F347" s="384">
        <f>'BAGONG LIP.'!F70</f>
        <v>68</v>
      </c>
      <c r="G347" s="385">
        <f t="shared" si="37"/>
        <v>272</v>
      </c>
      <c r="I347" s="418"/>
    </row>
    <row r="348" spans="1:9">
      <c r="A348" s="380"/>
      <c r="B348" s="381" t="str">
        <f>'BAGONG LIP.'!E71</f>
        <v>kgs</v>
      </c>
      <c r="C348" s="1062" t="str">
        <f>'BAGONG LIP.'!C71</f>
        <v>CWN 4"</v>
      </c>
      <c r="D348" s="1063"/>
      <c r="E348" s="383">
        <f>'BAGONG LIP.'!D71</f>
        <v>5</v>
      </c>
      <c r="F348" s="384">
        <f>'BAGONG LIP.'!F71</f>
        <v>94</v>
      </c>
      <c r="G348" s="385">
        <f t="shared" si="37"/>
        <v>470</v>
      </c>
      <c r="I348" s="418"/>
    </row>
    <row r="349" spans="1:9">
      <c r="A349" s="380"/>
      <c r="B349" s="381" t="str">
        <f>'BAGONG LIP.'!E72</f>
        <v>kgs</v>
      </c>
      <c r="C349" s="1062" t="str">
        <f>'BAGONG LIP.'!C72</f>
        <v>CWN 3"</v>
      </c>
      <c r="D349" s="1063"/>
      <c r="E349" s="383">
        <f>'BAGONG LIP.'!D72</f>
        <v>5</v>
      </c>
      <c r="F349" s="384">
        <f>'BAGONG LIP.'!F72</f>
        <v>94</v>
      </c>
      <c r="G349" s="385">
        <f t="shared" si="37"/>
        <v>470</v>
      </c>
      <c r="I349" s="418"/>
    </row>
    <row r="350" spans="1:9">
      <c r="A350" s="380"/>
      <c r="B350" s="381" t="str">
        <f>'BAGONG LIP.'!E73</f>
        <v>kgs</v>
      </c>
      <c r="C350" s="1062" t="str">
        <f>'BAGONG LIP.'!C73</f>
        <v>Tie Wire # 16</v>
      </c>
      <c r="D350" s="1063"/>
      <c r="E350" s="383">
        <f>'BAGONG LIP.'!D73</f>
        <v>3.1181999999999999</v>
      </c>
      <c r="F350" s="384">
        <f>'BAGONG LIP.'!F73</f>
        <v>110</v>
      </c>
      <c r="G350" s="385">
        <f t="shared" si="37"/>
        <v>343.00200000000001</v>
      </c>
      <c r="I350" s="418"/>
    </row>
    <row r="351" spans="1:9">
      <c r="A351" s="380"/>
      <c r="B351" s="381" t="str">
        <f>'BAGONG LIP.'!E74</f>
        <v>kgs</v>
      </c>
      <c r="C351" s="1062" t="str">
        <f>'BAGONG LIP.'!C74</f>
        <v>CWN 1 1/2"</v>
      </c>
      <c r="D351" s="1063"/>
      <c r="E351" s="383">
        <f>'BAGONG LIP.'!D74</f>
        <v>3</v>
      </c>
      <c r="F351" s="384">
        <f>'BAGONG LIP.'!F74</f>
        <v>94</v>
      </c>
      <c r="G351" s="385">
        <f t="shared" si="37"/>
        <v>282</v>
      </c>
      <c r="I351" s="418"/>
    </row>
    <row r="352" spans="1:9">
      <c r="A352" s="380"/>
      <c r="B352" s="381" t="str">
        <f>'BAGONG LIP.'!E75</f>
        <v>m</v>
      </c>
      <c r="C352" s="1062" t="str">
        <f>'BAGONG LIP.'!C75</f>
        <v>Hardware cloth 1/8"</v>
      </c>
      <c r="D352" s="1063"/>
      <c r="E352" s="383">
        <f>'BAGONG LIP.'!D75</f>
        <v>3</v>
      </c>
      <c r="F352" s="384">
        <f>'BAGONG LIP.'!F75</f>
        <v>189</v>
      </c>
      <c r="G352" s="385">
        <f t="shared" ref="G352" si="38">F352*E352</f>
        <v>567</v>
      </c>
      <c r="I352" s="418"/>
    </row>
    <row r="353" spans="1:9">
      <c r="A353" s="380"/>
      <c r="B353" s="381" t="str">
        <f>'BAGONG LIP.'!E93</f>
        <v>pcs</v>
      </c>
      <c r="C353" s="1062" t="str">
        <f>'BAGONG LIP.'!C93</f>
        <v>CHB 4"x8"x16"</v>
      </c>
      <c r="D353" s="1063"/>
      <c r="E353" s="383">
        <f>'BAGONG LIP.'!D93</f>
        <v>300</v>
      </c>
      <c r="F353" s="384">
        <f>'BAGONG LIP.'!F93</f>
        <v>13</v>
      </c>
      <c r="G353" s="385">
        <f>F353*E353</f>
        <v>3900</v>
      </c>
      <c r="I353" s="418"/>
    </row>
    <row r="354" spans="1:9">
      <c r="A354" s="380"/>
      <c r="B354" s="381" t="str">
        <f>'BAGONG LIP.'!E94</f>
        <v>length</v>
      </c>
      <c r="C354" s="1062" t="str">
        <f>'BAGONG LIP.'!C94</f>
        <v>10mm diam x 6m corr. Deform bar</v>
      </c>
      <c r="D354" s="1063"/>
      <c r="E354" s="383">
        <f>'BAGONG LIP.'!D94</f>
        <v>20</v>
      </c>
      <c r="F354" s="384">
        <f>'BAGONG LIP.'!F94</f>
        <v>210</v>
      </c>
      <c r="G354" s="385">
        <f>F354*E354</f>
        <v>4200</v>
      </c>
      <c r="I354" s="418"/>
    </row>
    <row r="355" spans="1:9">
      <c r="A355" s="380"/>
      <c r="B355" s="381" t="str">
        <f>'BAGONG LIP.'!E95</f>
        <v>bags</v>
      </c>
      <c r="C355" s="1062" t="str">
        <f>'BAGONG LIP.'!C95</f>
        <v>Premium Portland Cement ASTM C595</v>
      </c>
      <c r="D355" s="1063"/>
      <c r="E355" s="383">
        <f>'BAGONG LIP.'!D95</f>
        <v>90</v>
      </c>
      <c r="F355" s="384">
        <f>'BAGONG LIP.'!F95</f>
        <v>310</v>
      </c>
      <c r="G355" s="385">
        <f t="shared" ref="G355:G356" si="39">F355*E355</f>
        <v>27900</v>
      </c>
      <c r="I355" s="418"/>
    </row>
    <row r="356" spans="1:9">
      <c r="A356" s="380"/>
      <c r="B356" s="381" t="str">
        <f>'BAGONG LIP.'!E96</f>
        <v>cu.m.</v>
      </c>
      <c r="C356" s="1062" t="str">
        <f>'BAGONG LIP.'!C96</f>
        <v>W. Sand</v>
      </c>
      <c r="D356" s="1063"/>
      <c r="E356" s="383">
        <f>'BAGONG LIP.'!D96</f>
        <v>1</v>
      </c>
      <c r="F356" s="384">
        <f>'BAGONG LIP.'!F96</f>
        <v>600</v>
      </c>
      <c r="G356" s="385">
        <f t="shared" si="39"/>
        <v>600</v>
      </c>
      <c r="I356" s="418"/>
    </row>
    <row r="357" spans="1:9">
      <c r="A357" s="1026" t="s">
        <v>1338</v>
      </c>
      <c r="B357" s="1026"/>
      <c r="C357" s="1026"/>
      <c r="D357" s="1026"/>
      <c r="E357" s="1026"/>
      <c r="F357" s="1026"/>
      <c r="G357" s="389">
        <f>SUM(G314:G356)</f>
        <v>127260.00199999999</v>
      </c>
    </row>
    <row r="358" spans="1:9">
      <c r="A358" s="1038" t="s">
        <v>1394</v>
      </c>
      <c r="B358" s="1039"/>
      <c r="C358" s="1095" t="str">
        <f>C285</f>
        <v>Materials for the SITIO BADAC, BARANGAY SARAVIA, PUROK SAN FRANCISCO BARANGAY PUROK BAGONG LIPUNAN BARANGAY SAN ISIDRO AND PUROK KAUSWAGAN BARANGAY SARAVIA CITY OF KORONADAL</v>
      </c>
      <c r="D358" s="1043"/>
      <c r="E358" s="1043"/>
      <c r="F358" s="1043"/>
      <c r="G358" s="1044"/>
    </row>
    <row r="359" spans="1:9" ht="26.25" customHeight="1">
      <c r="A359" s="1040"/>
      <c r="B359" s="1041"/>
      <c r="C359" s="1045"/>
      <c r="D359" s="1046"/>
      <c r="E359" s="1046"/>
      <c r="F359" s="1046"/>
      <c r="G359" s="1047"/>
    </row>
    <row r="360" spans="1:9">
      <c r="A360" s="390"/>
      <c r="B360" s="391"/>
      <c r="C360" s="392" t="s">
        <v>1395</v>
      </c>
      <c r="D360" s="1048" t="s">
        <v>1396</v>
      </c>
      <c r="E360" s="1049"/>
      <c r="F360" s="393" t="s">
        <v>1397</v>
      </c>
      <c r="G360" s="394"/>
    </row>
    <row r="361" spans="1:9">
      <c r="A361" s="395"/>
      <c r="C361" s="396"/>
      <c r="D361" s="1050"/>
      <c r="E361" s="1051"/>
      <c r="F361" s="395"/>
      <c r="G361" s="397"/>
    </row>
    <row r="362" spans="1:9">
      <c r="A362" s="398" t="s">
        <v>1069</v>
      </c>
      <c r="B362" s="399"/>
      <c r="C362" s="396"/>
      <c r="E362" s="397"/>
      <c r="F362" s="395"/>
      <c r="G362" s="397"/>
    </row>
    <row r="363" spans="1:9">
      <c r="A363" s="398" t="s">
        <v>1070</v>
      </c>
      <c r="B363" s="399"/>
      <c r="C363" s="400" t="s">
        <v>1365</v>
      </c>
      <c r="D363" s="1052" t="s">
        <v>1398</v>
      </c>
      <c r="E363" s="1053"/>
      <c r="F363" s="1052" t="s">
        <v>1371</v>
      </c>
      <c r="G363" s="1053"/>
    </row>
    <row r="364" spans="1:9">
      <c r="A364" s="398" t="s">
        <v>1399</v>
      </c>
      <c r="B364" s="399"/>
      <c r="C364" s="401" t="s">
        <v>1400</v>
      </c>
      <c r="D364" s="1054" t="s">
        <v>1401</v>
      </c>
      <c r="E364" s="1055"/>
      <c r="F364" s="1056" t="s">
        <v>1074</v>
      </c>
      <c r="G364" s="1057"/>
    </row>
    <row r="365" spans="1:9">
      <c r="A365" s="399" t="s">
        <v>1045</v>
      </c>
      <c r="B365" s="402"/>
      <c r="C365" s="403"/>
      <c r="D365" s="404"/>
      <c r="E365" s="405"/>
      <c r="F365" s="406"/>
      <c r="G365" s="405"/>
    </row>
    <row r="366" spans="1:9">
      <c r="A366" s="370" t="s">
        <v>1375</v>
      </c>
      <c r="E366" s="373" t="s">
        <v>1376</v>
      </c>
    </row>
    <row r="367" spans="1:9">
      <c r="E367" s="370" t="s">
        <v>1377</v>
      </c>
    </row>
    <row r="368" spans="1:9">
      <c r="E368" s="1072" t="str">
        <f>E296</f>
        <v xml:space="preserve">COMPLETION, RENOVATION AND 
IMPROVEMENT OF  DAY CARE CENTER
</v>
      </c>
      <c r="F368" s="927"/>
      <c r="G368" s="927"/>
    </row>
    <row r="369" spans="1:7">
      <c r="E369" s="927"/>
      <c r="F369" s="927"/>
      <c r="G369" s="927"/>
    </row>
    <row r="370" spans="1:7">
      <c r="A370" s="370" t="s">
        <v>1378</v>
      </c>
      <c r="E370" s="373" t="s">
        <v>1379</v>
      </c>
    </row>
    <row r="371" spans="1:7">
      <c r="A371" s="370" t="s">
        <v>1380</v>
      </c>
      <c r="E371" s="1032" t="str">
        <f>E299</f>
        <v xml:space="preserve">SITIO BADAC, BARANGAY SARAVIA, PUROK SAN FRANCISCO BARANGAY
NEW PANGASINAN, </v>
      </c>
      <c r="F371" s="1073"/>
      <c r="G371" s="1073"/>
    </row>
    <row r="372" spans="1:7">
      <c r="A372" s="370" t="s">
        <v>1381</v>
      </c>
      <c r="E372" s="1073"/>
      <c r="F372" s="1073"/>
      <c r="G372" s="1073"/>
    </row>
    <row r="373" spans="1:7" ht="15" customHeight="1">
      <c r="E373" s="1033" t="str">
        <f>E301</f>
        <v xml:space="preserve">PUROK BAGONG LIPUNAN BARANGAY SAN ISIDRO AND 
PUROK KAUSWAGAN BARANGAY SARAVIA
</v>
      </c>
      <c r="F373" s="1033"/>
      <c r="G373" s="1033"/>
    </row>
    <row r="374" spans="1:7">
      <c r="E374" s="1033"/>
      <c r="F374" s="1033"/>
      <c r="G374" s="1033"/>
    </row>
    <row r="375" spans="1:7">
      <c r="E375" s="1033"/>
      <c r="F375" s="1033"/>
      <c r="G375" s="1033"/>
    </row>
    <row r="376" spans="1:7">
      <c r="E376" s="1033"/>
      <c r="F376" s="1033"/>
      <c r="G376" s="1033"/>
    </row>
    <row r="377" spans="1:7">
      <c r="E377" s="374"/>
      <c r="F377" s="374"/>
      <c r="G377" s="374"/>
    </row>
    <row r="378" spans="1:7">
      <c r="E378" s="374"/>
      <c r="F378" s="374"/>
      <c r="G378" s="374"/>
    </row>
    <row r="379" spans="1:7">
      <c r="A379" s="1027" t="s">
        <v>1382</v>
      </c>
      <c r="B379" s="1027"/>
      <c r="C379" s="1027"/>
      <c r="D379" s="1027"/>
      <c r="E379" s="1027"/>
      <c r="F379" s="1027"/>
      <c r="G379" s="1027"/>
    </row>
    <row r="380" spans="1:7">
      <c r="A380" s="1028" t="s">
        <v>1383</v>
      </c>
      <c r="B380" s="1027"/>
      <c r="C380" s="1027"/>
      <c r="D380" s="1027"/>
      <c r="E380" s="1027"/>
      <c r="F380" s="1027"/>
      <c r="G380" s="1027"/>
    </row>
    <row r="381" spans="1:7">
      <c r="A381" s="1029" t="s">
        <v>1384</v>
      </c>
      <c r="B381" s="1029"/>
      <c r="C381" s="1029"/>
      <c r="D381" s="1029"/>
      <c r="E381" s="1029"/>
      <c r="F381" s="1029"/>
      <c r="G381" s="1029"/>
    </row>
    <row r="382" spans="1:7" ht="15.75">
      <c r="A382" s="370" t="s">
        <v>1385</v>
      </c>
      <c r="C382" s="376" t="s">
        <v>1386</v>
      </c>
      <c r="D382" s="377"/>
      <c r="E382" s="370" t="s">
        <v>1387</v>
      </c>
      <c r="F382" s="1036" t="str">
        <f>F310</f>
        <v>Date: February 24,2025</v>
      </c>
      <c r="G382" s="1037"/>
    </row>
    <row r="383" spans="1:7">
      <c r="A383" s="370" t="s">
        <v>1388</v>
      </c>
      <c r="E383" s="370" t="s">
        <v>1389</v>
      </c>
    </row>
    <row r="384" spans="1:7">
      <c r="A384" s="378" t="s">
        <v>1390</v>
      </c>
      <c r="B384" s="1066" t="s">
        <v>314</v>
      </c>
      <c r="C384" s="1068" t="s">
        <v>1391</v>
      </c>
      <c r="D384" s="1069"/>
      <c r="E384" s="1066" t="s">
        <v>1392</v>
      </c>
      <c r="F384" s="1066" t="s">
        <v>1393</v>
      </c>
      <c r="G384" s="1066" t="s">
        <v>1052</v>
      </c>
    </row>
    <row r="385" spans="1:9">
      <c r="A385" s="379" t="s">
        <v>1040</v>
      </c>
      <c r="B385" s="1067"/>
      <c r="C385" s="1070"/>
      <c r="D385" s="1071"/>
      <c r="E385" s="1067"/>
      <c r="F385" s="1067"/>
      <c r="G385" s="1067"/>
    </row>
    <row r="386" spans="1:9">
      <c r="A386" s="380"/>
      <c r="B386" s="381" t="str">
        <f>'BAGONG LIP.'!E114</f>
        <v>sq.m.</v>
      </c>
      <c r="C386" s="1062" t="str">
        <f>'BAGONG LIP.'!C114</f>
        <v>Pre fabricated Long Span (0.40mm THK)</v>
      </c>
      <c r="D386" s="1063"/>
      <c r="E386" s="383">
        <f>'BAGONG LIP.'!D114</f>
        <v>18</v>
      </c>
      <c r="F386" s="384">
        <f>'BAGONG LIP.'!F114</f>
        <v>520</v>
      </c>
      <c r="G386" s="385">
        <f>F386*E386</f>
        <v>9360</v>
      </c>
      <c r="I386" s="418"/>
    </row>
    <row r="387" spans="1:9">
      <c r="A387" s="380"/>
      <c r="B387" s="381" t="str">
        <f>'BAGONG LIP.'!E115</f>
        <v>pcs</v>
      </c>
      <c r="C387" s="1062" t="str">
        <f>'BAGONG LIP.'!C115</f>
        <v>Tek Screw #2</v>
      </c>
      <c r="D387" s="1063"/>
      <c r="E387" s="383">
        <f>'BAGONG LIP.'!D115</f>
        <v>200</v>
      </c>
      <c r="F387" s="384">
        <f>'BAGONG LIP.'!F115</f>
        <v>3</v>
      </c>
      <c r="G387" s="385">
        <f t="shared" ref="G387:G393" si="40">F387*E387</f>
        <v>600</v>
      </c>
      <c r="I387" s="418"/>
    </row>
    <row r="388" spans="1:9">
      <c r="A388" s="380"/>
      <c r="B388" s="381" t="str">
        <f>'BAGONG LIP.'!E116</f>
        <v>length</v>
      </c>
      <c r="C388" s="1062" t="str">
        <f>'BAGONG LIP.'!C116</f>
        <v>Cee-Purlins 1.2mmx2"x4"x6m</v>
      </c>
      <c r="D388" s="1063"/>
      <c r="E388" s="383">
        <f>'BAGONG LIP.'!D116</f>
        <v>7</v>
      </c>
      <c r="F388" s="384">
        <f>'BAGONG LIP.'!F116</f>
        <v>650</v>
      </c>
      <c r="G388" s="385">
        <f t="shared" si="40"/>
        <v>4550</v>
      </c>
      <c r="I388" s="418"/>
    </row>
    <row r="389" spans="1:9">
      <c r="A389" s="380"/>
      <c r="B389" s="381" t="str">
        <f>'BAGONG LIP.'!E117</f>
        <v>length</v>
      </c>
      <c r="C389" s="1062" t="str">
        <f>'BAGONG LIP.'!C117</f>
        <v>Cee Purlins 1.2mmx2"x3"x6m</v>
      </c>
      <c r="D389" s="1063"/>
      <c r="E389" s="383">
        <f>'BAGONG LIP.'!D117</f>
        <v>12</v>
      </c>
      <c r="F389" s="384">
        <f>'BAGONG LIP.'!F117</f>
        <v>550</v>
      </c>
      <c r="G389" s="385">
        <f t="shared" si="40"/>
        <v>6600</v>
      </c>
      <c r="I389" s="418"/>
    </row>
    <row r="390" spans="1:9">
      <c r="A390" s="380"/>
      <c r="B390" s="381" t="str">
        <f>'BAGONG LIP.'!E118</f>
        <v>pcs</v>
      </c>
      <c r="C390" s="1062" t="str">
        <f>'BAGONG LIP.'!C118</f>
        <v>Grinding Stone 4"</v>
      </c>
      <c r="D390" s="1063"/>
      <c r="E390" s="383">
        <f>'BAGONG LIP.'!D118</f>
        <v>5</v>
      </c>
      <c r="F390" s="384">
        <f>'BAGONG LIP.'!F118</f>
        <v>120</v>
      </c>
      <c r="G390" s="385">
        <f t="shared" si="40"/>
        <v>600</v>
      </c>
      <c r="I390" s="418"/>
    </row>
    <row r="391" spans="1:9">
      <c r="A391" s="380"/>
      <c r="B391" s="381" t="str">
        <f>'BAGONG LIP.'!E119</f>
        <v>pcs</v>
      </c>
      <c r="C391" s="1062" t="str">
        <f>'BAGONG LIP.'!C119</f>
        <v>Drill bit 3/16</v>
      </c>
      <c r="D391" s="1063"/>
      <c r="E391" s="383">
        <f>'BAGONG LIP.'!D119</f>
        <v>5</v>
      </c>
      <c r="F391" s="384">
        <f>'BAGONG LIP.'!F119</f>
        <v>110</v>
      </c>
      <c r="G391" s="385">
        <f t="shared" si="40"/>
        <v>550</v>
      </c>
      <c r="I391" s="418"/>
    </row>
    <row r="392" spans="1:9">
      <c r="A392" s="380"/>
      <c r="B392" s="381" t="str">
        <f>'BAGONG LIP.'!E120</f>
        <v>kgs</v>
      </c>
      <c r="C392" s="1062" t="str">
        <f>'BAGONG LIP.'!C120</f>
        <v>Welding Rod 6013</v>
      </c>
      <c r="D392" s="1063"/>
      <c r="E392" s="383">
        <f>'BAGONG LIP.'!D120</f>
        <v>5</v>
      </c>
      <c r="F392" s="384">
        <f>'BAGONG LIP.'!F120</f>
        <v>190</v>
      </c>
      <c r="G392" s="385">
        <f t="shared" si="40"/>
        <v>950</v>
      </c>
      <c r="I392" s="418"/>
    </row>
    <row r="393" spans="1:9">
      <c r="A393" s="380"/>
      <c r="B393" s="381" t="str">
        <f>'BAGONG LIP.'!E121</f>
        <v>pcs</v>
      </c>
      <c r="C393" s="1062" t="str">
        <f>'BAGONG LIP.'!C121</f>
        <v>Cutting Disc 4" ( Flexiarapid super A 60 U )</v>
      </c>
      <c r="D393" s="1063"/>
      <c r="E393" s="383">
        <f>'BAGONG LIP.'!D121</f>
        <v>5</v>
      </c>
      <c r="F393" s="384">
        <f>'BAGONG LIP.'!F121</f>
        <v>210</v>
      </c>
      <c r="G393" s="385">
        <f t="shared" si="40"/>
        <v>1050</v>
      </c>
      <c r="I393" s="418"/>
    </row>
    <row r="394" spans="1:9">
      <c r="A394" s="380"/>
      <c r="B394" s="381" t="str">
        <f>'BAGONG LIP.'!E140</f>
        <v>bags</v>
      </c>
      <c r="C394" s="1062" t="str">
        <f>'BAGONG LIP.'!C140</f>
        <v>Skim Coat</v>
      </c>
      <c r="D394" s="1063"/>
      <c r="E394" s="383">
        <f>'BAGONG LIP.'!D140</f>
        <v>5</v>
      </c>
      <c r="F394" s="384">
        <f>'BAGONG LIP.'!F140</f>
        <v>615</v>
      </c>
      <c r="G394" s="385">
        <f t="shared" ref="G394:G411" si="41">F394*E394</f>
        <v>3075</v>
      </c>
      <c r="I394" s="418"/>
    </row>
    <row r="395" spans="1:9">
      <c r="A395" s="380"/>
      <c r="B395" s="381" t="str">
        <f>'BAGONG LIP.'!E141</f>
        <v>gals</v>
      </c>
      <c r="C395" s="1062" t="str">
        <f>'BAGONG LIP.'!C141</f>
        <v>Epoxy Primer gray ( Premium quality )</v>
      </c>
      <c r="D395" s="1063"/>
      <c r="E395" s="383">
        <f>'BAGONG LIP.'!D141</f>
        <v>5</v>
      </c>
      <c r="F395" s="384">
        <f>'BAGONG LIP.'!F141</f>
        <v>850</v>
      </c>
      <c r="G395" s="385">
        <f t="shared" si="41"/>
        <v>4250</v>
      </c>
      <c r="I395" s="418"/>
    </row>
    <row r="396" spans="1:9">
      <c r="A396" s="380"/>
      <c r="B396" s="381" t="str">
        <f>'BAGONG LIP.'!E142</f>
        <v>gals</v>
      </c>
      <c r="C396" s="1062" t="str">
        <f>'BAGONG LIP.'!C142</f>
        <v>Semi-Gloss Latex (Raw Sienna) ( Premium quality )</v>
      </c>
      <c r="D396" s="1063"/>
      <c r="E396" s="383">
        <f>'BAGONG LIP.'!D142</f>
        <v>10</v>
      </c>
      <c r="F396" s="384">
        <f>'BAGONG LIP.'!F142</f>
        <v>800</v>
      </c>
      <c r="G396" s="385">
        <f t="shared" si="41"/>
        <v>8000</v>
      </c>
      <c r="I396" s="418"/>
    </row>
    <row r="397" spans="1:9">
      <c r="A397" s="380"/>
      <c r="B397" s="381" t="str">
        <f>'BAGONG LIP.'!E143</f>
        <v>gals</v>
      </c>
      <c r="C397" s="1062" t="str">
        <f>'BAGONG LIP.'!C143</f>
        <v>Flat Latex White ( Premium quality )</v>
      </c>
      <c r="D397" s="1063"/>
      <c r="E397" s="383">
        <f>'BAGONG LIP.'!D143</f>
        <v>14</v>
      </c>
      <c r="F397" s="384">
        <f>'BAGONG LIP.'!F143</f>
        <v>810</v>
      </c>
      <c r="G397" s="385">
        <f t="shared" si="41"/>
        <v>11340</v>
      </c>
      <c r="I397" s="418"/>
    </row>
    <row r="398" spans="1:9">
      <c r="A398" s="380"/>
      <c r="B398" s="381" t="str">
        <f>'BAGONG LIP.'!E144</f>
        <v>qrt</v>
      </c>
      <c r="C398" s="1062" t="str">
        <f>'BAGONG LIP.'!C144</f>
        <v>Polytuff with hardener</v>
      </c>
      <c r="D398" s="1063"/>
      <c r="E398" s="383">
        <f>'BAGONG LIP.'!D144</f>
        <v>8</v>
      </c>
      <c r="F398" s="384">
        <f>'BAGONG LIP.'!F144</f>
        <v>350</v>
      </c>
      <c r="G398" s="385">
        <f t="shared" si="41"/>
        <v>2800</v>
      </c>
      <c r="I398" s="418"/>
    </row>
    <row r="399" spans="1:9">
      <c r="A399" s="380"/>
      <c r="B399" s="381" t="str">
        <f>'BAGONG LIP.'!E145</f>
        <v>gals</v>
      </c>
      <c r="C399" s="1062" t="str">
        <f>'BAGONG LIP.'!C145</f>
        <v>Lacquer Thinner ( Mayon )</v>
      </c>
      <c r="D399" s="1063"/>
      <c r="E399" s="383">
        <f>'BAGONG LIP.'!D145</f>
        <v>7</v>
      </c>
      <c r="F399" s="384">
        <f>'BAGONG LIP.'!F145</f>
        <v>650</v>
      </c>
      <c r="G399" s="385">
        <f t="shared" si="41"/>
        <v>4550</v>
      </c>
      <c r="I399" s="418"/>
    </row>
    <row r="400" spans="1:9">
      <c r="A400" s="380"/>
      <c r="B400" s="381" t="str">
        <f>'BAGONG LIP.'!E146</f>
        <v>sets</v>
      </c>
      <c r="C400" s="1062" t="str">
        <f>'BAGONG LIP.'!C146</f>
        <v>Roller Brush #7 with pan</v>
      </c>
      <c r="D400" s="1063"/>
      <c r="E400" s="383">
        <f>'BAGONG LIP.'!D146</f>
        <v>8</v>
      </c>
      <c r="F400" s="384">
        <f>'BAGONG LIP.'!F146</f>
        <v>250</v>
      </c>
      <c r="G400" s="385">
        <f t="shared" si="41"/>
        <v>2000</v>
      </c>
      <c r="I400" s="418"/>
    </row>
    <row r="401" spans="1:9">
      <c r="A401" s="380"/>
      <c r="B401" s="381" t="str">
        <f>'BAGONG LIP.'!E147</f>
        <v>pcs</v>
      </c>
      <c r="C401" s="1062" t="str">
        <f>'BAGONG LIP.'!C147</f>
        <v>Paint Brush #1</v>
      </c>
      <c r="D401" s="1063"/>
      <c r="E401" s="383">
        <f>'BAGONG LIP.'!D147</f>
        <v>8</v>
      </c>
      <c r="F401" s="384">
        <f>'BAGONG LIP.'!F147</f>
        <v>35</v>
      </c>
      <c r="G401" s="385">
        <f t="shared" si="41"/>
        <v>280</v>
      </c>
      <c r="I401" s="418"/>
    </row>
    <row r="402" spans="1:9">
      <c r="A402" s="380"/>
      <c r="B402" s="381" t="str">
        <f>'BAGONG LIP.'!E148</f>
        <v>pcs</v>
      </c>
      <c r="C402" s="1062" t="str">
        <f>'BAGONG LIP.'!C148</f>
        <v>Paint Brush #2</v>
      </c>
      <c r="D402" s="1063"/>
      <c r="E402" s="383">
        <f>'BAGONG LIP.'!D148</f>
        <v>5</v>
      </c>
      <c r="F402" s="384">
        <f>'BAGONG LIP.'!F148</f>
        <v>45</v>
      </c>
      <c r="G402" s="385">
        <f t="shared" si="41"/>
        <v>225</v>
      </c>
      <c r="I402" s="418"/>
    </row>
    <row r="403" spans="1:9">
      <c r="A403" s="380"/>
      <c r="B403" s="381" t="str">
        <f>'BAGONG LIP.'!E149</f>
        <v>pcs</v>
      </c>
      <c r="C403" s="1062" t="str">
        <f>'BAGONG LIP.'!C149</f>
        <v>Paint Brush #3</v>
      </c>
      <c r="D403" s="1063"/>
      <c r="E403" s="383">
        <f>'BAGONG LIP.'!D149</f>
        <v>5</v>
      </c>
      <c r="F403" s="384">
        <f>'BAGONG LIP.'!F149</f>
        <v>95</v>
      </c>
      <c r="G403" s="385">
        <f t="shared" si="41"/>
        <v>475</v>
      </c>
      <c r="I403" s="418"/>
    </row>
    <row r="404" spans="1:9">
      <c r="A404" s="380"/>
      <c r="B404" s="381" t="str">
        <f>'BAGONG LIP.'!E150</f>
        <v>pcs</v>
      </c>
      <c r="C404" s="1062" t="str">
        <f>'BAGONG LIP.'!C150</f>
        <v>Paint Brush #4</v>
      </c>
      <c r="D404" s="1063"/>
      <c r="E404" s="383">
        <f>'BAGONG LIP.'!D150</f>
        <v>5</v>
      </c>
      <c r="F404" s="384">
        <f>'BAGONG LIP.'!F150</f>
        <v>135</v>
      </c>
      <c r="G404" s="385">
        <f t="shared" si="41"/>
        <v>675</v>
      </c>
      <c r="I404" s="418"/>
    </row>
    <row r="405" spans="1:9">
      <c r="A405" s="380"/>
      <c r="B405" s="381" t="str">
        <f>'BAGONG LIP.'!E151</f>
        <v>pcs</v>
      </c>
      <c r="C405" s="1062" t="str">
        <f>'BAGONG LIP.'!C151</f>
        <v>Baby Roller 4"</v>
      </c>
      <c r="D405" s="1063"/>
      <c r="E405" s="383">
        <f>'BAGONG LIP.'!D151</f>
        <v>5</v>
      </c>
      <c r="F405" s="384">
        <f>'BAGONG LIP.'!F151</f>
        <v>65</v>
      </c>
      <c r="G405" s="385">
        <f t="shared" si="41"/>
        <v>325</v>
      </c>
      <c r="I405" s="418"/>
    </row>
    <row r="406" spans="1:9">
      <c r="A406" s="380"/>
      <c r="B406" s="381" t="str">
        <f>'BAGONG LIP.'!E152</f>
        <v>sheets</v>
      </c>
      <c r="C406" s="1062" t="str">
        <f>'BAGONG LIP.'!C152</f>
        <v>Sand Paper #120</v>
      </c>
      <c r="D406" s="1063"/>
      <c r="E406" s="383">
        <f>'BAGONG LIP.'!D152</f>
        <v>10</v>
      </c>
      <c r="F406" s="384">
        <f>'BAGONG LIP.'!F152</f>
        <v>25</v>
      </c>
      <c r="G406" s="385">
        <f t="shared" si="41"/>
        <v>250</v>
      </c>
      <c r="I406" s="418"/>
    </row>
    <row r="407" spans="1:9">
      <c r="A407" s="380"/>
      <c r="B407" s="381" t="str">
        <f>'BAGONG LIP.'!E170</f>
        <v>pcs</v>
      </c>
      <c r="C407" s="1062" t="str">
        <f>'BAGONG LIP.'!C170</f>
        <v>Glazed Ceramic Tiles ( 0.60mx0.460m )</v>
      </c>
      <c r="D407" s="1063"/>
      <c r="E407" s="383">
        <f>'BAGONG LIP.'!D170</f>
        <v>30</v>
      </c>
      <c r="F407" s="384">
        <f>'BAGONG LIP.'!F170</f>
        <v>210</v>
      </c>
      <c r="G407" s="385">
        <f t="shared" si="41"/>
        <v>6300</v>
      </c>
      <c r="I407" s="418"/>
    </row>
    <row r="408" spans="1:9">
      <c r="A408" s="380"/>
      <c r="B408" s="381" t="str">
        <f>'BAGONG LIP.'!E171</f>
        <v>pcs</v>
      </c>
      <c r="C408" s="1062" t="str">
        <f>'BAGONG LIP.'!C171</f>
        <v>Unglazed Ceramic Tiles ( 0.40mx0.40m )</v>
      </c>
      <c r="D408" s="1063"/>
      <c r="E408" s="383">
        <f>'BAGONG LIP.'!D171</f>
        <v>18</v>
      </c>
      <c r="F408" s="384">
        <f>'BAGONG LIP.'!F171</f>
        <v>190</v>
      </c>
      <c r="G408" s="385">
        <f t="shared" si="41"/>
        <v>3420</v>
      </c>
      <c r="I408" s="418"/>
    </row>
    <row r="409" spans="1:9">
      <c r="A409" s="380"/>
      <c r="B409" s="381" t="str">
        <f>'BAGONG LIP.'!E172</f>
        <v>pcs</v>
      </c>
      <c r="C409" s="1062" t="str">
        <f>'BAGONG LIP.'!C172</f>
        <v>Glazed Ceramic Tiles ( 0.40mx0.40m )</v>
      </c>
      <c r="D409" s="1063"/>
      <c r="E409" s="383">
        <f>'BAGONG LIP.'!D172</f>
        <v>10</v>
      </c>
      <c r="F409" s="384">
        <f>'BAGONG LIP.'!F172</f>
        <v>190</v>
      </c>
      <c r="G409" s="385">
        <f t="shared" si="41"/>
        <v>1900</v>
      </c>
      <c r="I409" s="418"/>
    </row>
    <row r="410" spans="1:9">
      <c r="A410" s="380"/>
      <c r="B410" s="381" t="str">
        <f>'BAGONG LIP.'!E173</f>
        <v>bags</v>
      </c>
      <c r="C410" s="1062" t="str">
        <f>'BAGONG LIP.'!C173</f>
        <v>Tile Grout</v>
      </c>
      <c r="D410" s="1063"/>
      <c r="E410" s="383">
        <f>'BAGONG LIP.'!D173</f>
        <v>5</v>
      </c>
      <c r="F410" s="384">
        <f>'BAGONG LIP.'!F173</f>
        <v>120</v>
      </c>
      <c r="G410" s="385">
        <f t="shared" si="41"/>
        <v>600</v>
      </c>
      <c r="I410" s="418"/>
    </row>
    <row r="411" spans="1:9">
      <c r="A411" s="380"/>
      <c r="B411" s="381" t="str">
        <f>'BAGONG LIP.'!E174</f>
        <v>lengths</v>
      </c>
      <c r="C411" s="1062" t="str">
        <f>'BAGONG LIP.'!C174</f>
        <v>PVC Pipe 4" S1000</v>
      </c>
      <c r="D411" s="1063"/>
      <c r="E411" s="383">
        <f>'BAGONG LIP.'!D174</f>
        <v>2</v>
      </c>
      <c r="F411" s="384">
        <f>'BAGONG LIP.'!F174</f>
        <v>800</v>
      </c>
      <c r="G411" s="385">
        <f t="shared" si="41"/>
        <v>1600</v>
      </c>
      <c r="I411" s="418"/>
    </row>
    <row r="412" spans="1:9">
      <c r="A412" s="380"/>
      <c r="B412" s="381" t="str">
        <f>'BAGONG LIP.'!E175</f>
        <v>lengths</v>
      </c>
      <c r="C412" s="1062" t="str">
        <f>'BAGONG LIP.'!C175</f>
        <v>PVC Pipe 2" S1000</v>
      </c>
      <c r="D412" s="1063"/>
      <c r="E412" s="383">
        <f>'BAGONG LIP.'!D175</f>
        <v>2</v>
      </c>
      <c r="F412" s="384">
        <f>'BAGONG LIP.'!F175</f>
        <v>280</v>
      </c>
      <c r="G412" s="385">
        <f t="shared" ref="G412:G427" si="42">F412*E412</f>
        <v>560</v>
      </c>
      <c r="I412" s="418"/>
    </row>
    <row r="413" spans="1:9">
      <c r="A413" s="380"/>
      <c r="B413" s="381" t="str">
        <f>'BAGONG LIP.'!E176</f>
        <v>lengths</v>
      </c>
      <c r="C413" s="1062" t="str">
        <f>'BAGONG LIP.'!C176</f>
        <v>PVC Pipe 1/2" S1000</v>
      </c>
      <c r="D413" s="1063"/>
      <c r="E413" s="383">
        <f>'BAGONG LIP.'!D176</f>
        <v>2</v>
      </c>
      <c r="F413" s="384">
        <f>'BAGONG LIP.'!F176</f>
        <v>80</v>
      </c>
      <c r="G413" s="385">
        <f t="shared" si="42"/>
        <v>160</v>
      </c>
      <c r="I413" s="418"/>
    </row>
    <row r="414" spans="1:9">
      <c r="A414" s="380"/>
      <c r="B414" s="381" t="str">
        <f>'BAGONG LIP.'!E177</f>
        <v>pcs</v>
      </c>
      <c r="C414" s="1062" t="str">
        <f>'BAGONG LIP.'!C177</f>
        <v>PVC Elbow 90 deg. 4"</v>
      </c>
      <c r="D414" s="1063"/>
      <c r="E414" s="383">
        <f>'BAGONG LIP.'!D177</f>
        <v>3</v>
      </c>
      <c r="F414" s="384">
        <f>'BAGONG LIP.'!F177</f>
        <v>60</v>
      </c>
      <c r="G414" s="385">
        <f t="shared" si="42"/>
        <v>180</v>
      </c>
      <c r="I414" s="418"/>
    </row>
    <row r="415" spans="1:9">
      <c r="A415" s="380"/>
      <c r="B415" s="381" t="str">
        <f>'BAGONG LIP.'!E178</f>
        <v>pcs</v>
      </c>
      <c r="C415" s="1062" t="str">
        <f>'BAGONG LIP.'!C178</f>
        <v>PVC Elbow 45 deg. 4"</v>
      </c>
      <c r="D415" s="1063"/>
      <c r="E415" s="383">
        <f>'BAGONG LIP.'!D178</f>
        <v>3</v>
      </c>
      <c r="F415" s="384">
        <f>'BAGONG LIP.'!F178</f>
        <v>50</v>
      </c>
      <c r="G415" s="385">
        <f t="shared" si="42"/>
        <v>150</v>
      </c>
      <c r="I415" s="418"/>
    </row>
    <row r="416" spans="1:9">
      <c r="A416" s="380"/>
      <c r="B416" s="381" t="str">
        <f>'BAGONG LIP.'!E179</f>
        <v>pcs</v>
      </c>
      <c r="C416" s="1062" t="str">
        <f>'BAGONG LIP.'!C179</f>
        <v>PVC WYE Reducer 4"x 2"</v>
      </c>
      <c r="D416" s="1063"/>
      <c r="E416" s="383">
        <f>'BAGONG LIP.'!D179</f>
        <v>3</v>
      </c>
      <c r="F416" s="384">
        <f>'BAGONG LIP.'!F179</f>
        <v>105</v>
      </c>
      <c r="G416" s="385">
        <f t="shared" si="42"/>
        <v>315</v>
      </c>
      <c r="I416" s="418"/>
    </row>
    <row r="417" spans="1:9">
      <c r="A417" s="380"/>
      <c r="B417" s="381" t="str">
        <f>'BAGONG LIP.'!E180</f>
        <v>pcs</v>
      </c>
      <c r="C417" s="1062" t="str">
        <f>'BAGONG LIP.'!C180</f>
        <v>PVC Clean out 4"</v>
      </c>
      <c r="D417" s="1063"/>
      <c r="E417" s="383">
        <f>'BAGONG LIP.'!D180</f>
        <v>3</v>
      </c>
      <c r="F417" s="384">
        <f>'BAGONG LIP.'!F180</f>
        <v>60</v>
      </c>
      <c r="G417" s="385">
        <f t="shared" si="42"/>
        <v>180</v>
      </c>
      <c r="I417" s="418"/>
    </row>
    <row r="418" spans="1:9">
      <c r="A418" s="380"/>
      <c r="B418" s="381" t="str">
        <f>'BAGONG LIP.'!E181</f>
        <v>pcs</v>
      </c>
      <c r="C418" s="1062" t="str">
        <f>'BAGONG LIP.'!C181</f>
        <v>PVC P - Trap 2"</v>
      </c>
      <c r="D418" s="1063"/>
      <c r="E418" s="383">
        <f>'BAGONG LIP.'!D181</f>
        <v>2</v>
      </c>
      <c r="F418" s="384">
        <f>'BAGONG LIP.'!F181</f>
        <v>60</v>
      </c>
      <c r="G418" s="385">
        <f t="shared" si="42"/>
        <v>120</v>
      </c>
      <c r="I418" s="418"/>
    </row>
    <row r="419" spans="1:9">
      <c r="A419" s="380"/>
      <c r="B419" s="381" t="str">
        <f>'BAGONG LIP.'!E182</f>
        <v>pcs</v>
      </c>
      <c r="C419" s="1062" t="str">
        <f>'BAGONG LIP.'!C182</f>
        <v xml:space="preserve">PVC Elbow 90 deg. 2" </v>
      </c>
      <c r="D419" s="1063"/>
      <c r="E419" s="383">
        <f>'BAGONG LIP.'!D182</f>
        <v>3</v>
      </c>
      <c r="F419" s="384">
        <f>'BAGONG LIP.'!F182</f>
        <v>60</v>
      </c>
      <c r="G419" s="385">
        <f t="shared" si="42"/>
        <v>180</v>
      </c>
      <c r="I419" s="418"/>
    </row>
    <row r="420" spans="1:9">
      <c r="A420" s="380"/>
      <c r="B420" s="381" t="str">
        <f>'BAGONG LIP.'!E183</f>
        <v>rolls</v>
      </c>
      <c r="C420" s="1062" t="str">
        <f>'BAGONG LIP.'!C183</f>
        <v>Teflon Tape 3/4</v>
      </c>
      <c r="D420" s="1063"/>
      <c r="E420" s="383">
        <f>'BAGONG LIP.'!D183</f>
        <v>5</v>
      </c>
      <c r="F420" s="384">
        <f>'BAGONG LIP.'!F183</f>
        <v>20</v>
      </c>
      <c r="G420" s="385">
        <f t="shared" si="42"/>
        <v>100</v>
      </c>
      <c r="I420" s="418"/>
    </row>
    <row r="421" spans="1:9">
      <c r="A421" s="380"/>
      <c r="B421" s="381" t="str">
        <f>'BAGONG LIP.'!E184</f>
        <v>pcs</v>
      </c>
      <c r="C421" s="1062" t="str">
        <f>'BAGONG LIP.'!C184</f>
        <v>Stainless Faucet 1/2"</v>
      </c>
      <c r="D421" s="1063"/>
      <c r="E421" s="383">
        <f>'BAGONG LIP.'!D184</f>
        <v>2</v>
      </c>
      <c r="F421" s="384">
        <f>'BAGONG LIP.'!F184</f>
        <v>300</v>
      </c>
      <c r="G421" s="385">
        <f t="shared" si="42"/>
        <v>600</v>
      </c>
      <c r="I421" s="418"/>
    </row>
    <row r="422" spans="1:9">
      <c r="A422" s="380"/>
      <c r="B422" s="381" t="str">
        <f>'BAGONG LIP.'!E185</f>
        <v>pcs</v>
      </c>
      <c r="C422" s="1062" t="str">
        <f>'BAGONG LIP.'!C185</f>
        <v>PVC Elbow 90 deg. 2" ( blue )</v>
      </c>
      <c r="D422" s="1063"/>
      <c r="E422" s="383">
        <f>'BAGONG LIP.'!D185</f>
        <v>3</v>
      </c>
      <c r="F422" s="384">
        <f>'BAGONG LIP.'!F185</f>
        <v>60</v>
      </c>
      <c r="G422" s="385">
        <f t="shared" si="42"/>
        <v>180</v>
      </c>
      <c r="I422" s="418"/>
    </row>
    <row r="423" spans="1:9">
      <c r="A423" s="380"/>
      <c r="B423" s="381" t="str">
        <f>'BAGONG LIP.'!E186</f>
        <v>pcs</v>
      </c>
      <c r="C423" s="1062" t="str">
        <f>'BAGONG LIP.'!C186</f>
        <v>PVC Tee 2"x2" (blue)</v>
      </c>
      <c r="D423" s="1063"/>
      <c r="E423" s="383">
        <f>'BAGONG LIP.'!D186</f>
        <v>3</v>
      </c>
      <c r="F423" s="384">
        <f>'BAGONG LIP.'!F186</f>
        <v>40</v>
      </c>
      <c r="G423" s="385">
        <f t="shared" si="42"/>
        <v>120</v>
      </c>
      <c r="I423" s="418"/>
    </row>
    <row r="424" spans="1:9">
      <c r="A424" s="380"/>
      <c r="B424" s="381" t="str">
        <f>'BAGONG LIP.'!E187</f>
        <v>can</v>
      </c>
      <c r="C424" s="1062" t="str">
        <f>'BAGONG LIP.'!C187</f>
        <v>Solvent Cement (100cc)</v>
      </c>
      <c r="D424" s="1063"/>
      <c r="E424" s="383">
        <f>'BAGONG LIP.'!D187</f>
        <v>5</v>
      </c>
      <c r="F424" s="384">
        <f>'BAGONG LIP.'!F187</f>
        <v>50</v>
      </c>
      <c r="G424" s="385">
        <f t="shared" si="42"/>
        <v>250</v>
      </c>
      <c r="I424" s="418"/>
    </row>
    <row r="425" spans="1:9">
      <c r="A425" s="380"/>
      <c r="B425" s="381" t="str">
        <f>'BAGONG LIP.'!E188</f>
        <v>sets</v>
      </c>
      <c r="C425" s="1062" t="str">
        <f>'BAGONG LIP.'!C188</f>
        <v>Water Close ( Nation )</v>
      </c>
      <c r="D425" s="1063"/>
      <c r="E425" s="383">
        <f>'BAGONG LIP.'!D188</f>
        <v>2</v>
      </c>
      <c r="F425" s="384">
        <f>'BAGONG LIP.'!F188</f>
        <v>1100</v>
      </c>
      <c r="G425" s="385">
        <f t="shared" si="42"/>
        <v>2200</v>
      </c>
      <c r="I425" s="418"/>
    </row>
    <row r="426" spans="1:9">
      <c r="A426" s="380"/>
      <c r="B426" s="381" t="str">
        <f>'BAGONG LIP.'!E189</f>
        <v>pcs</v>
      </c>
      <c r="C426" s="1062" t="str">
        <f>'BAGONG LIP.'!C189</f>
        <v>Stainless Floor Drain 4"x4"</v>
      </c>
      <c r="D426" s="1063"/>
      <c r="E426" s="383">
        <f>'BAGONG LIP.'!D189</f>
        <v>2</v>
      </c>
      <c r="F426" s="384">
        <f>'BAGONG LIP.'!F189</f>
        <v>150</v>
      </c>
      <c r="G426" s="385">
        <f t="shared" si="42"/>
        <v>300</v>
      </c>
      <c r="I426" s="418"/>
    </row>
    <row r="427" spans="1:9">
      <c r="A427" s="380"/>
      <c r="B427" s="1058" t="str">
        <f>'BAGONG LIP.'!E207</f>
        <v>set</v>
      </c>
      <c r="C427" s="1060" t="str">
        <f>'BAGONG LIP.'!C207</f>
        <v>Jalousie Windows with fixed Glass and complete accessories 2.45mx1.50m</v>
      </c>
      <c r="D427" s="1061"/>
      <c r="E427" s="1064">
        <f>'BAGONG LIP.'!D207</f>
        <v>2</v>
      </c>
      <c r="F427" s="1034">
        <f>'BAGONG LIP.'!F207</f>
        <v>7000</v>
      </c>
      <c r="G427" s="1093">
        <f t="shared" si="42"/>
        <v>14000</v>
      </c>
      <c r="I427" s="418"/>
    </row>
    <row r="428" spans="1:9">
      <c r="A428" s="380"/>
      <c r="B428" s="1088"/>
      <c r="C428" s="1089"/>
      <c r="D428" s="1090"/>
      <c r="E428" s="1091"/>
      <c r="F428" s="1092"/>
      <c r="G428" s="1094"/>
      <c r="I428" s="418"/>
    </row>
    <row r="429" spans="1:9">
      <c r="A429" s="1026" t="s">
        <v>1338</v>
      </c>
      <c r="B429" s="1026"/>
      <c r="C429" s="1026"/>
      <c r="D429" s="1026"/>
      <c r="E429" s="1026"/>
      <c r="F429" s="1026"/>
      <c r="G429" s="419">
        <f>SUM(G386:G428)</f>
        <v>95920</v>
      </c>
    </row>
    <row r="430" spans="1:9">
      <c r="A430" s="1038" t="s">
        <v>1394</v>
      </c>
      <c r="B430" s="1039"/>
      <c r="C430" s="1042" t="s">
        <v>1670</v>
      </c>
      <c r="D430" s="1043"/>
      <c r="E430" s="1043"/>
      <c r="F430" s="1043"/>
      <c r="G430" s="1044"/>
    </row>
    <row r="431" spans="1:9" ht="26.25" customHeight="1">
      <c r="A431" s="1040"/>
      <c r="B431" s="1041"/>
      <c r="C431" s="1045"/>
      <c r="D431" s="1046"/>
      <c r="E431" s="1046"/>
      <c r="F431" s="1046"/>
      <c r="G431" s="1047"/>
    </row>
    <row r="432" spans="1:9">
      <c r="A432" s="390"/>
      <c r="B432" s="391"/>
      <c r="C432" s="392" t="s">
        <v>1395</v>
      </c>
      <c r="D432" s="1048" t="s">
        <v>1396</v>
      </c>
      <c r="E432" s="1049"/>
      <c r="F432" s="393" t="s">
        <v>1397</v>
      </c>
      <c r="G432" s="394"/>
    </row>
    <row r="433" spans="1:7">
      <c r="A433" s="395"/>
      <c r="C433" s="396"/>
      <c r="D433" s="1050"/>
      <c r="E433" s="1051"/>
      <c r="F433" s="395"/>
      <c r="G433" s="397"/>
    </row>
    <row r="434" spans="1:7">
      <c r="A434" s="398" t="s">
        <v>1069</v>
      </c>
      <c r="B434" s="399"/>
      <c r="C434" s="396"/>
      <c r="E434" s="397"/>
      <c r="F434" s="395"/>
      <c r="G434" s="397"/>
    </row>
    <row r="435" spans="1:7">
      <c r="A435" s="398" t="s">
        <v>1070</v>
      </c>
      <c r="B435" s="399"/>
      <c r="C435" s="400" t="s">
        <v>1365</v>
      </c>
      <c r="D435" s="1052" t="s">
        <v>1398</v>
      </c>
      <c r="E435" s="1053"/>
      <c r="F435" s="1052" t="s">
        <v>1371</v>
      </c>
      <c r="G435" s="1053"/>
    </row>
    <row r="436" spans="1:7">
      <c r="A436" s="398" t="s">
        <v>1399</v>
      </c>
      <c r="B436" s="399"/>
      <c r="C436" s="401" t="s">
        <v>1400</v>
      </c>
      <c r="D436" s="1054" t="s">
        <v>1401</v>
      </c>
      <c r="E436" s="1055"/>
      <c r="F436" s="1056" t="s">
        <v>1074</v>
      </c>
      <c r="G436" s="1057"/>
    </row>
    <row r="437" spans="1:7">
      <c r="A437" s="399" t="s">
        <v>1045</v>
      </c>
      <c r="B437" s="402"/>
      <c r="C437" s="403"/>
      <c r="D437" s="404"/>
      <c r="E437" s="405"/>
      <c r="F437" s="406"/>
      <c r="G437" s="405"/>
    </row>
    <row r="438" spans="1:7">
      <c r="A438" s="370" t="s">
        <v>1375</v>
      </c>
      <c r="E438" s="373" t="s">
        <v>1376</v>
      </c>
    </row>
    <row r="439" spans="1:7">
      <c r="E439" s="370" t="s">
        <v>1377</v>
      </c>
    </row>
    <row r="440" spans="1:7">
      <c r="E440" s="1072" t="str">
        <f>E368</f>
        <v xml:space="preserve">COMPLETION, RENOVATION AND 
IMPROVEMENT OF  DAY CARE CENTER
</v>
      </c>
      <c r="F440" s="927"/>
      <c r="G440" s="927"/>
    </row>
    <row r="441" spans="1:7">
      <c r="E441" s="927"/>
      <c r="F441" s="927"/>
      <c r="G441" s="927"/>
    </row>
    <row r="442" spans="1:7">
      <c r="A442" s="370" t="s">
        <v>1378</v>
      </c>
      <c r="E442" s="373" t="s">
        <v>1379</v>
      </c>
    </row>
    <row r="443" spans="1:7">
      <c r="A443" s="370" t="s">
        <v>1380</v>
      </c>
      <c r="E443" s="1032" t="str">
        <f>E371</f>
        <v xml:space="preserve">SITIO BADAC, BARANGAY SARAVIA, PUROK SAN FRANCISCO BARANGAY
NEW PANGASINAN, </v>
      </c>
      <c r="F443" s="1073"/>
      <c r="G443" s="1073"/>
    </row>
    <row r="444" spans="1:7">
      <c r="A444" s="370" t="s">
        <v>1381</v>
      </c>
      <c r="E444" s="1073"/>
      <c r="F444" s="1073"/>
      <c r="G444" s="1073"/>
    </row>
    <row r="445" spans="1:7" ht="15" customHeight="1">
      <c r="E445" s="1032" t="str">
        <f>E373</f>
        <v xml:space="preserve">PUROK BAGONG LIPUNAN BARANGAY SAN ISIDRO AND 
PUROK KAUSWAGAN BARANGAY SARAVIA
</v>
      </c>
      <c r="F445" s="1032"/>
      <c r="G445" s="1032"/>
    </row>
    <row r="446" spans="1:7">
      <c r="E446" s="1032"/>
      <c r="F446" s="1032"/>
      <c r="G446" s="1032"/>
    </row>
    <row r="447" spans="1:7">
      <c r="E447" s="1032"/>
      <c r="F447" s="1032"/>
      <c r="G447" s="1032"/>
    </row>
    <row r="448" spans="1:7">
      <c r="E448" s="1032"/>
      <c r="F448" s="1032"/>
      <c r="G448" s="1032"/>
    </row>
    <row r="449" spans="1:9">
      <c r="E449" s="374"/>
      <c r="F449" s="374"/>
      <c r="G449" s="374"/>
    </row>
    <row r="450" spans="1:9">
      <c r="E450" s="374"/>
      <c r="F450" s="374"/>
      <c r="G450" s="374"/>
    </row>
    <row r="451" spans="1:9">
      <c r="A451" s="1027" t="s">
        <v>1382</v>
      </c>
      <c r="B451" s="1027"/>
      <c r="C451" s="1027"/>
      <c r="D451" s="1027"/>
      <c r="E451" s="1027"/>
      <c r="F451" s="1027"/>
      <c r="G451" s="1027"/>
    </row>
    <row r="452" spans="1:9">
      <c r="A452" s="1028" t="s">
        <v>1383</v>
      </c>
      <c r="B452" s="1027"/>
      <c r="C452" s="1027"/>
      <c r="D452" s="1027"/>
      <c r="E452" s="1027"/>
      <c r="F452" s="1027"/>
      <c r="G452" s="1027"/>
    </row>
    <row r="453" spans="1:9">
      <c r="A453" s="1029" t="s">
        <v>1384</v>
      </c>
      <c r="B453" s="1029"/>
      <c r="C453" s="1029"/>
      <c r="D453" s="1029"/>
      <c r="E453" s="1029"/>
      <c r="F453" s="1029"/>
      <c r="G453" s="1029"/>
    </row>
    <row r="454" spans="1:9" ht="15.75">
      <c r="A454" s="370" t="s">
        <v>1385</v>
      </c>
      <c r="C454" s="376" t="s">
        <v>1386</v>
      </c>
      <c r="D454" s="377"/>
      <c r="E454" s="370" t="s">
        <v>1387</v>
      </c>
      <c r="F454" s="1036" t="str">
        <f>F382</f>
        <v>Date: February 24,2025</v>
      </c>
      <c r="G454" s="1037"/>
    </row>
    <row r="455" spans="1:9">
      <c r="A455" s="370" t="s">
        <v>1388</v>
      </c>
      <c r="E455" s="370" t="s">
        <v>1389</v>
      </c>
    </row>
    <row r="456" spans="1:9">
      <c r="A456" s="378" t="s">
        <v>1390</v>
      </c>
      <c r="B456" s="1066" t="s">
        <v>314</v>
      </c>
      <c r="C456" s="1068" t="s">
        <v>1391</v>
      </c>
      <c r="D456" s="1069"/>
      <c r="E456" s="1066" t="s">
        <v>1392</v>
      </c>
      <c r="F456" s="1066" t="s">
        <v>1393</v>
      </c>
      <c r="G456" s="1066" t="s">
        <v>1052</v>
      </c>
    </row>
    <row r="457" spans="1:9">
      <c r="A457" s="379" t="s">
        <v>1040</v>
      </c>
      <c r="B457" s="1067"/>
      <c r="C457" s="1070"/>
      <c r="D457" s="1071"/>
      <c r="E457" s="1067"/>
      <c r="F457" s="1067"/>
      <c r="G457" s="1067"/>
    </row>
    <row r="458" spans="1:9" s="414" customFormat="1">
      <c r="A458" s="1086"/>
      <c r="B458" s="1081" t="str">
        <f>'BAGONG LIP.'!E209</f>
        <v>set</v>
      </c>
      <c r="C458" s="1082" t="str">
        <f>'BAGONG LIP.'!C209</f>
        <v>Awning Window Analoc Frame with complete accessories</v>
      </c>
      <c r="D458" s="1082"/>
      <c r="E458" s="1083">
        <f>'BAGONG LIP.'!D209</f>
        <v>2</v>
      </c>
      <c r="F458" s="1084">
        <f>'BAGONG LIP.'!F209</f>
        <v>1300</v>
      </c>
      <c r="G458" s="1085">
        <f>F458*E458</f>
        <v>2600</v>
      </c>
      <c r="H458" s="386"/>
      <c r="I458" s="768"/>
    </row>
    <row r="459" spans="1:9" s="414" customFormat="1">
      <c r="A459" s="1087"/>
      <c r="B459" s="1058"/>
      <c r="C459" s="1080"/>
      <c r="D459" s="1080"/>
      <c r="E459" s="1064"/>
      <c r="F459" s="1078"/>
      <c r="G459" s="1079"/>
      <c r="H459" s="386"/>
      <c r="I459" s="768"/>
    </row>
    <row r="460" spans="1:9" s="414" customFormat="1">
      <c r="A460" s="925"/>
      <c r="B460" s="1058" t="str">
        <f>'BAGONG LIP.'!E211</f>
        <v>set</v>
      </c>
      <c r="C460" s="1080" t="str">
        <f>'BAGONG LIP.'!C211</f>
        <v>1.00mx2.10m Pre Painted Decorative Wooden Panel Door With Heavy duty Door Knob and Complete accessories</v>
      </c>
      <c r="D460" s="1080"/>
      <c r="E460" s="1064">
        <f>'BAGONG LIP.'!D211</f>
        <v>2</v>
      </c>
      <c r="F460" s="1078">
        <f>'BAGONG LIP.'!F211</f>
        <v>7500</v>
      </c>
      <c r="G460" s="1079">
        <f>F460*E460</f>
        <v>15000</v>
      </c>
      <c r="H460" s="386"/>
      <c r="I460" s="768"/>
    </row>
    <row r="461" spans="1:9" s="414" customFormat="1">
      <c r="A461" s="925"/>
      <c r="B461" s="1058"/>
      <c r="C461" s="1080"/>
      <c r="D461" s="1080"/>
      <c r="E461" s="1064"/>
      <c r="F461" s="1078"/>
      <c r="G461" s="1079"/>
      <c r="H461" s="386"/>
      <c r="I461" s="768"/>
    </row>
    <row r="462" spans="1:9" s="414" customFormat="1">
      <c r="A462" s="925"/>
      <c r="B462" s="1058" t="str">
        <f>'BAGONG LIP.'!E213</f>
        <v>set</v>
      </c>
      <c r="C462" s="1080" t="str">
        <f>'BAGONG LIP.'!C213</f>
        <v>0.70mx2.10m PVC Door With Heavy duty Door Knob and Complete accessories</v>
      </c>
      <c r="D462" s="1080"/>
      <c r="E462" s="1064">
        <f>'BAGONG LIP.'!D213</f>
        <v>2</v>
      </c>
      <c r="F462" s="1078">
        <f>'BAGONG LIP.'!F213</f>
        <v>1600</v>
      </c>
      <c r="G462" s="1079">
        <f>F462*E462</f>
        <v>3200</v>
      </c>
      <c r="H462" s="386"/>
      <c r="I462" s="768"/>
    </row>
    <row r="463" spans="1:9" s="414" customFormat="1">
      <c r="A463" s="925"/>
      <c r="B463" s="1058"/>
      <c r="C463" s="1080"/>
      <c r="D463" s="1080"/>
      <c r="E463" s="1064"/>
      <c r="F463" s="1078"/>
      <c r="G463" s="1079"/>
      <c r="H463" s="386"/>
      <c r="I463" s="768"/>
    </row>
    <row r="464" spans="1:9">
      <c r="A464" s="380"/>
      <c r="B464" s="381" t="str">
        <f>'BAGONG LIP.'!E231</f>
        <v>box</v>
      </c>
      <c r="C464" s="1074" t="str">
        <f>'BAGONG LIP.'!C231</f>
        <v>THHN Wire #2mm</v>
      </c>
      <c r="D464" s="1074"/>
      <c r="E464" s="383">
        <f>'BAGONG LIP.'!D231</f>
        <v>1</v>
      </c>
      <c r="F464" s="384">
        <f>'BAGONG LIP.'!F231</f>
        <v>2200</v>
      </c>
      <c r="G464" s="385">
        <f t="shared" ref="G464" si="43">F464*E464</f>
        <v>2200</v>
      </c>
      <c r="I464" s="418"/>
    </row>
    <row r="465" spans="1:9">
      <c r="A465" s="380"/>
      <c r="B465" s="381" t="str">
        <f>'BAGONG LIP.'!E232</f>
        <v>box</v>
      </c>
      <c r="C465" s="1074" t="str">
        <f>'BAGONG LIP.'!C232</f>
        <v>THHN Wire #3.5mm</v>
      </c>
      <c r="D465" s="1074"/>
      <c r="E465" s="383">
        <f>'BAGONG LIP.'!D232</f>
        <v>1</v>
      </c>
      <c r="F465" s="384">
        <f>'BAGONG LIP.'!F232</f>
        <v>3200</v>
      </c>
      <c r="G465" s="385">
        <f t="shared" ref="G465:G482" si="44">F465*E465</f>
        <v>3200</v>
      </c>
      <c r="I465" s="418"/>
    </row>
    <row r="466" spans="1:9">
      <c r="A466" s="380"/>
      <c r="B466" s="381" t="str">
        <f>'BAGONG LIP.'!E233</f>
        <v>meter</v>
      </c>
      <c r="C466" s="1074" t="str">
        <f>'BAGONG LIP.'!C233</f>
        <v>THHN Wire #8mm</v>
      </c>
      <c r="D466" s="1074"/>
      <c r="E466" s="383">
        <f>'BAGONG LIP.'!D233</f>
        <v>10</v>
      </c>
      <c r="F466" s="384">
        <f>'BAGONG LIP.'!F233</f>
        <v>70</v>
      </c>
      <c r="G466" s="385">
        <f t="shared" si="44"/>
        <v>700</v>
      </c>
      <c r="I466" s="418"/>
    </row>
    <row r="467" spans="1:9">
      <c r="A467" s="380"/>
      <c r="B467" s="381" t="str">
        <f>'BAGONG LIP.'!E234</f>
        <v>roll</v>
      </c>
      <c r="C467" s="1074" t="str">
        <f>'BAGONG LIP.'!C234</f>
        <v>Flexible Hose 1/2</v>
      </c>
      <c r="D467" s="1074"/>
      <c r="E467" s="383">
        <f>'BAGONG LIP.'!D234</f>
        <v>2</v>
      </c>
      <c r="F467" s="384">
        <f>'BAGONG LIP.'!F234</f>
        <v>800</v>
      </c>
      <c r="G467" s="385">
        <f t="shared" si="44"/>
        <v>1600</v>
      </c>
      <c r="I467" s="418"/>
    </row>
    <row r="468" spans="1:9">
      <c r="A468" s="380"/>
      <c r="B468" s="381" t="str">
        <f>'BAGONG LIP.'!E235</f>
        <v>length</v>
      </c>
      <c r="C468" s="1074" t="str">
        <f>'BAGONG LIP.'!C235</f>
        <v>PVC Pipe 1/2" S1000 Orange</v>
      </c>
      <c r="D468" s="1074"/>
      <c r="E468" s="383">
        <f>'BAGONG LIP.'!D235</f>
        <v>5</v>
      </c>
      <c r="F468" s="384">
        <f>'BAGONG LIP.'!F235</f>
        <v>78</v>
      </c>
      <c r="G468" s="385">
        <f t="shared" si="44"/>
        <v>390</v>
      </c>
      <c r="I468" s="418"/>
    </row>
    <row r="469" spans="1:9">
      <c r="A469" s="380"/>
      <c r="B469" s="381" t="str">
        <f>'BAGONG LIP.'!E236</f>
        <v>pcs</v>
      </c>
      <c r="C469" s="1074" t="str">
        <f>'BAGONG LIP.'!C236</f>
        <v>Utility Box</v>
      </c>
      <c r="D469" s="1074"/>
      <c r="E469" s="383">
        <f>'BAGONG LIP.'!D236</f>
        <v>5</v>
      </c>
      <c r="F469" s="384">
        <f>'BAGONG LIP.'!F236</f>
        <v>55</v>
      </c>
      <c r="G469" s="385">
        <f t="shared" si="44"/>
        <v>275</v>
      </c>
      <c r="I469" s="418"/>
    </row>
    <row r="470" spans="1:9">
      <c r="A470" s="380"/>
      <c r="B470" s="381" t="str">
        <f>'BAGONG LIP.'!E237</f>
        <v>pcs</v>
      </c>
      <c r="C470" s="1074" t="str">
        <f>'BAGONG LIP.'!C237</f>
        <v>Junction Box</v>
      </c>
      <c r="D470" s="1074"/>
      <c r="E470" s="383">
        <f>'BAGONG LIP.'!D237</f>
        <v>5</v>
      </c>
      <c r="F470" s="384">
        <f>'BAGONG LIP.'!F237</f>
        <v>55</v>
      </c>
      <c r="G470" s="385">
        <f t="shared" si="44"/>
        <v>275</v>
      </c>
      <c r="I470" s="418"/>
    </row>
    <row r="471" spans="1:9">
      <c r="A471" s="380"/>
      <c r="B471" s="381" t="str">
        <f>'BAGONG LIP.'!E238</f>
        <v>pcs</v>
      </c>
      <c r="C471" s="1074" t="str">
        <f>'BAGONG LIP.'!C238</f>
        <v>Convenience Outlet 2 Gang Flash Type</v>
      </c>
      <c r="D471" s="1074"/>
      <c r="E471" s="383">
        <f>'BAGONG LIP.'!D238</f>
        <v>3</v>
      </c>
      <c r="F471" s="384">
        <f>'BAGONG LIP.'!F238</f>
        <v>150</v>
      </c>
      <c r="G471" s="385">
        <f t="shared" si="44"/>
        <v>450</v>
      </c>
      <c r="I471" s="418"/>
    </row>
    <row r="472" spans="1:9">
      <c r="A472" s="380"/>
      <c r="B472" s="381" t="str">
        <f>'BAGONG LIP.'!E239</f>
        <v>pcs</v>
      </c>
      <c r="C472" s="1074" t="str">
        <f>'BAGONG LIP.'!C239</f>
        <v>Switch Flash Type 3 Gang</v>
      </c>
      <c r="D472" s="1074"/>
      <c r="E472" s="383">
        <f>'BAGONG LIP.'!D239</f>
        <v>3</v>
      </c>
      <c r="F472" s="384">
        <f>'BAGONG LIP.'!F239</f>
        <v>220</v>
      </c>
      <c r="G472" s="385">
        <f t="shared" si="44"/>
        <v>660</v>
      </c>
      <c r="I472" s="418"/>
    </row>
    <row r="473" spans="1:9">
      <c r="A473" s="380"/>
      <c r="B473" s="381" t="str">
        <f>'BAGONG LIP.'!E240</f>
        <v>pcs</v>
      </c>
      <c r="C473" s="1074" t="str">
        <f>'BAGONG LIP.'!C240</f>
        <v>Switch Flash Type 2 Gang</v>
      </c>
      <c r="D473" s="1074"/>
      <c r="E473" s="383">
        <f>'BAGONG LIP.'!D240</f>
        <v>2</v>
      </c>
      <c r="F473" s="384">
        <f>'BAGONG LIP.'!F240</f>
        <v>200</v>
      </c>
      <c r="G473" s="385">
        <f t="shared" si="44"/>
        <v>400</v>
      </c>
      <c r="I473" s="418"/>
    </row>
    <row r="474" spans="1:9">
      <c r="A474" s="380"/>
      <c r="B474" s="381" t="str">
        <f>'BAGONG LIP.'!E241</f>
        <v>pcs</v>
      </c>
      <c r="C474" s="1074" t="str">
        <f>'BAGONG LIP.'!C241</f>
        <v>Switch Flash Type 1 Gang</v>
      </c>
      <c r="D474" s="1074"/>
      <c r="E474" s="383">
        <f>'BAGONG LIP.'!D241</f>
        <v>2</v>
      </c>
      <c r="F474" s="384">
        <f>'BAGONG LIP.'!F241</f>
        <v>180</v>
      </c>
      <c r="G474" s="385">
        <f t="shared" si="44"/>
        <v>360</v>
      </c>
      <c r="I474" s="418"/>
    </row>
    <row r="475" spans="1:9">
      <c r="A475" s="380"/>
      <c r="B475" s="381" t="str">
        <f>'BAGONG LIP.'!E242</f>
        <v>pcs</v>
      </c>
      <c r="C475" s="1074" t="str">
        <f>'BAGONG LIP.'!C242</f>
        <v>Flexible Connector 1/2</v>
      </c>
      <c r="D475" s="1074"/>
      <c r="E475" s="383">
        <f>'BAGONG LIP.'!D242</f>
        <v>10</v>
      </c>
      <c r="F475" s="384">
        <f>'BAGONG LIP.'!F242</f>
        <v>150</v>
      </c>
      <c r="G475" s="385">
        <f t="shared" si="44"/>
        <v>1500</v>
      </c>
      <c r="I475" s="418"/>
    </row>
    <row r="476" spans="1:9">
      <c r="A476" s="380"/>
      <c r="B476" s="381" t="str">
        <f>'BAGONG LIP.'!E243</f>
        <v>pcs</v>
      </c>
      <c r="C476" s="1074" t="str">
        <f>'BAGONG LIP.'!C243</f>
        <v>Electrical Tape Big</v>
      </c>
      <c r="D476" s="1074"/>
      <c r="E476" s="383">
        <f>'BAGONG LIP.'!D243</f>
        <v>10</v>
      </c>
      <c r="F476" s="384">
        <f>'BAGONG LIP.'!F243</f>
        <v>55</v>
      </c>
      <c r="G476" s="385">
        <f t="shared" si="44"/>
        <v>550</v>
      </c>
      <c r="I476" s="418"/>
    </row>
    <row r="477" spans="1:9">
      <c r="A477" s="380"/>
      <c r="B477" s="381" t="str">
        <f>'BAGONG LIP.'!E244</f>
        <v>pcs</v>
      </c>
      <c r="C477" s="1074" t="str">
        <f>'BAGONG LIP.'!C244</f>
        <v>Receptacle Outlet</v>
      </c>
      <c r="D477" s="1074"/>
      <c r="E477" s="383">
        <f>'BAGONG LIP.'!D244</f>
        <v>10</v>
      </c>
      <c r="F477" s="384">
        <f>'BAGONG LIP.'!F244</f>
        <v>40</v>
      </c>
      <c r="G477" s="385">
        <f t="shared" si="44"/>
        <v>400</v>
      </c>
      <c r="I477" s="418"/>
    </row>
    <row r="478" spans="1:9">
      <c r="A478" s="380"/>
      <c r="B478" s="381" t="str">
        <f>'BAGONG LIP.'!E245</f>
        <v>sets</v>
      </c>
      <c r="C478" s="1074" t="str">
        <f>'BAGONG LIP.'!C245</f>
        <v>Led Tube 18Watts with Housing</v>
      </c>
      <c r="D478" s="1074"/>
      <c r="E478" s="383">
        <f>'BAGONG LIP.'!D245</f>
        <v>6</v>
      </c>
      <c r="F478" s="384">
        <f>'BAGONG LIP.'!F245</f>
        <v>355</v>
      </c>
      <c r="G478" s="385">
        <f t="shared" si="44"/>
        <v>2130</v>
      </c>
      <c r="I478" s="418"/>
    </row>
    <row r="479" spans="1:9">
      <c r="A479" s="380"/>
      <c r="B479" s="381" t="str">
        <f>'BAGONG LIP.'!E246</f>
        <v>sets</v>
      </c>
      <c r="C479" s="1074" t="str">
        <f>'BAGONG LIP.'!C246</f>
        <v>Led Bulb 9 Watts</v>
      </c>
      <c r="D479" s="1074"/>
      <c r="E479" s="383">
        <f>'BAGONG LIP.'!D246</f>
        <v>3</v>
      </c>
      <c r="F479" s="384">
        <f>'BAGONG LIP.'!F246</f>
        <v>270</v>
      </c>
      <c r="G479" s="385">
        <f t="shared" si="44"/>
        <v>810</v>
      </c>
      <c r="I479" s="418"/>
    </row>
    <row r="480" spans="1:9">
      <c r="A480" s="380"/>
      <c r="B480" s="381" t="str">
        <f>'BAGONG LIP.'!E247</f>
        <v>sets</v>
      </c>
      <c r="C480" s="1074" t="str">
        <f>'BAGONG LIP.'!C247</f>
        <v>Entrance Cap 1/2</v>
      </c>
      <c r="D480" s="1074"/>
      <c r="E480" s="383">
        <f>'BAGONG LIP.'!D247</f>
        <v>1</v>
      </c>
      <c r="F480" s="384">
        <f>'BAGONG LIP.'!F247</f>
        <v>45</v>
      </c>
      <c r="G480" s="385">
        <f t="shared" si="44"/>
        <v>45</v>
      </c>
      <c r="I480" s="418"/>
    </row>
    <row r="481" spans="1:15">
      <c r="A481" s="380"/>
      <c r="B481" s="381" t="str">
        <f>'BAGONG LIP.'!E248</f>
        <v>sets</v>
      </c>
      <c r="C481" s="1074" t="str">
        <f>'BAGONG LIP.'!C248</f>
        <v>Straight Connector 1/2</v>
      </c>
      <c r="D481" s="1074"/>
      <c r="E481" s="383">
        <f>'BAGONG LIP.'!D248</f>
        <v>1</v>
      </c>
      <c r="F481" s="384">
        <f>'BAGONG LIP.'!F248</f>
        <v>35</v>
      </c>
      <c r="G481" s="385">
        <f t="shared" si="44"/>
        <v>35</v>
      </c>
      <c r="I481" s="418"/>
    </row>
    <row r="482" spans="1:15">
      <c r="A482" s="380"/>
      <c r="B482" s="381" t="str">
        <f>'BAGONG LIP.'!E249</f>
        <v>sets</v>
      </c>
      <c r="C482" s="1074" t="str">
        <f>'BAGONG LIP.'!C249</f>
        <v>PVC Elbow 90 Degree 1/2 Orange ( Long Bend )</v>
      </c>
      <c r="D482" s="1074"/>
      <c r="E482" s="383">
        <f>'BAGONG LIP.'!D249</f>
        <v>2</v>
      </c>
      <c r="F482" s="384">
        <f>'BAGONG LIP.'!F249</f>
        <v>30</v>
      </c>
      <c r="G482" s="385">
        <f t="shared" si="44"/>
        <v>60</v>
      </c>
      <c r="I482" s="418"/>
    </row>
    <row r="483" spans="1:15">
      <c r="A483" s="380"/>
      <c r="B483" s="381" t="str">
        <f>'BAGONG LIP.'!E265</f>
        <v>lots</v>
      </c>
      <c r="C483" s="1074" t="str">
        <f>'BAGONG LIP.'!C265</f>
        <v>Tarpaulin with wood Frame (8'x8')</v>
      </c>
      <c r="D483" s="1074"/>
      <c r="E483" s="383">
        <f>'BAGONG LIP.'!D265</f>
        <v>1</v>
      </c>
      <c r="F483" s="384">
        <f>'BAGONG LIP.'!F265</f>
        <v>2000</v>
      </c>
      <c r="G483" s="385">
        <f>F483*E483</f>
        <v>2000</v>
      </c>
      <c r="I483" s="418"/>
    </row>
    <row r="484" spans="1:15">
      <c r="A484" s="380"/>
      <c r="B484" s="381" t="str">
        <f>'BAGONG LIP.'!E283</f>
        <v>sheet</v>
      </c>
      <c r="C484" s="1074" t="str">
        <f>'BAGONG LIP.'!C283</f>
        <v xml:space="preserve">Cement Board 4.5mm x 4 x 8 </v>
      </c>
      <c r="D484" s="1074"/>
      <c r="E484" s="383">
        <f>'BAGONG LIP.'!D283</f>
        <v>40</v>
      </c>
      <c r="F484" s="384">
        <f>'BAGONG LIP.'!F283</f>
        <v>600</v>
      </c>
      <c r="G484" s="385">
        <f t="shared" ref="G484:G489" si="45">F484*E484</f>
        <v>24000</v>
      </c>
      <c r="I484" s="418"/>
    </row>
    <row r="485" spans="1:15">
      <c r="A485" s="380"/>
      <c r="B485" s="381" t="str">
        <f>'BAGONG LIP.'!E284</f>
        <v>length</v>
      </c>
      <c r="C485" s="1074" t="str">
        <f>'BAGONG LIP.'!C284</f>
        <v>Metal Furring  Double</v>
      </c>
      <c r="D485" s="1074"/>
      <c r="E485" s="383">
        <f>'BAGONG LIP.'!D284</f>
        <v>35</v>
      </c>
      <c r="F485" s="384">
        <f>'BAGONG LIP.'!F284</f>
        <v>130</v>
      </c>
      <c r="G485" s="385">
        <f t="shared" si="45"/>
        <v>4550</v>
      </c>
      <c r="I485" s="418"/>
    </row>
    <row r="486" spans="1:15">
      <c r="A486" s="380"/>
      <c r="B486" s="381" t="str">
        <f>'BAGONG LIP.'!E285</f>
        <v>length</v>
      </c>
      <c r="C486" s="1074" t="str">
        <f>'BAGONG LIP.'!C285</f>
        <v>Carrying Channel</v>
      </c>
      <c r="D486" s="1074"/>
      <c r="E486" s="383">
        <f>'BAGONG LIP.'!D285</f>
        <v>34</v>
      </c>
      <c r="F486" s="384">
        <f>'BAGONG LIP.'!F285</f>
        <v>150</v>
      </c>
      <c r="G486" s="385">
        <f t="shared" si="45"/>
        <v>5100</v>
      </c>
      <c r="I486" s="418"/>
    </row>
    <row r="487" spans="1:15">
      <c r="A487" s="380"/>
      <c r="B487" s="381" t="str">
        <f>'BAGONG LIP.'!E286</f>
        <v>pcs</v>
      </c>
      <c r="C487" s="1074" t="str">
        <f>'BAGONG LIP.'!C286</f>
        <v>W. Clip</v>
      </c>
      <c r="D487" s="1074"/>
      <c r="E487" s="383">
        <f>'BAGONG LIP.'!D286</f>
        <v>250</v>
      </c>
      <c r="F487" s="384">
        <f>'BAGONG LIP.'!F286</f>
        <v>7</v>
      </c>
      <c r="G487" s="385">
        <f t="shared" si="45"/>
        <v>1750</v>
      </c>
      <c r="I487" s="418"/>
    </row>
    <row r="488" spans="1:15">
      <c r="A488" s="380"/>
      <c r="B488" s="381" t="str">
        <f>'BAGONG LIP.'!E287</f>
        <v>box</v>
      </c>
      <c r="C488" s="1074" t="str">
        <f>'BAGONG LIP.'!C287</f>
        <v>Blind Rivets 1/8" x 1/2"</v>
      </c>
      <c r="D488" s="1074"/>
      <c r="E488" s="383">
        <f>'BAGONG LIP.'!D287</f>
        <v>2</v>
      </c>
      <c r="F488" s="384">
        <f>'BAGONG LIP.'!F287</f>
        <v>500</v>
      </c>
      <c r="G488" s="385">
        <f t="shared" si="45"/>
        <v>1000</v>
      </c>
      <c r="I488" s="418"/>
    </row>
    <row r="489" spans="1:15">
      <c r="A489" s="380"/>
      <c r="B489" s="381" t="str">
        <f>'BAGONG LIP.'!E288</f>
        <v>kgs</v>
      </c>
      <c r="C489" s="1074" t="str">
        <f>'BAGONG LIP.'!C288</f>
        <v>Concrete Nails #1</v>
      </c>
      <c r="D489" s="1074"/>
      <c r="E489" s="383">
        <f>'BAGONG LIP.'!D288</f>
        <v>2</v>
      </c>
      <c r="F489" s="384">
        <f>'BAGONG LIP.'!F288</f>
        <v>150</v>
      </c>
      <c r="G489" s="385">
        <f t="shared" si="45"/>
        <v>300</v>
      </c>
      <c r="I489" s="418"/>
    </row>
    <row r="490" spans="1:15">
      <c r="A490" s="380"/>
      <c r="B490" s="381" t="str">
        <f>'BAGONG LIP.'!E339</f>
        <v>length</v>
      </c>
      <c r="C490" s="1074" t="str">
        <f>'BAGONG LIP.'!C339</f>
        <v>GI Pipe 1.5" Schd. 40</v>
      </c>
      <c r="D490" s="1074"/>
      <c r="E490" s="383">
        <f>'BAGONG LIP.'!D339</f>
        <v>4</v>
      </c>
      <c r="F490" s="384">
        <f>'BAGONG LIP.'!F339</f>
        <v>1400</v>
      </c>
      <c r="G490" s="385">
        <f>F490*E490</f>
        <v>5600</v>
      </c>
      <c r="I490" s="418"/>
    </row>
    <row r="491" spans="1:15">
      <c r="A491" s="380"/>
      <c r="B491" s="381" t="str">
        <f>'BAGONG LIP.'!E340</f>
        <v>kgs</v>
      </c>
      <c r="C491" s="1074" t="str">
        <f>'BAGONG LIP.'!C340</f>
        <v>Welding Rod 6013</v>
      </c>
      <c r="D491" s="1074"/>
      <c r="E491" s="383">
        <f>'BAGONG LIP.'!D340</f>
        <v>10</v>
      </c>
      <c r="F491" s="384">
        <f>'BAGONG LIP.'!F340</f>
        <v>190</v>
      </c>
      <c r="G491" s="385">
        <f>F491*E491</f>
        <v>1900</v>
      </c>
      <c r="I491" s="418"/>
    </row>
    <row r="492" spans="1:15">
      <c r="A492" s="380"/>
      <c r="B492" s="381" t="str">
        <f>'BAGONG LIP.'!E341</f>
        <v>length</v>
      </c>
      <c r="C492" s="1074" t="str">
        <f>'BAGONG LIP.'!C341</f>
        <v>Angle Bar 1"x1"x5mm</v>
      </c>
      <c r="D492" s="1074"/>
      <c r="E492" s="383">
        <f>'BAGONG LIP.'!D341</f>
        <v>15</v>
      </c>
      <c r="F492" s="384">
        <f>'BAGONG LIP.'!F341</f>
        <v>210</v>
      </c>
      <c r="G492" s="385">
        <f>F492*E492</f>
        <v>3150</v>
      </c>
      <c r="I492" s="418"/>
    </row>
    <row r="493" spans="1:15">
      <c r="A493" s="380"/>
      <c r="B493" s="381" t="str">
        <f>'BAGONG LIP.'!E342</f>
        <v>pcs</v>
      </c>
      <c r="C493" s="1074" t="str">
        <f>'BAGONG LIP.'!C342</f>
        <v>Cutting Disc 4" ( Flexiarapid super A 60 U )</v>
      </c>
      <c r="D493" s="1074"/>
      <c r="E493" s="383">
        <f>'BAGONG LIP.'!D342</f>
        <v>7</v>
      </c>
      <c r="F493" s="384">
        <f>'BAGONG LIP.'!F342</f>
        <v>690</v>
      </c>
      <c r="G493" s="385">
        <f>F493*E493</f>
        <v>4830</v>
      </c>
      <c r="I493" s="418"/>
    </row>
    <row r="494" spans="1:15">
      <c r="A494" s="380"/>
      <c r="B494" s="381" t="str">
        <f>'BAGONG LIP.'!E343</f>
        <v>sheet</v>
      </c>
      <c r="C494" s="1074" t="str">
        <f>'BAGONG LIP.'!C343</f>
        <v>Steel Matting 4.5mm</v>
      </c>
      <c r="D494" s="1074"/>
      <c r="E494" s="383">
        <f>'BAGONG LIP.'!D343</f>
        <v>4</v>
      </c>
      <c r="F494" s="384">
        <f>'BAGONG LIP.'!F343</f>
        <v>750</v>
      </c>
      <c r="G494" s="385">
        <f t="shared" ref="G494:G497" si="46">F494*E494</f>
        <v>3000</v>
      </c>
      <c r="I494" s="418"/>
    </row>
    <row r="495" spans="1:15">
      <c r="A495" s="380"/>
      <c r="B495" s="381" t="str">
        <f>'BAGONG LIP.'!E344</f>
        <v>length</v>
      </c>
      <c r="C495" s="1074" t="str">
        <f>'BAGONG LIP.'!C344</f>
        <v>GI Pipe 3" Schd. 40</v>
      </c>
      <c r="D495" s="1074"/>
      <c r="E495" s="383">
        <f>'BAGONG LIP.'!D344</f>
        <v>2</v>
      </c>
      <c r="F495" s="384">
        <f>'BAGONG LIP.'!F344</f>
        <v>3100</v>
      </c>
      <c r="G495" s="385">
        <f t="shared" si="46"/>
        <v>6200</v>
      </c>
      <c r="I495" s="418"/>
    </row>
    <row r="496" spans="1:15" ht="15.75">
      <c r="A496" s="1075" t="str">
        <f>MPDP!B6</f>
        <v>CONSTRUCTION OF SEPTIC TANK</v>
      </c>
      <c r="B496" s="1076"/>
      <c r="C496" s="1076"/>
      <c r="D496" s="1076"/>
      <c r="E496" s="1076"/>
      <c r="F496" s="1076"/>
      <c r="G496" s="1077"/>
      <c r="I496" s="366"/>
      <c r="J496" s="409"/>
      <c r="K496" s="410"/>
      <c r="L496" s="410"/>
      <c r="M496" s="409"/>
      <c r="N496" s="411"/>
      <c r="O496" s="412"/>
    </row>
    <row r="497" spans="1:9">
      <c r="A497" s="380"/>
      <c r="B497" s="381" t="e">
        <f>MPDP!#REF!</f>
        <v>#REF!</v>
      </c>
      <c r="C497" s="1074" t="e">
        <f>MPDP!#REF!</f>
        <v>#REF!</v>
      </c>
      <c r="D497" s="1074"/>
      <c r="E497" s="383" t="e">
        <f>MPDP!#REF!</f>
        <v>#REF!</v>
      </c>
      <c r="F497" s="384" t="e">
        <f>MPDP!#REF!</f>
        <v>#REF!</v>
      </c>
      <c r="G497" s="385" t="e">
        <f t="shared" si="46"/>
        <v>#REF!</v>
      </c>
      <c r="I497" s="418"/>
    </row>
    <row r="498" spans="1:9">
      <c r="A498" s="380"/>
      <c r="B498" s="381" t="e">
        <f>MPDP!#REF!</f>
        <v>#REF!</v>
      </c>
      <c r="C498" s="1074" t="e">
        <f>MPDP!#REF!</f>
        <v>#REF!</v>
      </c>
      <c r="D498" s="1074"/>
      <c r="E498" s="383" t="e">
        <f>MPDP!#REF!</f>
        <v>#REF!</v>
      </c>
      <c r="F498" s="384" t="e">
        <f>MPDP!#REF!</f>
        <v>#REF!</v>
      </c>
      <c r="G498" s="385" t="e">
        <f t="shared" ref="G498:G500" si="47">F498*E498</f>
        <v>#REF!</v>
      </c>
      <c r="I498" s="418"/>
    </row>
    <row r="499" spans="1:9">
      <c r="A499" s="380"/>
      <c r="B499" s="381" t="e">
        <f>MPDP!#REF!</f>
        <v>#REF!</v>
      </c>
      <c r="C499" s="1074" t="e">
        <f>MPDP!#REF!</f>
        <v>#REF!</v>
      </c>
      <c r="D499" s="1074"/>
      <c r="E499" s="383" t="e">
        <f>MPDP!#REF!</f>
        <v>#REF!</v>
      </c>
      <c r="F499" s="384" t="e">
        <f>MPDP!#REF!</f>
        <v>#REF!</v>
      </c>
      <c r="G499" s="385" t="e">
        <f t="shared" si="47"/>
        <v>#REF!</v>
      </c>
      <c r="I499" s="418"/>
    </row>
    <row r="500" spans="1:9">
      <c r="A500" s="380"/>
      <c r="B500" s="381" t="e">
        <f>MPDP!#REF!</f>
        <v>#REF!</v>
      </c>
      <c r="C500" s="1074" t="e">
        <f>MPDP!#REF!</f>
        <v>#REF!</v>
      </c>
      <c r="D500" s="1074"/>
      <c r="E500" s="383" t="e">
        <f>MPDP!#REF!</f>
        <v>#REF!</v>
      </c>
      <c r="F500" s="384" t="e">
        <f>MPDP!#REF!</f>
        <v>#REF!</v>
      </c>
      <c r="G500" s="385" t="e">
        <f t="shared" si="47"/>
        <v>#REF!</v>
      </c>
      <c r="I500" s="418"/>
    </row>
    <row r="501" spans="1:9">
      <c r="A501" s="1026" t="s">
        <v>1338</v>
      </c>
      <c r="B501" s="1026"/>
      <c r="C501" s="1026"/>
      <c r="D501" s="1026"/>
      <c r="E501" s="1026"/>
      <c r="F501" s="1026"/>
      <c r="G501" s="389" t="e">
        <f>SUM(G458:G500)</f>
        <v>#REF!</v>
      </c>
    </row>
    <row r="502" spans="1:9">
      <c r="A502" s="1038" t="s">
        <v>1394</v>
      </c>
      <c r="B502" s="1039"/>
      <c r="C502" s="1042" t="s">
        <v>1670</v>
      </c>
      <c r="D502" s="1043"/>
      <c r="E502" s="1043"/>
      <c r="F502" s="1043"/>
      <c r="G502" s="1044"/>
    </row>
    <row r="503" spans="1:9" ht="26.25" customHeight="1">
      <c r="A503" s="1040"/>
      <c r="B503" s="1041"/>
      <c r="C503" s="1045"/>
      <c r="D503" s="1046"/>
      <c r="E503" s="1046"/>
      <c r="F503" s="1046"/>
      <c r="G503" s="1047"/>
    </row>
    <row r="504" spans="1:9">
      <c r="A504" s="390"/>
      <c r="B504" s="391"/>
      <c r="C504" s="392" t="s">
        <v>1395</v>
      </c>
      <c r="D504" s="1048" t="s">
        <v>1396</v>
      </c>
      <c r="E504" s="1049"/>
      <c r="F504" s="393" t="s">
        <v>1397</v>
      </c>
      <c r="G504" s="394"/>
    </row>
    <row r="505" spans="1:9">
      <c r="A505" s="395"/>
      <c r="C505" s="396"/>
      <c r="D505" s="1050"/>
      <c r="E505" s="1051"/>
      <c r="F505" s="395"/>
      <c r="G505" s="397"/>
    </row>
    <row r="506" spans="1:9">
      <c r="A506" s="398" t="s">
        <v>1069</v>
      </c>
      <c r="B506" s="399"/>
      <c r="C506" s="396"/>
      <c r="E506" s="397"/>
      <c r="F506" s="395"/>
      <c r="G506" s="397"/>
    </row>
    <row r="507" spans="1:9">
      <c r="A507" s="398" t="s">
        <v>1070</v>
      </c>
      <c r="B507" s="399"/>
      <c r="C507" s="400" t="s">
        <v>1365</v>
      </c>
      <c r="D507" s="1052" t="s">
        <v>1398</v>
      </c>
      <c r="E507" s="1053"/>
      <c r="F507" s="1052" t="s">
        <v>1371</v>
      </c>
      <c r="G507" s="1053"/>
    </row>
    <row r="508" spans="1:9">
      <c r="A508" s="398" t="s">
        <v>1399</v>
      </c>
      <c r="B508" s="399"/>
      <c r="C508" s="401" t="s">
        <v>1400</v>
      </c>
      <c r="D508" s="1054" t="s">
        <v>1401</v>
      </c>
      <c r="E508" s="1055"/>
      <c r="F508" s="1056" t="s">
        <v>1074</v>
      </c>
      <c r="G508" s="1057"/>
    </row>
    <row r="509" spans="1:9">
      <c r="A509" s="399" t="s">
        <v>1045</v>
      </c>
      <c r="B509" s="402"/>
      <c r="C509" s="403"/>
      <c r="D509" s="404"/>
      <c r="E509" s="405"/>
      <c r="F509" s="406"/>
      <c r="G509" s="405"/>
    </row>
    <row r="510" spans="1:9">
      <c r="A510" s="370" t="s">
        <v>1375</v>
      </c>
      <c r="E510" s="373" t="s">
        <v>1376</v>
      </c>
    </row>
    <row r="511" spans="1:9">
      <c r="E511" s="370" t="s">
        <v>1377</v>
      </c>
    </row>
    <row r="512" spans="1:9">
      <c r="E512" s="1072" t="str">
        <f>E440</f>
        <v xml:space="preserve">COMPLETION, RENOVATION AND 
IMPROVEMENT OF  DAY CARE CENTER
</v>
      </c>
      <c r="F512" s="927"/>
      <c r="G512" s="927"/>
    </row>
    <row r="513" spans="1:7">
      <c r="E513" s="927"/>
      <c r="F513" s="927"/>
      <c r="G513" s="927"/>
    </row>
    <row r="514" spans="1:7">
      <c r="A514" s="370" t="s">
        <v>1378</v>
      </c>
      <c r="E514" s="373" t="s">
        <v>1379</v>
      </c>
    </row>
    <row r="515" spans="1:7">
      <c r="A515" s="370" t="s">
        <v>1380</v>
      </c>
      <c r="E515" s="1032" t="str">
        <f>E443</f>
        <v xml:space="preserve">SITIO BADAC, BARANGAY SARAVIA, PUROK SAN FRANCISCO BARANGAY
NEW PANGASINAN, </v>
      </c>
      <c r="F515" s="1073"/>
      <c r="G515" s="1073"/>
    </row>
    <row r="516" spans="1:7">
      <c r="A516" s="370" t="s">
        <v>1381</v>
      </c>
      <c r="E516" s="1073"/>
      <c r="F516" s="1073"/>
      <c r="G516" s="1073"/>
    </row>
    <row r="517" spans="1:7" ht="15" customHeight="1">
      <c r="E517" s="1032" t="str">
        <f>E445</f>
        <v xml:space="preserve">PUROK BAGONG LIPUNAN BARANGAY SAN ISIDRO AND 
PUROK KAUSWAGAN BARANGAY SARAVIA
</v>
      </c>
      <c r="F517" s="1032"/>
      <c r="G517" s="1032"/>
    </row>
    <row r="518" spans="1:7">
      <c r="E518" s="1032"/>
      <c r="F518" s="1032"/>
      <c r="G518" s="1032"/>
    </row>
    <row r="519" spans="1:7">
      <c r="E519" s="1032"/>
      <c r="F519" s="1032"/>
      <c r="G519" s="1032"/>
    </row>
    <row r="520" spans="1:7">
      <c r="E520" s="1032"/>
      <c r="F520" s="1032"/>
      <c r="G520" s="1032"/>
    </row>
    <row r="521" spans="1:7">
      <c r="E521" s="374"/>
      <c r="F521" s="374"/>
      <c r="G521" s="374"/>
    </row>
    <row r="522" spans="1:7">
      <c r="E522" s="374"/>
      <c r="F522" s="374"/>
      <c r="G522" s="374"/>
    </row>
    <row r="523" spans="1:7">
      <c r="A523" s="1027" t="s">
        <v>1382</v>
      </c>
      <c r="B523" s="1027"/>
      <c r="C523" s="1027"/>
      <c r="D523" s="1027"/>
      <c r="E523" s="1027"/>
      <c r="F523" s="1027"/>
      <c r="G523" s="1027"/>
    </row>
    <row r="524" spans="1:7">
      <c r="A524" s="1028" t="s">
        <v>1383</v>
      </c>
      <c r="B524" s="1027"/>
      <c r="C524" s="1027"/>
      <c r="D524" s="1027"/>
      <c r="E524" s="1027"/>
      <c r="F524" s="1027"/>
      <c r="G524" s="1027"/>
    </row>
    <row r="525" spans="1:7">
      <c r="A525" s="1029" t="s">
        <v>1384</v>
      </c>
      <c r="B525" s="1029"/>
      <c r="C525" s="1029"/>
      <c r="D525" s="1029"/>
      <c r="E525" s="1029"/>
      <c r="F525" s="1029"/>
      <c r="G525" s="1029"/>
    </row>
    <row r="526" spans="1:7" ht="15.75">
      <c r="A526" s="370" t="s">
        <v>1385</v>
      </c>
      <c r="C526" s="376" t="s">
        <v>1386</v>
      </c>
      <c r="D526" s="377"/>
      <c r="E526" s="370" t="s">
        <v>1387</v>
      </c>
      <c r="F526" s="1036" t="str">
        <f>F454</f>
        <v>Date: February 24,2025</v>
      </c>
      <c r="G526" s="1037"/>
    </row>
    <row r="527" spans="1:7">
      <c r="A527" s="370" t="s">
        <v>1388</v>
      </c>
      <c r="E527" s="370" t="s">
        <v>1389</v>
      </c>
    </row>
    <row r="528" spans="1:7">
      <c r="A528" s="378" t="s">
        <v>1390</v>
      </c>
      <c r="B528" s="1066" t="s">
        <v>314</v>
      </c>
      <c r="C528" s="1068" t="s">
        <v>1391</v>
      </c>
      <c r="D528" s="1069"/>
      <c r="E528" s="1066" t="s">
        <v>1392</v>
      </c>
      <c r="F528" s="1066" t="s">
        <v>1393</v>
      </c>
      <c r="G528" s="1066" t="s">
        <v>1052</v>
      </c>
    </row>
    <row r="529" spans="1:9">
      <c r="A529" s="379" t="s">
        <v>1040</v>
      </c>
      <c r="B529" s="1067"/>
      <c r="C529" s="1070"/>
      <c r="D529" s="1071"/>
      <c r="E529" s="1067"/>
      <c r="F529" s="1067"/>
      <c r="G529" s="1067"/>
    </row>
    <row r="530" spans="1:9">
      <c r="A530" s="380"/>
      <c r="B530" s="381" t="e">
        <f>MPDP!#REF!</f>
        <v>#REF!</v>
      </c>
      <c r="C530" s="382" t="e">
        <f>MPDP!#REF!</f>
        <v>#REF!</v>
      </c>
      <c r="D530" s="382"/>
      <c r="E530" s="383" t="e">
        <f>MPDP!#REF!</f>
        <v>#REF!</v>
      </c>
      <c r="F530" s="384" t="e">
        <f>MPDP!#REF!</f>
        <v>#REF!</v>
      </c>
      <c r="G530" s="385" t="e">
        <f t="shared" ref="G530" si="48">F530*E530</f>
        <v>#REF!</v>
      </c>
      <c r="I530" s="418"/>
    </row>
    <row r="531" spans="1:9">
      <c r="A531" s="380"/>
      <c r="B531" s="381" t="e">
        <f>MPDP!#REF!</f>
        <v>#REF!</v>
      </c>
      <c r="C531" s="382" t="e">
        <f>MPDP!#REF!</f>
        <v>#REF!</v>
      </c>
      <c r="D531" s="382"/>
      <c r="E531" s="383" t="e">
        <f>MPDP!#REF!</f>
        <v>#REF!</v>
      </c>
      <c r="F531" s="384" t="e">
        <f>MPDP!#REF!</f>
        <v>#REF!</v>
      </c>
      <c r="G531" s="385" t="e">
        <f t="shared" ref="G531" si="49">F531*E531</f>
        <v>#REF!</v>
      </c>
      <c r="I531" s="418"/>
    </row>
    <row r="532" spans="1:9">
      <c r="A532" s="380"/>
      <c r="B532" s="381" t="e">
        <f>MPDP!#REF!</f>
        <v>#REF!</v>
      </c>
      <c r="C532" s="382" t="e">
        <f>MPDP!#REF!</f>
        <v>#REF!</v>
      </c>
      <c r="D532" s="382"/>
      <c r="E532" s="383" t="e">
        <f>MPDP!#REF!</f>
        <v>#REF!</v>
      </c>
      <c r="F532" s="384" t="e">
        <f>MPDP!#REF!</f>
        <v>#REF!</v>
      </c>
      <c r="G532" s="385" t="e">
        <f>F532*E532</f>
        <v>#REF!</v>
      </c>
      <c r="I532" s="418"/>
    </row>
    <row r="533" spans="1:9">
      <c r="A533" s="380"/>
      <c r="B533" s="381" t="e">
        <f>MPDP!#REF!</f>
        <v>#REF!</v>
      </c>
      <c r="C533" s="382" t="e">
        <f>MPDP!#REF!</f>
        <v>#REF!</v>
      </c>
      <c r="D533" s="382"/>
      <c r="E533" s="383" t="e">
        <f>MPDP!#REF!</f>
        <v>#REF!</v>
      </c>
      <c r="F533" s="384" t="e">
        <f>MPDP!#REF!</f>
        <v>#REF!</v>
      </c>
      <c r="G533" s="385" t="e">
        <f>F533*E533</f>
        <v>#REF!</v>
      </c>
      <c r="I533" s="418"/>
    </row>
    <row r="534" spans="1:9">
      <c r="A534" s="380"/>
      <c r="B534" s="381" t="e">
        <f>MPDP!#REF!</f>
        <v>#REF!</v>
      </c>
      <c r="C534" s="382" t="e">
        <f>MPDP!#REF!</f>
        <v>#REF!</v>
      </c>
      <c r="D534" s="382"/>
      <c r="E534" s="383" t="e">
        <f>MPDP!#REF!</f>
        <v>#REF!</v>
      </c>
      <c r="F534" s="384" t="e">
        <f>MPDP!#REF!</f>
        <v>#REF!</v>
      </c>
      <c r="G534" s="385" t="e">
        <f>F534*E534</f>
        <v>#REF!</v>
      </c>
      <c r="I534" s="418"/>
    </row>
    <row r="535" spans="1:9">
      <c r="A535" s="380"/>
      <c r="B535" s="381" t="e">
        <f>MPDP!#REF!</f>
        <v>#REF!</v>
      </c>
      <c r="C535" s="382" t="e">
        <f>MPDP!#REF!</f>
        <v>#REF!</v>
      </c>
      <c r="D535" s="382"/>
      <c r="E535" s="383" t="e">
        <f>MPDP!#REF!</f>
        <v>#REF!</v>
      </c>
      <c r="F535" s="384" t="e">
        <f>MPDP!#REF!</f>
        <v>#REF!</v>
      </c>
      <c r="G535" s="385" t="e">
        <f>F535*E535</f>
        <v>#REF!</v>
      </c>
      <c r="I535" s="418"/>
    </row>
    <row r="536" spans="1:9">
      <c r="A536" s="380"/>
      <c r="B536" s="381" t="e">
        <f>MPDP!#REF!</f>
        <v>#REF!</v>
      </c>
      <c r="C536" s="382" t="e">
        <f>MPDP!#REF!</f>
        <v>#REF!</v>
      </c>
      <c r="D536" s="382"/>
      <c r="E536" s="383" t="e">
        <f>MPDP!#REF!</f>
        <v>#REF!</v>
      </c>
      <c r="F536" s="384" t="e">
        <f>MPDP!#REF!</f>
        <v>#REF!</v>
      </c>
      <c r="G536" s="385" t="e">
        <f>F536*E536</f>
        <v>#REF!</v>
      </c>
      <c r="I536" s="418"/>
    </row>
    <row r="537" spans="1:9">
      <c r="A537" s="380"/>
      <c r="B537" s="381" t="e">
        <f>MPDP!#REF!</f>
        <v>#REF!</v>
      </c>
      <c r="C537" s="382" t="e">
        <f>MPDP!#REF!</f>
        <v>#REF!</v>
      </c>
      <c r="D537" s="382"/>
      <c r="E537" s="383" t="e">
        <f>MPDP!#REF!</f>
        <v>#REF!</v>
      </c>
      <c r="F537" s="384" t="e">
        <f>MPDP!#REF!</f>
        <v>#REF!</v>
      </c>
      <c r="G537" s="385" t="e">
        <f t="shared" ref="G537:G541" si="50">F537*E537</f>
        <v>#REF!</v>
      </c>
      <c r="I537" s="418"/>
    </row>
    <row r="538" spans="1:9">
      <c r="A538" s="380"/>
      <c r="B538" s="381" t="e">
        <f>MPDP!#REF!</f>
        <v>#REF!</v>
      </c>
      <c r="C538" s="382" t="e">
        <f>MPDP!#REF!</f>
        <v>#REF!</v>
      </c>
      <c r="D538" s="382"/>
      <c r="E538" s="383" t="e">
        <f>MPDP!#REF!</f>
        <v>#REF!</v>
      </c>
      <c r="F538" s="384" t="e">
        <f>MPDP!#REF!</f>
        <v>#REF!</v>
      </c>
      <c r="G538" s="385" t="e">
        <f t="shared" si="50"/>
        <v>#REF!</v>
      </c>
      <c r="I538" s="418"/>
    </row>
    <row r="539" spans="1:9">
      <c r="A539" s="380"/>
      <c r="B539" s="381" t="e">
        <f>MPDP!#REF!</f>
        <v>#REF!</v>
      </c>
      <c r="C539" s="382" t="e">
        <f>MPDP!#REF!</f>
        <v>#REF!</v>
      </c>
      <c r="D539" s="382"/>
      <c r="E539" s="383" t="e">
        <f>MPDP!#REF!</f>
        <v>#REF!</v>
      </c>
      <c r="F539" s="384" t="e">
        <f>MPDP!#REF!</f>
        <v>#REF!</v>
      </c>
      <c r="G539" s="385" t="e">
        <f t="shared" si="50"/>
        <v>#REF!</v>
      </c>
      <c r="I539" s="418"/>
    </row>
    <row r="540" spans="1:9">
      <c r="A540" s="380"/>
      <c r="B540" s="381" t="e">
        <f>MPDP!#REF!</f>
        <v>#REF!</v>
      </c>
      <c r="C540" s="382" t="e">
        <f>MPDP!#REF!</f>
        <v>#REF!</v>
      </c>
      <c r="D540" s="382"/>
      <c r="E540" s="383" t="e">
        <f>MPDP!#REF!</f>
        <v>#REF!</v>
      </c>
      <c r="F540" s="384" t="e">
        <f>MPDP!#REF!</f>
        <v>#REF!</v>
      </c>
      <c r="G540" s="385" t="e">
        <f t="shared" si="50"/>
        <v>#REF!</v>
      </c>
      <c r="I540" s="418"/>
    </row>
    <row r="541" spans="1:9">
      <c r="A541" s="380"/>
      <c r="B541" s="381" t="e">
        <f>MPDP!#REF!</f>
        <v>#REF!</v>
      </c>
      <c r="C541" s="382" t="e">
        <f>MPDP!#REF!</f>
        <v>#REF!</v>
      </c>
      <c r="D541" s="382"/>
      <c r="E541" s="383" t="e">
        <f>MPDP!#REF!</f>
        <v>#REF!</v>
      </c>
      <c r="F541" s="384" t="e">
        <f>MPDP!#REF!</f>
        <v>#REF!</v>
      </c>
      <c r="G541" s="385" t="e">
        <f t="shared" si="50"/>
        <v>#REF!</v>
      </c>
      <c r="I541" s="418"/>
    </row>
    <row r="542" spans="1:9">
      <c r="A542" s="380"/>
      <c r="B542" s="381" t="e">
        <f>MPDP!#REF!</f>
        <v>#REF!</v>
      </c>
      <c r="C542" s="382" t="e">
        <f>MPDP!#REF!</f>
        <v>#REF!</v>
      </c>
      <c r="D542" s="382"/>
      <c r="E542" s="383" t="e">
        <f>MPDP!#REF!</f>
        <v>#REF!</v>
      </c>
      <c r="F542" s="384" t="e">
        <f>MPDP!#REF!</f>
        <v>#REF!</v>
      </c>
      <c r="G542" s="385" t="e">
        <f>F542*E542</f>
        <v>#REF!</v>
      </c>
      <c r="I542" s="418"/>
    </row>
    <row r="543" spans="1:9">
      <c r="A543" s="380"/>
      <c r="B543" s="381" t="e">
        <f>MPDP!#REF!</f>
        <v>#REF!</v>
      </c>
      <c r="C543" s="382" t="e">
        <f>MPDP!#REF!</f>
        <v>#REF!</v>
      </c>
      <c r="D543" s="382"/>
      <c r="E543" s="383" t="e">
        <f>MPDP!#REF!</f>
        <v>#REF!</v>
      </c>
      <c r="F543" s="384" t="e">
        <f>MPDP!#REF!</f>
        <v>#REF!</v>
      </c>
      <c r="G543" s="385" t="e">
        <f t="shared" ref="G543:G550" si="51">F543*E543</f>
        <v>#REF!</v>
      </c>
      <c r="I543" s="418"/>
    </row>
    <row r="544" spans="1:9">
      <c r="A544" s="380"/>
      <c r="B544" s="381" t="e">
        <f>MPDP!#REF!</f>
        <v>#REF!</v>
      </c>
      <c r="C544" s="382" t="e">
        <f>MPDP!#REF!</f>
        <v>#REF!</v>
      </c>
      <c r="D544" s="382"/>
      <c r="E544" s="383" t="e">
        <f>MPDP!#REF!</f>
        <v>#REF!</v>
      </c>
      <c r="F544" s="384" t="e">
        <f>MPDP!#REF!</f>
        <v>#REF!</v>
      </c>
      <c r="G544" s="385" t="e">
        <f t="shared" si="51"/>
        <v>#REF!</v>
      </c>
      <c r="I544" s="418"/>
    </row>
    <row r="545" spans="1:9">
      <c r="A545" s="380"/>
      <c r="B545" s="381" t="e">
        <f>MPDP!#REF!</f>
        <v>#REF!</v>
      </c>
      <c r="C545" s="382" t="e">
        <f>MPDP!#REF!</f>
        <v>#REF!</v>
      </c>
      <c r="D545" s="382"/>
      <c r="E545" s="383" t="e">
        <f>MPDP!#REF!</f>
        <v>#REF!</v>
      </c>
      <c r="F545" s="384" t="e">
        <f>MPDP!#REF!</f>
        <v>#REF!</v>
      </c>
      <c r="G545" s="385" t="e">
        <f t="shared" si="51"/>
        <v>#REF!</v>
      </c>
      <c r="I545" s="418"/>
    </row>
    <row r="546" spans="1:9">
      <c r="A546" s="380"/>
      <c r="B546" s="381" t="e">
        <f>MPDP!#REF!</f>
        <v>#REF!</v>
      </c>
      <c r="C546" s="382" t="e">
        <f>MPDP!#REF!</f>
        <v>#REF!</v>
      </c>
      <c r="D546" s="382"/>
      <c r="E546" s="383" t="e">
        <f>MPDP!#REF!</f>
        <v>#REF!</v>
      </c>
      <c r="F546" s="384" t="e">
        <f>MPDP!#REF!</f>
        <v>#REF!</v>
      </c>
      <c r="G546" s="385" t="e">
        <f t="shared" si="51"/>
        <v>#REF!</v>
      </c>
      <c r="I546" s="418"/>
    </row>
    <row r="547" spans="1:9">
      <c r="A547" s="380"/>
      <c r="B547" s="381" t="e">
        <f>MPDP!#REF!</f>
        <v>#REF!</v>
      </c>
      <c r="C547" s="382" t="e">
        <f>MPDP!#REF!</f>
        <v>#REF!</v>
      </c>
      <c r="D547" s="382"/>
      <c r="E547" s="383" t="e">
        <f>MPDP!#REF!</f>
        <v>#REF!</v>
      </c>
      <c r="F547" s="384" t="e">
        <f>MPDP!#REF!</f>
        <v>#REF!</v>
      </c>
      <c r="G547" s="385" t="e">
        <f t="shared" si="51"/>
        <v>#REF!</v>
      </c>
      <c r="I547" s="418"/>
    </row>
    <row r="548" spans="1:9">
      <c r="A548" s="380"/>
      <c r="B548" s="381" t="e">
        <f>MPDP!#REF!</f>
        <v>#REF!</v>
      </c>
      <c r="C548" s="382" t="e">
        <f>MPDP!#REF!</f>
        <v>#REF!</v>
      </c>
      <c r="D548" s="382"/>
      <c r="E548" s="383" t="e">
        <f>MPDP!#REF!</f>
        <v>#REF!</v>
      </c>
      <c r="F548" s="384" t="e">
        <f>MPDP!#REF!</f>
        <v>#REF!</v>
      </c>
      <c r="G548" s="385" t="e">
        <f t="shared" si="51"/>
        <v>#REF!</v>
      </c>
      <c r="I548" s="418"/>
    </row>
    <row r="549" spans="1:9">
      <c r="A549" s="380"/>
      <c r="B549" s="381" t="e">
        <f>MPDP!#REF!</f>
        <v>#REF!</v>
      </c>
      <c r="C549" s="382" t="e">
        <f>MPDP!#REF!</f>
        <v>#REF!</v>
      </c>
      <c r="D549" s="382"/>
      <c r="E549" s="383" t="e">
        <f>MPDP!#REF!</f>
        <v>#REF!</v>
      </c>
      <c r="F549" s="384" t="e">
        <f>MPDP!#REF!</f>
        <v>#REF!</v>
      </c>
      <c r="G549" s="385" t="e">
        <f t="shared" si="51"/>
        <v>#REF!</v>
      </c>
      <c r="I549" s="418"/>
    </row>
    <row r="550" spans="1:9">
      <c r="A550" s="380"/>
      <c r="B550" s="381" t="e">
        <f>MPDP!#REF!</f>
        <v>#REF!</v>
      </c>
      <c r="C550" s="382" t="e">
        <f>MPDP!#REF!</f>
        <v>#REF!</v>
      </c>
      <c r="D550" s="382"/>
      <c r="E550" s="383" t="e">
        <f>MPDP!#REF!</f>
        <v>#REF!</v>
      </c>
      <c r="F550" s="384" t="e">
        <f>MPDP!#REF!</f>
        <v>#REF!</v>
      </c>
      <c r="G550" s="385" t="e">
        <f t="shared" si="51"/>
        <v>#REF!</v>
      </c>
      <c r="I550" s="418"/>
    </row>
    <row r="551" spans="1:9">
      <c r="A551" s="380"/>
      <c r="B551" s="381" t="e">
        <f>MPDP!#REF!</f>
        <v>#REF!</v>
      </c>
      <c r="C551" s="382" t="e">
        <f>MPDP!#REF!</f>
        <v>#REF!</v>
      </c>
      <c r="D551" s="382"/>
      <c r="E551" s="383" t="e">
        <f>MPDP!#REF!</f>
        <v>#REF!</v>
      </c>
      <c r="F551" s="384" t="e">
        <f>MPDP!#REF!</f>
        <v>#REF!</v>
      </c>
      <c r="G551" s="385" t="e">
        <f t="shared" ref="G551:G561" si="52">F551*E551</f>
        <v>#REF!</v>
      </c>
      <c r="I551" s="418"/>
    </row>
    <row r="552" spans="1:9">
      <c r="A552" s="380"/>
      <c r="B552" s="381" t="e">
        <f>MPDP!#REF!</f>
        <v>#REF!</v>
      </c>
      <c r="C552" s="382" t="e">
        <f>MPDP!#REF!</f>
        <v>#REF!</v>
      </c>
      <c r="D552" s="382"/>
      <c r="E552" s="383" t="e">
        <f>MPDP!#REF!</f>
        <v>#REF!</v>
      </c>
      <c r="F552" s="384" t="e">
        <f>MPDP!#REF!</f>
        <v>#REF!</v>
      </c>
      <c r="G552" s="385" t="e">
        <f t="shared" si="52"/>
        <v>#REF!</v>
      </c>
      <c r="I552" s="418"/>
    </row>
    <row r="553" spans="1:9">
      <c r="A553" s="380"/>
      <c r="B553" s="381" t="e">
        <f>MPDP!#REF!</f>
        <v>#REF!</v>
      </c>
      <c r="C553" s="382" t="e">
        <f>MPDP!#REF!</f>
        <v>#REF!</v>
      </c>
      <c r="D553" s="382"/>
      <c r="E553" s="383" t="e">
        <f>MPDP!#REF!</f>
        <v>#REF!</v>
      </c>
      <c r="F553" s="384" t="e">
        <f>MPDP!#REF!</f>
        <v>#REF!</v>
      </c>
      <c r="G553" s="385" t="e">
        <f t="shared" si="52"/>
        <v>#REF!</v>
      </c>
      <c r="I553" s="418"/>
    </row>
    <row r="554" spans="1:9">
      <c r="A554" s="380"/>
      <c r="B554" s="381" t="e">
        <f>MPDP!#REF!</f>
        <v>#REF!</v>
      </c>
      <c r="C554" s="382" t="e">
        <f>MPDP!#REF!</f>
        <v>#REF!</v>
      </c>
      <c r="D554" s="382"/>
      <c r="E554" s="383" t="e">
        <f>MPDP!#REF!</f>
        <v>#REF!</v>
      </c>
      <c r="F554" s="384" t="e">
        <f>MPDP!#REF!</f>
        <v>#REF!</v>
      </c>
      <c r="G554" s="385" t="e">
        <f t="shared" si="52"/>
        <v>#REF!</v>
      </c>
      <c r="I554" s="418"/>
    </row>
    <row r="555" spans="1:9">
      <c r="A555" s="380"/>
      <c r="B555" s="381" t="e">
        <f>MPDP!#REF!</f>
        <v>#REF!</v>
      </c>
      <c r="C555" s="382" t="e">
        <f>MPDP!#REF!</f>
        <v>#REF!</v>
      </c>
      <c r="D555" s="382"/>
      <c r="E555" s="383" t="e">
        <f>MPDP!#REF!</f>
        <v>#REF!</v>
      </c>
      <c r="F555" s="384" t="e">
        <f>MPDP!#REF!</f>
        <v>#REF!</v>
      </c>
      <c r="G555" s="385" t="e">
        <f t="shared" si="52"/>
        <v>#REF!</v>
      </c>
      <c r="I555" s="418"/>
    </row>
    <row r="556" spans="1:9">
      <c r="A556" s="380"/>
      <c r="B556" s="381" t="e">
        <f>MPDP!#REF!</f>
        <v>#REF!</v>
      </c>
      <c r="C556" s="382" t="e">
        <f>MPDP!#REF!</f>
        <v>#REF!</v>
      </c>
      <c r="D556" s="382"/>
      <c r="E556" s="383" t="e">
        <f>MPDP!#REF!</f>
        <v>#REF!</v>
      </c>
      <c r="F556" s="384" t="e">
        <f>MPDP!#REF!</f>
        <v>#REF!</v>
      </c>
      <c r="G556" s="385" t="e">
        <f t="shared" si="52"/>
        <v>#REF!</v>
      </c>
      <c r="I556" s="418"/>
    </row>
    <row r="557" spans="1:9">
      <c r="A557" s="380"/>
      <c r="B557" s="381" t="e">
        <f>MPDP!#REF!</f>
        <v>#REF!</v>
      </c>
      <c r="C557" s="382" t="e">
        <f>MPDP!#REF!</f>
        <v>#REF!</v>
      </c>
      <c r="D557" s="382"/>
      <c r="E557" s="383" t="e">
        <f>MPDP!#REF!</f>
        <v>#REF!</v>
      </c>
      <c r="F557" s="384" t="e">
        <f>MPDP!#REF!</f>
        <v>#REF!</v>
      </c>
      <c r="G557" s="385" t="e">
        <f t="shared" si="52"/>
        <v>#REF!</v>
      </c>
      <c r="I557" s="418"/>
    </row>
    <row r="558" spans="1:9">
      <c r="A558" s="380"/>
      <c r="B558" s="381" t="e">
        <f>MPDP!#REF!</f>
        <v>#REF!</v>
      </c>
      <c r="C558" s="382" t="e">
        <f>MPDP!#REF!</f>
        <v>#REF!</v>
      </c>
      <c r="D558" s="382"/>
      <c r="E558" s="383" t="e">
        <f>MPDP!#REF!</f>
        <v>#REF!</v>
      </c>
      <c r="F558" s="384" t="e">
        <f>MPDP!#REF!</f>
        <v>#REF!</v>
      </c>
      <c r="G558" s="385" t="e">
        <f t="shared" si="52"/>
        <v>#REF!</v>
      </c>
      <c r="I558" s="418"/>
    </row>
    <row r="559" spans="1:9">
      <c r="A559" s="380"/>
      <c r="B559" s="381" t="e">
        <f>MPDP!#REF!</f>
        <v>#REF!</v>
      </c>
      <c r="C559" s="382" t="e">
        <f>MPDP!#REF!</f>
        <v>#REF!</v>
      </c>
      <c r="D559" s="382"/>
      <c r="E559" s="383" t="e">
        <f>MPDP!#REF!</f>
        <v>#REF!</v>
      </c>
      <c r="F559" s="384" t="e">
        <f>MPDP!#REF!</f>
        <v>#REF!</v>
      </c>
      <c r="G559" s="385" t="e">
        <f t="shared" si="52"/>
        <v>#REF!</v>
      </c>
      <c r="I559" s="418"/>
    </row>
    <row r="560" spans="1:9">
      <c r="A560" s="380"/>
      <c r="B560" s="381" t="e">
        <f>MPDP!#REF!</f>
        <v>#REF!</v>
      </c>
      <c r="C560" s="382" t="e">
        <f>MPDP!#REF!</f>
        <v>#REF!</v>
      </c>
      <c r="D560" s="382"/>
      <c r="E560" s="383" t="e">
        <f>MPDP!#REF!</f>
        <v>#REF!</v>
      </c>
      <c r="F560" s="384" t="e">
        <f>MPDP!#REF!</f>
        <v>#REF!</v>
      </c>
      <c r="G560" s="385" t="e">
        <f t="shared" si="52"/>
        <v>#REF!</v>
      </c>
      <c r="I560" s="418"/>
    </row>
    <row r="561" spans="1:9">
      <c r="A561" s="380"/>
      <c r="B561" s="381" t="e">
        <f>MPDP!#REF!</f>
        <v>#REF!</v>
      </c>
      <c r="C561" s="382" t="e">
        <f>MPDP!#REF!</f>
        <v>#REF!</v>
      </c>
      <c r="D561" s="382"/>
      <c r="E561" s="383" t="e">
        <f>MPDP!#REF!</f>
        <v>#REF!</v>
      </c>
      <c r="F561" s="384" t="e">
        <f>MPDP!#REF!</f>
        <v>#REF!</v>
      </c>
      <c r="G561" s="385" t="e">
        <f t="shared" si="52"/>
        <v>#REF!</v>
      </c>
      <c r="I561" s="418"/>
    </row>
    <row r="562" spans="1:9">
      <c r="A562" s="380"/>
      <c r="B562" s="381" t="e">
        <f>MPDP!#REF!</f>
        <v>#REF!</v>
      </c>
      <c r="C562" s="382" t="e">
        <f>MPDP!#REF!</f>
        <v>#REF!</v>
      </c>
      <c r="D562" s="382"/>
      <c r="E562" s="383" t="e">
        <f>MPDP!#REF!</f>
        <v>#REF!</v>
      </c>
      <c r="F562" s="384" t="e">
        <f>MPDP!#REF!</f>
        <v>#REF!</v>
      </c>
      <c r="G562" s="385" t="e">
        <f t="shared" ref="G562" si="53">F562*E562</f>
        <v>#REF!</v>
      </c>
      <c r="I562" s="418"/>
    </row>
    <row r="563" spans="1:9">
      <c r="A563" s="380"/>
      <c r="B563" s="381" t="e">
        <f>MPDP!#REF!</f>
        <v>#REF!</v>
      </c>
      <c r="C563" s="382" t="e">
        <f>MPDP!#REF!</f>
        <v>#REF!</v>
      </c>
      <c r="D563" s="382"/>
      <c r="E563" s="383" t="e">
        <f>MPDP!#REF!</f>
        <v>#REF!</v>
      </c>
      <c r="F563" s="384" t="e">
        <f>MPDP!#REF!</f>
        <v>#REF!</v>
      </c>
      <c r="G563" s="385" t="e">
        <f>F563*E563</f>
        <v>#REF!</v>
      </c>
      <c r="I563" s="418"/>
    </row>
    <row r="564" spans="1:9">
      <c r="A564" s="380"/>
      <c r="B564" s="381" t="e">
        <f>MPDP!#REF!</f>
        <v>#REF!</v>
      </c>
      <c r="C564" s="382" t="e">
        <f>MPDP!#REF!</f>
        <v>#REF!</v>
      </c>
      <c r="D564" s="382"/>
      <c r="E564" s="383" t="e">
        <f>MPDP!#REF!</f>
        <v>#REF!</v>
      </c>
      <c r="F564" s="384" t="e">
        <f>MPDP!#REF!</f>
        <v>#REF!</v>
      </c>
      <c r="G564" s="385" t="e">
        <f t="shared" ref="G564:G572" si="54">F564*E564</f>
        <v>#REF!</v>
      </c>
      <c r="I564" s="418"/>
    </row>
    <row r="565" spans="1:9">
      <c r="A565" s="380"/>
      <c r="B565" s="381" t="e">
        <f>MPDP!#REF!</f>
        <v>#REF!</v>
      </c>
      <c r="C565" s="382" t="e">
        <f>MPDP!#REF!</f>
        <v>#REF!</v>
      </c>
      <c r="D565" s="382"/>
      <c r="E565" s="383" t="e">
        <f>MPDP!#REF!</f>
        <v>#REF!</v>
      </c>
      <c r="F565" s="384" t="e">
        <f>MPDP!#REF!</f>
        <v>#REF!</v>
      </c>
      <c r="G565" s="385" t="e">
        <f t="shared" si="54"/>
        <v>#REF!</v>
      </c>
      <c r="I565" s="418"/>
    </row>
    <row r="566" spans="1:9">
      <c r="A566" s="380"/>
      <c r="B566" s="381" t="e">
        <f>MPDP!#REF!</f>
        <v>#REF!</v>
      </c>
      <c r="C566" s="382" t="e">
        <f>MPDP!#REF!</f>
        <v>#REF!</v>
      </c>
      <c r="D566" s="382"/>
      <c r="E566" s="383" t="e">
        <f>MPDP!#REF!</f>
        <v>#REF!</v>
      </c>
      <c r="F566" s="384" t="e">
        <f>MPDP!#REF!</f>
        <v>#REF!</v>
      </c>
      <c r="G566" s="385" t="e">
        <f t="shared" si="54"/>
        <v>#REF!</v>
      </c>
      <c r="I566" s="418"/>
    </row>
    <row r="567" spans="1:9">
      <c r="A567" s="380"/>
      <c r="B567" s="381" t="e">
        <f>MPDP!#REF!</f>
        <v>#REF!</v>
      </c>
      <c r="C567" s="382" t="e">
        <f>MPDP!#REF!</f>
        <v>#REF!</v>
      </c>
      <c r="D567" s="382"/>
      <c r="E567" s="383" t="e">
        <f>MPDP!#REF!</f>
        <v>#REF!</v>
      </c>
      <c r="F567" s="384" t="e">
        <f>MPDP!#REF!</f>
        <v>#REF!</v>
      </c>
      <c r="G567" s="385" t="e">
        <f t="shared" si="54"/>
        <v>#REF!</v>
      </c>
      <c r="I567" s="418"/>
    </row>
    <row r="568" spans="1:9">
      <c r="A568" s="380"/>
      <c r="B568" s="381" t="e">
        <f>MPDP!#REF!</f>
        <v>#REF!</v>
      </c>
      <c r="C568" s="382" t="e">
        <f>MPDP!#REF!</f>
        <v>#REF!</v>
      </c>
      <c r="D568" s="382"/>
      <c r="E568" s="383" t="e">
        <f>MPDP!#REF!</f>
        <v>#REF!</v>
      </c>
      <c r="F568" s="384" t="e">
        <f>MPDP!#REF!</f>
        <v>#REF!</v>
      </c>
      <c r="G568" s="385" t="e">
        <f t="shared" si="54"/>
        <v>#REF!</v>
      </c>
      <c r="I568" s="418"/>
    </row>
    <row r="569" spans="1:9">
      <c r="A569" s="380"/>
      <c r="B569" s="381" t="e">
        <f>MPDP!#REF!</f>
        <v>#REF!</v>
      </c>
      <c r="C569" s="382" t="e">
        <f>MPDP!#REF!</f>
        <v>#REF!</v>
      </c>
      <c r="D569" s="382"/>
      <c r="E569" s="383" t="e">
        <f>MPDP!#REF!</f>
        <v>#REF!</v>
      </c>
      <c r="F569" s="384" t="e">
        <f>MPDP!#REF!</f>
        <v>#REF!</v>
      </c>
      <c r="G569" s="385" t="e">
        <f t="shared" si="54"/>
        <v>#REF!</v>
      </c>
      <c r="I569" s="418"/>
    </row>
    <row r="570" spans="1:9">
      <c r="A570" s="380"/>
      <c r="B570" s="381" t="e">
        <f>MPDP!#REF!</f>
        <v>#REF!</v>
      </c>
      <c r="C570" s="382" t="e">
        <f>MPDP!#REF!</f>
        <v>#REF!</v>
      </c>
      <c r="D570" s="382"/>
      <c r="E570" s="383" t="e">
        <f>MPDP!#REF!</f>
        <v>#REF!</v>
      </c>
      <c r="F570" s="384" t="e">
        <f>MPDP!#REF!</f>
        <v>#REF!</v>
      </c>
      <c r="G570" s="385" t="e">
        <f t="shared" si="54"/>
        <v>#REF!</v>
      </c>
      <c r="I570" s="418"/>
    </row>
    <row r="571" spans="1:9">
      <c r="A571" s="380"/>
      <c r="B571" s="381" t="e">
        <f>MPDP!#REF!</f>
        <v>#REF!</v>
      </c>
      <c r="C571" s="382" t="e">
        <f>MPDP!#REF!</f>
        <v>#REF!</v>
      </c>
      <c r="D571" s="382"/>
      <c r="E571" s="383" t="e">
        <f>MPDP!#REF!</f>
        <v>#REF!</v>
      </c>
      <c r="F571" s="384" t="e">
        <f>MPDP!#REF!</f>
        <v>#REF!</v>
      </c>
      <c r="G571" s="385" t="e">
        <f t="shared" si="54"/>
        <v>#REF!</v>
      </c>
      <c r="I571" s="418"/>
    </row>
    <row r="572" spans="1:9">
      <c r="A572" s="380"/>
      <c r="B572" s="381" t="e">
        <f>MPDP!#REF!</f>
        <v>#REF!</v>
      </c>
      <c r="C572" s="382" t="e">
        <f>MPDP!#REF!</f>
        <v>#REF!</v>
      </c>
      <c r="D572" s="382"/>
      <c r="E572" s="383" t="e">
        <f>MPDP!#REF!</f>
        <v>#REF!</v>
      </c>
      <c r="F572" s="384" t="e">
        <f>MPDP!#REF!</f>
        <v>#REF!</v>
      </c>
      <c r="G572" s="385" t="e">
        <f t="shared" si="54"/>
        <v>#REF!</v>
      </c>
      <c r="I572" s="418"/>
    </row>
    <row r="573" spans="1:9">
      <c r="A573" s="1026" t="s">
        <v>1338</v>
      </c>
      <c r="B573" s="1026"/>
      <c r="C573" s="1026"/>
      <c r="D573" s="1026"/>
      <c r="E573" s="1026"/>
      <c r="F573" s="1026"/>
      <c r="G573" s="389" t="e">
        <f>SUM(G530:G572)</f>
        <v>#REF!</v>
      </c>
    </row>
    <row r="574" spans="1:9">
      <c r="A574" s="1038" t="s">
        <v>1394</v>
      </c>
      <c r="B574" s="1039"/>
      <c r="C574" s="1042" t="s">
        <v>1670</v>
      </c>
      <c r="D574" s="1043"/>
      <c r="E574" s="1043"/>
      <c r="F574" s="1043"/>
      <c r="G574" s="1044"/>
    </row>
    <row r="575" spans="1:9" ht="26.25" customHeight="1">
      <c r="A575" s="1040"/>
      <c r="B575" s="1041"/>
      <c r="C575" s="1045"/>
      <c r="D575" s="1046"/>
      <c r="E575" s="1046"/>
      <c r="F575" s="1046"/>
      <c r="G575" s="1047"/>
    </row>
    <row r="576" spans="1:9">
      <c r="A576" s="390"/>
      <c r="B576" s="391"/>
      <c r="C576" s="392" t="s">
        <v>1395</v>
      </c>
      <c r="D576" s="1048" t="s">
        <v>1396</v>
      </c>
      <c r="E576" s="1049"/>
      <c r="F576" s="393" t="s">
        <v>1397</v>
      </c>
      <c r="G576" s="394"/>
    </row>
    <row r="577" spans="1:7">
      <c r="A577" s="395"/>
      <c r="C577" s="396"/>
      <c r="D577" s="1050"/>
      <c r="E577" s="1051"/>
      <c r="F577" s="395"/>
      <c r="G577" s="397"/>
    </row>
    <row r="578" spans="1:7">
      <c r="A578" s="398" t="s">
        <v>1069</v>
      </c>
      <c r="B578" s="399"/>
      <c r="C578" s="396"/>
      <c r="E578" s="397"/>
      <c r="F578" s="395"/>
      <c r="G578" s="397"/>
    </row>
    <row r="579" spans="1:7">
      <c r="A579" s="398" t="s">
        <v>1070</v>
      </c>
      <c r="B579" s="399"/>
      <c r="C579" s="400" t="s">
        <v>1365</v>
      </c>
      <c r="D579" s="1052" t="s">
        <v>1398</v>
      </c>
      <c r="E579" s="1053"/>
      <c r="F579" s="1052" t="s">
        <v>1371</v>
      </c>
      <c r="G579" s="1053"/>
    </row>
    <row r="580" spans="1:7">
      <c r="A580" s="398" t="s">
        <v>1399</v>
      </c>
      <c r="B580" s="399"/>
      <c r="C580" s="401" t="s">
        <v>1400</v>
      </c>
      <c r="D580" s="1054" t="s">
        <v>1401</v>
      </c>
      <c r="E580" s="1055"/>
      <c r="F580" s="1056" t="s">
        <v>1074</v>
      </c>
      <c r="G580" s="1057"/>
    </row>
    <row r="581" spans="1:7">
      <c r="A581" s="399" t="s">
        <v>1045</v>
      </c>
      <c r="B581" s="402"/>
      <c r="C581" s="403"/>
      <c r="D581" s="404"/>
      <c r="E581" s="405"/>
      <c r="F581" s="406"/>
      <c r="G581" s="405"/>
    </row>
    <row r="582" spans="1:7">
      <c r="A582" s="370" t="s">
        <v>1375</v>
      </c>
      <c r="E582" s="373" t="s">
        <v>1376</v>
      </c>
    </row>
    <row r="583" spans="1:7">
      <c r="E583" s="370" t="s">
        <v>1377</v>
      </c>
    </row>
    <row r="584" spans="1:7">
      <c r="E584" s="1072" t="str">
        <f>E512</f>
        <v xml:space="preserve">COMPLETION, RENOVATION AND 
IMPROVEMENT OF  DAY CARE CENTER
</v>
      </c>
      <c r="F584" s="927"/>
      <c r="G584" s="927"/>
    </row>
    <row r="585" spans="1:7">
      <c r="E585" s="927"/>
      <c r="F585" s="927"/>
      <c r="G585" s="927"/>
    </row>
    <row r="586" spans="1:7">
      <c r="A586" s="370" t="s">
        <v>1378</v>
      </c>
      <c r="E586" s="373" t="s">
        <v>1379</v>
      </c>
    </row>
    <row r="587" spans="1:7">
      <c r="A587" s="370" t="s">
        <v>1380</v>
      </c>
      <c r="E587" s="1032" t="str">
        <f>E515</f>
        <v xml:space="preserve">SITIO BADAC, BARANGAY SARAVIA, PUROK SAN FRANCISCO BARANGAY
NEW PANGASINAN, </v>
      </c>
      <c r="F587" s="1073"/>
      <c r="G587" s="1073"/>
    </row>
    <row r="588" spans="1:7">
      <c r="A588" s="370" t="s">
        <v>1381</v>
      </c>
      <c r="E588" s="1073"/>
      <c r="F588" s="1073"/>
      <c r="G588" s="1073"/>
    </row>
    <row r="589" spans="1:7" ht="15" customHeight="1">
      <c r="E589" s="1032" t="str">
        <f>E517</f>
        <v xml:space="preserve">PUROK BAGONG LIPUNAN BARANGAY SAN ISIDRO AND 
PUROK KAUSWAGAN BARANGAY SARAVIA
</v>
      </c>
      <c r="F589" s="1032"/>
      <c r="G589" s="1032"/>
    </row>
    <row r="590" spans="1:7">
      <c r="E590" s="1032"/>
      <c r="F590" s="1032"/>
      <c r="G590" s="1032"/>
    </row>
    <row r="591" spans="1:7">
      <c r="E591" s="1032"/>
      <c r="F591" s="1032"/>
      <c r="G591" s="1032"/>
    </row>
    <row r="592" spans="1:7">
      <c r="E592" s="1032"/>
      <c r="F592" s="1032"/>
      <c r="G592" s="1032"/>
    </row>
    <row r="593" spans="1:9">
      <c r="E593" s="374"/>
      <c r="F593" s="374"/>
      <c r="G593" s="374"/>
    </row>
    <row r="594" spans="1:9">
      <c r="E594" s="374"/>
      <c r="F594" s="374"/>
      <c r="G594" s="374"/>
    </row>
    <row r="595" spans="1:9">
      <c r="A595" s="1027" t="s">
        <v>1382</v>
      </c>
      <c r="B595" s="1027"/>
      <c r="C595" s="1027"/>
      <c r="D595" s="1027"/>
      <c r="E595" s="1027"/>
      <c r="F595" s="1027"/>
      <c r="G595" s="1027"/>
    </row>
    <row r="596" spans="1:9">
      <c r="A596" s="1028" t="s">
        <v>1383</v>
      </c>
      <c r="B596" s="1027"/>
      <c r="C596" s="1027"/>
      <c r="D596" s="1027"/>
      <c r="E596" s="1027"/>
      <c r="F596" s="1027"/>
      <c r="G596" s="1027"/>
    </row>
    <row r="597" spans="1:9">
      <c r="A597" s="1029" t="s">
        <v>1384</v>
      </c>
      <c r="B597" s="1029"/>
      <c r="C597" s="1029"/>
      <c r="D597" s="1029"/>
      <c r="E597" s="1029"/>
      <c r="F597" s="1029"/>
      <c r="G597" s="1029"/>
    </row>
    <row r="598" spans="1:9" ht="15.75">
      <c r="A598" s="370" t="s">
        <v>1385</v>
      </c>
      <c r="C598" s="376" t="s">
        <v>1386</v>
      </c>
      <c r="D598" s="377"/>
      <c r="E598" s="370" t="s">
        <v>1387</v>
      </c>
      <c r="F598" s="1036" t="str">
        <f>F526</f>
        <v>Date: February 24,2025</v>
      </c>
      <c r="G598" s="1037"/>
    </row>
    <row r="599" spans="1:9">
      <c r="A599" s="370" t="s">
        <v>1388</v>
      </c>
      <c r="E599" s="370" t="s">
        <v>1389</v>
      </c>
    </row>
    <row r="600" spans="1:9">
      <c r="A600" s="378" t="s">
        <v>1390</v>
      </c>
      <c r="B600" s="1066" t="s">
        <v>314</v>
      </c>
      <c r="C600" s="1068" t="s">
        <v>1391</v>
      </c>
      <c r="D600" s="1069"/>
      <c r="E600" s="1066" t="s">
        <v>1392</v>
      </c>
      <c r="F600" s="1066" t="s">
        <v>1393</v>
      </c>
      <c r="G600" s="1066" t="s">
        <v>1052</v>
      </c>
    </row>
    <row r="601" spans="1:9">
      <c r="A601" s="379" t="s">
        <v>1040</v>
      </c>
      <c r="B601" s="1067"/>
      <c r="C601" s="1070"/>
      <c r="D601" s="1071"/>
      <c r="E601" s="1067"/>
      <c r="F601" s="1067"/>
      <c r="G601" s="1067"/>
    </row>
    <row r="602" spans="1:9">
      <c r="A602" s="380"/>
      <c r="B602" s="381" t="e">
        <f>MPDP!#REF!</f>
        <v>#REF!</v>
      </c>
      <c r="C602" s="382" t="e">
        <f>MPDP!#REF!</f>
        <v>#REF!</v>
      </c>
      <c r="D602" s="382"/>
      <c r="E602" s="383" t="e">
        <f>MPDP!#REF!</f>
        <v>#REF!</v>
      </c>
      <c r="F602" s="384" t="e">
        <f>MPDP!#REF!</f>
        <v>#REF!</v>
      </c>
      <c r="G602" s="385" t="e">
        <f t="shared" ref="G602" si="55">F602*E602</f>
        <v>#REF!</v>
      </c>
      <c r="I602" s="418"/>
    </row>
    <row r="603" spans="1:9">
      <c r="A603" s="380"/>
      <c r="B603" s="381" t="e">
        <f>MPDP!#REF!</f>
        <v>#REF!</v>
      </c>
      <c r="C603" s="382" t="e">
        <f>MPDP!#REF!</f>
        <v>#REF!</v>
      </c>
      <c r="D603" s="382"/>
      <c r="E603" s="383" t="e">
        <f>MPDP!#REF!</f>
        <v>#REF!</v>
      </c>
      <c r="F603" s="384" t="e">
        <f>MPDP!#REF!</f>
        <v>#REF!</v>
      </c>
      <c r="G603" s="385" t="e">
        <f t="shared" ref="G603:G616" si="56">F603*E603</f>
        <v>#REF!</v>
      </c>
      <c r="I603" s="418"/>
    </row>
    <row r="604" spans="1:9">
      <c r="A604" s="380"/>
      <c r="B604" s="381" t="e">
        <f>MPDP!#REF!</f>
        <v>#REF!</v>
      </c>
      <c r="C604" s="382" t="e">
        <f>MPDP!#REF!</f>
        <v>#REF!</v>
      </c>
      <c r="D604" s="382"/>
      <c r="E604" s="383" t="e">
        <f>MPDP!#REF!</f>
        <v>#REF!</v>
      </c>
      <c r="F604" s="384" t="e">
        <f>MPDP!#REF!</f>
        <v>#REF!</v>
      </c>
      <c r="G604" s="385" t="e">
        <f t="shared" si="56"/>
        <v>#REF!</v>
      </c>
      <c r="I604" s="418"/>
    </row>
    <row r="605" spans="1:9">
      <c r="A605" s="380"/>
      <c r="B605" s="381" t="e">
        <f>MPDP!#REF!</f>
        <v>#REF!</v>
      </c>
      <c r="C605" s="382" t="e">
        <f>MPDP!#REF!</f>
        <v>#REF!</v>
      </c>
      <c r="D605" s="382"/>
      <c r="E605" s="383" t="e">
        <f>MPDP!#REF!</f>
        <v>#REF!</v>
      </c>
      <c r="F605" s="384" t="e">
        <f>MPDP!#REF!</f>
        <v>#REF!</v>
      </c>
      <c r="G605" s="385" t="e">
        <f t="shared" si="56"/>
        <v>#REF!</v>
      </c>
      <c r="I605" s="418"/>
    </row>
    <row r="606" spans="1:9">
      <c r="A606" s="380"/>
      <c r="B606" s="381" t="e">
        <f>MPDP!#REF!</f>
        <v>#REF!</v>
      </c>
      <c r="C606" s="382" t="e">
        <f>MPDP!#REF!</f>
        <v>#REF!</v>
      </c>
      <c r="D606" s="382"/>
      <c r="E606" s="383" t="e">
        <f>MPDP!#REF!</f>
        <v>#REF!</v>
      </c>
      <c r="F606" s="384" t="e">
        <f>MPDP!#REF!</f>
        <v>#REF!</v>
      </c>
      <c r="G606" s="385" t="e">
        <f t="shared" si="56"/>
        <v>#REF!</v>
      </c>
      <c r="I606" s="418"/>
    </row>
    <row r="607" spans="1:9">
      <c r="A607" s="380"/>
      <c r="B607" s="381" t="e">
        <f>MPDP!#REF!</f>
        <v>#REF!</v>
      </c>
      <c r="C607" s="382" t="e">
        <f>MPDP!#REF!</f>
        <v>#REF!</v>
      </c>
      <c r="D607" s="382"/>
      <c r="E607" s="383" t="e">
        <f>MPDP!#REF!</f>
        <v>#REF!</v>
      </c>
      <c r="F607" s="384" t="e">
        <f>MPDP!#REF!</f>
        <v>#REF!</v>
      </c>
      <c r="G607" s="385" t="e">
        <f t="shared" si="56"/>
        <v>#REF!</v>
      </c>
      <c r="I607" s="418"/>
    </row>
    <row r="608" spans="1:9">
      <c r="A608" s="1059"/>
      <c r="B608" s="1058" t="e">
        <f>MPDP!#REF!</f>
        <v>#REF!</v>
      </c>
      <c r="C608" s="1060" t="e">
        <f>MPDP!#REF!</f>
        <v>#REF!</v>
      </c>
      <c r="D608" s="1061"/>
      <c r="E608" s="1064" t="e">
        <f>MPDP!#REF!</f>
        <v>#REF!</v>
      </c>
      <c r="F608" s="1034" t="e">
        <f>MPDP!#REF!</f>
        <v>#REF!</v>
      </c>
      <c r="G608" s="1035" t="e">
        <f>F608*E608</f>
        <v>#REF!</v>
      </c>
      <c r="I608" s="418"/>
    </row>
    <row r="609" spans="1:9">
      <c r="A609" s="1059"/>
      <c r="B609" s="1058"/>
      <c r="C609" s="1060"/>
      <c r="D609" s="1061"/>
      <c r="E609" s="1064"/>
      <c r="F609" s="1034"/>
      <c r="G609" s="1035"/>
      <c r="I609" s="418"/>
    </row>
    <row r="610" spans="1:9">
      <c r="A610" s="1059"/>
      <c r="B610" s="1058" t="e">
        <f>MPDP!#REF!</f>
        <v>#REF!</v>
      </c>
      <c r="C610" s="1062" t="e">
        <f>MPDP!#REF!</f>
        <v>#REF!</v>
      </c>
      <c r="D610" s="1063"/>
      <c r="E610" s="1064" t="e">
        <f>MPDP!#REF!</f>
        <v>#REF!</v>
      </c>
      <c r="F610" s="1034" t="e">
        <f>MPDP!#REF!</f>
        <v>#REF!</v>
      </c>
      <c r="G610" s="1035" t="e">
        <f t="shared" ref="G610" si="57">F610*E610</f>
        <v>#REF!</v>
      </c>
      <c r="I610" s="418"/>
    </row>
    <row r="611" spans="1:9">
      <c r="A611" s="1059"/>
      <c r="B611" s="1058"/>
      <c r="C611" s="1062"/>
      <c r="D611" s="1063"/>
      <c r="E611" s="1064"/>
      <c r="F611" s="1034"/>
      <c r="G611" s="1035"/>
      <c r="I611" s="418"/>
    </row>
    <row r="612" spans="1:9">
      <c r="A612" s="1059"/>
      <c r="B612" s="1058" t="e">
        <f>MPDP!#REF!</f>
        <v>#REF!</v>
      </c>
      <c r="C612" s="1060" t="e">
        <f>MPDP!#REF!</f>
        <v>#REF!</v>
      </c>
      <c r="D612" s="1061"/>
      <c r="E612" s="1064" t="e">
        <f>MPDP!#REF!</f>
        <v>#REF!</v>
      </c>
      <c r="F612" s="1034" t="e">
        <f>MPDP!#REF!</f>
        <v>#REF!</v>
      </c>
      <c r="G612" s="1035" t="e">
        <f t="shared" ref="G612" si="58">F612*E612</f>
        <v>#REF!</v>
      </c>
      <c r="I612" s="418"/>
    </row>
    <row r="613" spans="1:9">
      <c r="A613" s="1059"/>
      <c r="B613" s="1058"/>
      <c r="C613" s="1060"/>
      <c r="D613" s="1061"/>
      <c r="E613" s="1064"/>
      <c r="F613" s="1034"/>
      <c r="G613" s="1035"/>
      <c r="I613" s="418"/>
    </row>
    <row r="614" spans="1:9">
      <c r="A614" s="1059"/>
      <c r="B614" s="1058" t="e">
        <f>MPDP!#REF!</f>
        <v>#REF!</v>
      </c>
      <c r="C614" s="1060" t="e">
        <f>MPDP!#REF!</f>
        <v>#REF!</v>
      </c>
      <c r="D614" s="1061"/>
      <c r="E614" s="1064" t="e">
        <f>MPDP!#REF!</f>
        <v>#REF!</v>
      </c>
      <c r="F614" s="1034" t="e">
        <f>MPDP!#REF!</f>
        <v>#REF!</v>
      </c>
      <c r="G614" s="1035" t="e">
        <f t="shared" ref="G614" si="59">F614*E614</f>
        <v>#REF!</v>
      </c>
      <c r="I614" s="418"/>
    </row>
    <row r="615" spans="1:9">
      <c r="A615" s="1059"/>
      <c r="B615" s="1058"/>
      <c r="C615" s="1060"/>
      <c r="D615" s="1061"/>
      <c r="E615" s="1064"/>
      <c r="F615" s="1034"/>
      <c r="G615" s="1035"/>
      <c r="I615" s="418"/>
    </row>
    <row r="616" spans="1:9">
      <c r="A616" s="380"/>
      <c r="B616" s="381" t="e">
        <f>MPDP!#REF!</f>
        <v>#REF!</v>
      </c>
      <c r="C616" s="382" t="e">
        <f>MPDP!#REF!</f>
        <v>#REF!</v>
      </c>
      <c r="D616" s="382"/>
      <c r="E616" s="383" t="e">
        <f>MPDP!#REF!</f>
        <v>#REF!</v>
      </c>
      <c r="F616" s="384" t="e">
        <f>MPDP!#REF!</f>
        <v>#REF!</v>
      </c>
      <c r="G616" s="385" t="e">
        <f t="shared" si="56"/>
        <v>#REF!</v>
      </c>
      <c r="I616" s="418"/>
    </row>
    <row r="617" spans="1:9">
      <c r="A617" s="380"/>
      <c r="B617" s="381" t="e">
        <f>MPDP!#REF!</f>
        <v>#REF!</v>
      </c>
      <c r="C617" s="382" t="e">
        <f>MPDP!#REF!</f>
        <v>#REF!</v>
      </c>
      <c r="D617" s="382"/>
      <c r="E617" s="383" t="e">
        <f>MPDP!#REF!</f>
        <v>#REF!</v>
      </c>
      <c r="F617" s="384" t="e">
        <f>MPDP!#REF!</f>
        <v>#REF!</v>
      </c>
      <c r="G617" s="385" t="e">
        <f t="shared" ref="G617:G634" si="60">F617*E617</f>
        <v>#REF!</v>
      </c>
      <c r="I617" s="418"/>
    </row>
    <row r="618" spans="1:9">
      <c r="A618" s="380"/>
      <c r="B618" s="381" t="e">
        <f>MPDP!#REF!</f>
        <v>#REF!</v>
      </c>
      <c r="C618" s="382" t="e">
        <f>MPDP!#REF!</f>
        <v>#REF!</v>
      </c>
      <c r="D618" s="382"/>
      <c r="E618" s="383" t="e">
        <f>MPDP!#REF!</f>
        <v>#REF!</v>
      </c>
      <c r="F618" s="384" t="e">
        <f>MPDP!#REF!</f>
        <v>#REF!</v>
      </c>
      <c r="G618" s="385" t="e">
        <f t="shared" si="60"/>
        <v>#REF!</v>
      </c>
      <c r="I618" s="418"/>
    </row>
    <row r="619" spans="1:9">
      <c r="A619" s="380"/>
      <c r="B619" s="381" t="e">
        <f>MPDP!#REF!</f>
        <v>#REF!</v>
      </c>
      <c r="C619" s="382" t="e">
        <f>MPDP!#REF!</f>
        <v>#REF!</v>
      </c>
      <c r="D619" s="382"/>
      <c r="E619" s="383" t="e">
        <f>MPDP!#REF!</f>
        <v>#REF!</v>
      </c>
      <c r="F619" s="384" t="e">
        <f>MPDP!#REF!</f>
        <v>#REF!</v>
      </c>
      <c r="G619" s="385" t="e">
        <f t="shared" si="60"/>
        <v>#REF!</v>
      </c>
      <c r="I619" s="418"/>
    </row>
    <row r="620" spans="1:9">
      <c r="A620" s="380"/>
      <c r="B620" s="381" t="e">
        <f>MPDP!#REF!</f>
        <v>#REF!</v>
      </c>
      <c r="C620" s="382" t="e">
        <f>MPDP!#REF!</f>
        <v>#REF!</v>
      </c>
      <c r="D620" s="382"/>
      <c r="E620" s="383" t="e">
        <f>MPDP!#REF!</f>
        <v>#REF!</v>
      </c>
      <c r="F620" s="384" t="e">
        <f>MPDP!#REF!</f>
        <v>#REF!</v>
      </c>
      <c r="G620" s="385" t="e">
        <f t="shared" si="60"/>
        <v>#REF!</v>
      </c>
      <c r="I620" s="418"/>
    </row>
    <row r="621" spans="1:9">
      <c r="A621" s="380"/>
      <c r="B621" s="381" t="e">
        <f>MPDP!#REF!</f>
        <v>#REF!</v>
      </c>
      <c r="C621" s="382" t="e">
        <f>MPDP!#REF!</f>
        <v>#REF!</v>
      </c>
      <c r="D621" s="382"/>
      <c r="E621" s="383" t="e">
        <f>MPDP!#REF!</f>
        <v>#REF!</v>
      </c>
      <c r="F621" s="384" t="e">
        <f>MPDP!#REF!</f>
        <v>#REF!</v>
      </c>
      <c r="G621" s="385" t="e">
        <f t="shared" si="60"/>
        <v>#REF!</v>
      </c>
      <c r="I621" s="418"/>
    </row>
    <row r="622" spans="1:9">
      <c r="A622" s="380"/>
      <c r="B622" s="381" t="e">
        <f>MPDP!#REF!</f>
        <v>#REF!</v>
      </c>
      <c r="C622" s="382" t="e">
        <f>MPDP!#REF!</f>
        <v>#REF!</v>
      </c>
      <c r="D622" s="382"/>
      <c r="E622" s="383" t="e">
        <f>MPDP!#REF!</f>
        <v>#REF!</v>
      </c>
      <c r="F622" s="384" t="e">
        <f>MPDP!#REF!</f>
        <v>#REF!</v>
      </c>
      <c r="G622" s="385" t="e">
        <f t="shared" si="60"/>
        <v>#REF!</v>
      </c>
      <c r="I622" s="418"/>
    </row>
    <row r="623" spans="1:9">
      <c r="A623" s="380"/>
      <c r="B623" s="381" t="e">
        <f>MPDP!#REF!</f>
        <v>#REF!</v>
      </c>
      <c r="C623" s="382" t="e">
        <f>MPDP!#REF!</f>
        <v>#REF!</v>
      </c>
      <c r="D623" s="382"/>
      <c r="E623" s="383" t="e">
        <f>MPDP!#REF!</f>
        <v>#REF!</v>
      </c>
      <c r="F623" s="384" t="e">
        <f>MPDP!#REF!</f>
        <v>#REF!</v>
      </c>
      <c r="G623" s="385" t="e">
        <f t="shared" si="60"/>
        <v>#REF!</v>
      </c>
      <c r="I623" s="418"/>
    </row>
    <row r="624" spans="1:9">
      <c r="A624" s="380"/>
      <c r="B624" s="381" t="e">
        <f>MPDP!#REF!</f>
        <v>#REF!</v>
      </c>
      <c r="C624" s="382" t="e">
        <f>MPDP!#REF!</f>
        <v>#REF!</v>
      </c>
      <c r="D624" s="382"/>
      <c r="E624" s="383" t="e">
        <f>MPDP!#REF!</f>
        <v>#REF!</v>
      </c>
      <c r="F624" s="384" t="e">
        <f>MPDP!#REF!</f>
        <v>#REF!</v>
      </c>
      <c r="G624" s="385" t="e">
        <f t="shared" si="60"/>
        <v>#REF!</v>
      </c>
      <c r="I624" s="418"/>
    </row>
    <row r="625" spans="1:9">
      <c r="A625" s="380"/>
      <c r="B625" s="381" t="e">
        <f>MPDP!#REF!</f>
        <v>#REF!</v>
      </c>
      <c r="C625" s="382" t="e">
        <f>MPDP!#REF!</f>
        <v>#REF!</v>
      </c>
      <c r="D625" s="382"/>
      <c r="E625" s="383" t="e">
        <f>MPDP!#REF!</f>
        <v>#REF!</v>
      </c>
      <c r="F625" s="384" t="e">
        <f>MPDP!#REF!</f>
        <v>#REF!</v>
      </c>
      <c r="G625" s="385" t="e">
        <f t="shared" si="60"/>
        <v>#REF!</v>
      </c>
      <c r="I625" s="418"/>
    </row>
    <row r="626" spans="1:9">
      <c r="A626" s="380"/>
      <c r="B626" s="381" t="e">
        <f>MPDP!#REF!</f>
        <v>#REF!</v>
      </c>
      <c r="C626" s="382" t="e">
        <f>MPDP!#REF!</f>
        <v>#REF!</v>
      </c>
      <c r="D626" s="382"/>
      <c r="E626" s="383" t="e">
        <f>MPDP!#REF!</f>
        <v>#REF!</v>
      </c>
      <c r="F626" s="384" t="e">
        <f>MPDP!#REF!</f>
        <v>#REF!</v>
      </c>
      <c r="G626" s="385" t="e">
        <f t="shared" si="60"/>
        <v>#REF!</v>
      </c>
      <c r="I626" s="418"/>
    </row>
    <row r="627" spans="1:9">
      <c r="A627" s="380"/>
      <c r="B627" s="381" t="e">
        <f>MPDP!#REF!</f>
        <v>#REF!</v>
      </c>
      <c r="C627" s="382" t="e">
        <f>MPDP!#REF!</f>
        <v>#REF!</v>
      </c>
      <c r="D627" s="382"/>
      <c r="E627" s="383" t="e">
        <f>MPDP!#REF!</f>
        <v>#REF!</v>
      </c>
      <c r="F627" s="384" t="e">
        <f>MPDP!#REF!</f>
        <v>#REF!</v>
      </c>
      <c r="G627" s="385" t="e">
        <f t="shared" si="60"/>
        <v>#REF!</v>
      </c>
      <c r="I627" s="418"/>
    </row>
    <row r="628" spans="1:9">
      <c r="A628" s="380"/>
      <c r="B628" s="381" t="e">
        <f>MPDP!#REF!</f>
        <v>#REF!</v>
      </c>
      <c r="C628" s="382" t="e">
        <f>MPDP!#REF!</f>
        <v>#REF!</v>
      </c>
      <c r="D628" s="382"/>
      <c r="E628" s="383" t="e">
        <f>MPDP!#REF!</f>
        <v>#REF!</v>
      </c>
      <c r="F628" s="384" t="e">
        <f>MPDP!#REF!</f>
        <v>#REF!</v>
      </c>
      <c r="G628" s="385" t="e">
        <f t="shared" si="60"/>
        <v>#REF!</v>
      </c>
      <c r="I628" s="418"/>
    </row>
    <row r="629" spans="1:9">
      <c r="A629" s="380"/>
      <c r="B629" s="381" t="e">
        <f>MPDP!#REF!</f>
        <v>#REF!</v>
      </c>
      <c r="C629" s="382" t="e">
        <f>MPDP!#REF!</f>
        <v>#REF!</v>
      </c>
      <c r="D629" s="382"/>
      <c r="E629" s="383" t="e">
        <f>MPDP!#REF!</f>
        <v>#REF!</v>
      </c>
      <c r="F629" s="384" t="e">
        <f>MPDP!#REF!</f>
        <v>#REF!</v>
      </c>
      <c r="G629" s="385" t="e">
        <f t="shared" si="60"/>
        <v>#REF!</v>
      </c>
      <c r="I629" s="418"/>
    </row>
    <row r="630" spans="1:9">
      <c r="A630" s="380"/>
      <c r="B630" s="381" t="e">
        <f>MPDP!#REF!</f>
        <v>#REF!</v>
      </c>
      <c r="C630" s="382" t="e">
        <f>MPDP!#REF!</f>
        <v>#REF!</v>
      </c>
      <c r="D630" s="382"/>
      <c r="E630" s="383" t="e">
        <f>MPDP!#REF!</f>
        <v>#REF!</v>
      </c>
      <c r="F630" s="384" t="e">
        <f>MPDP!#REF!</f>
        <v>#REF!</v>
      </c>
      <c r="G630" s="385" t="e">
        <f t="shared" si="60"/>
        <v>#REF!</v>
      </c>
      <c r="I630" s="418"/>
    </row>
    <row r="631" spans="1:9">
      <c r="A631" s="380"/>
      <c r="B631" s="381" t="e">
        <f>MPDP!#REF!</f>
        <v>#REF!</v>
      </c>
      <c r="C631" s="382" t="e">
        <f>MPDP!#REF!</f>
        <v>#REF!</v>
      </c>
      <c r="D631" s="382"/>
      <c r="E631" s="383" t="e">
        <f>MPDP!#REF!</f>
        <v>#REF!</v>
      </c>
      <c r="F631" s="384" t="e">
        <f>MPDP!#REF!</f>
        <v>#REF!</v>
      </c>
      <c r="G631" s="385" t="e">
        <f t="shared" si="60"/>
        <v>#REF!</v>
      </c>
      <c r="I631" s="418"/>
    </row>
    <row r="632" spans="1:9">
      <c r="A632" s="380"/>
      <c r="B632" s="381" t="e">
        <f>MPDP!#REF!</f>
        <v>#REF!</v>
      </c>
      <c r="C632" s="382" t="e">
        <f>MPDP!#REF!</f>
        <v>#REF!</v>
      </c>
      <c r="D632" s="382"/>
      <c r="E632" s="383" t="e">
        <f>MPDP!#REF!</f>
        <v>#REF!</v>
      </c>
      <c r="F632" s="384" t="e">
        <f>MPDP!#REF!</f>
        <v>#REF!</v>
      </c>
      <c r="G632" s="385" t="e">
        <f t="shared" si="60"/>
        <v>#REF!</v>
      </c>
      <c r="I632" s="418"/>
    </row>
    <row r="633" spans="1:9">
      <c r="A633" s="380"/>
      <c r="B633" s="381" t="e">
        <f>MPDP!#REF!</f>
        <v>#REF!</v>
      </c>
      <c r="C633" s="382" t="e">
        <f>MPDP!#REF!</f>
        <v>#REF!</v>
      </c>
      <c r="D633" s="382"/>
      <c r="E633" s="383" t="e">
        <f>MPDP!#REF!</f>
        <v>#REF!</v>
      </c>
      <c r="F633" s="384" t="e">
        <f>MPDP!#REF!</f>
        <v>#REF!</v>
      </c>
      <c r="G633" s="385" t="e">
        <f t="shared" si="60"/>
        <v>#REF!</v>
      </c>
      <c r="I633" s="418"/>
    </row>
    <row r="634" spans="1:9">
      <c r="A634" s="380"/>
      <c r="B634" s="381" t="e">
        <f>MPDP!#REF!</f>
        <v>#REF!</v>
      </c>
      <c r="C634" s="382" t="e">
        <f>MPDP!#REF!</f>
        <v>#REF!</v>
      </c>
      <c r="D634" s="382"/>
      <c r="E634" s="383" t="e">
        <f>MPDP!#REF!</f>
        <v>#REF!</v>
      </c>
      <c r="F634" s="384" t="e">
        <f>MPDP!#REF!</f>
        <v>#REF!</v>
      </c>
      <c r="G634" s="385" t="e">
        <f t="shared" si="60"/>
        <v>#REF!</v>
      </c>
      <c r="I634" s="418"/>
    </row>
    <row r="635" spans="1:9">
      <c r="A635" s="380"/>
      <c r="B635" s="381" t="str">
        <f>MPDP!E157</f>
        <v>lots</v>
      </c>
      <c r="C635" s="382" t="str">
        <f>MPDP!C156</f>
        <v>Tarpaulin with wood Frame (8'x8')</v>
      </c>
      <c r="D635" s="382"/>
      <c r="E635" s="383">
        <f>MPDP!D157</f>
        <v>1</v>
      </c>
      <c r="F635" s="384">
        <f>MPDP!F157</f>
        <v>2000</v>
      </c>
      <c r="G635" s="385">
        <f>F635*E635</f>
        <v>2000</v>
      </c>
      <c r="I635" s="418"/>
    </row>
    <row r="636" spans="1:9">
      <c r="A636" s="380"/>
      <c r="B636" s="381"/>
      <c r="C636" s="1030" t="s">
        <v>1402</v>
      </c>
      <c r="D636" s="1031"/>
      <c r="E636" s="383"/>
      <c r="F636" s="384"/>
      <c r="G636" s="385"/>
      <c r="I636" s="418"/>
    </row>
    <row r="637" spans="1:9">
      <c r="A637" s="380"/>
      <c r="B637" s="381"/>
      <c r="C637" s="769"/>
      <c r="D637" s="769"/>
      <c r="E637" s="383"/>
      <c r="F637" s="384"/>
      <c r="G637" s="385"/>
      <c r="I637" s="418"/>
    </row>
    <row r="638" spans="1:9">
      <c r="A638" s="380"/>
      <c r="B638" s="381"/>
      <c r="C638" s="1030" t="s">
        <v>1403</v>
      </c>
      <c r="D638" s="1031"/>
      <c r="E638" s="383"/>
      <c r="F638" s="384"/>
      <c r="G638" s="385"/>
      <c r="I638" s="418"/>
    </row>
    <row r="639" spans="1:9">
      <c r="A639" s="380"/>
      <c r="B639" s="381"/>
      <c r="C639" s="382"/>
      <c r="D639" s="382"/>
      <c r="E639" s="383"/>
      <c r="F639" s="384"/>
      <c r="G639" s="385"/>
      <c r="I639" s="418"/>
    </row>
    <row r="640" spans="1:9">
      <c r="A640" s="380"/>
      <c r="B640" s="381"/>
      <c r="C640" s="382"/>
      <c r="D640" s="382"/>
      <c r="E640" s="383"/>
      <c r="F640" s="384"/>
      <c r="G640" s="385"/>
      <c r="I640" s="418"/>
    </row>
    <row r="641" spans="1:9">
      <c r="A641" s="380"/>
      <c r="B641" s="381"/>
      <c r="C641" s="382"/>
      <c r="D641" s="382"/>
      <c r="E641" s="383"/>
      <c r="F641" s="384"/>
      <c r="G641" s="385"/>
      <c r="I641" s="418"/>
    </row>
    <row r="642" spans="1:9">
      <c r="A642" s="380"/>
      <c r="B642" s="381"/>
      <c r="C642" s="382"/>
      <c r="D642" s="382"/>
      <c r="E642" s="383"/>
      <c r="F642" s="384"/>
      <c r="G642" s="385"/>
      <c r="I642" s="418"/>
    </row>
    <row r="643" spans="1:9">
      <c r="A643" s="380"/>
      <c r="B643" s="381"/>
      <c r="C643" s="382"/>
      <c r="D643" s="382"/>
      <c r="E643" s="383"/>
      <c r="F643" s="384"/>
      <c r="G643" s="385"/>
      <c r="I643" s="418"/>
    </row>
    <row r="644" spans="1:9">
      <c r="A644" s="380"/>
      <c r="B644" s="381"/>
      <c r="C644" s="382"/>
      <c r="D644" s="382"/>
      <c r="E644" s="383"/>
      <c r="F644" s="384"/>
      <c r="G644" s="385"/>
      <c r="I644" s="418"/>
    </row>
    <row r="645" spans="1:9">
      <c r="A645" s="1026" t="s">
        <v>1338</v>
      </c>
      <c r="B645" s="1026"/>
      <c r="C645" s="1026"/>
      <c r="D645" s="1026"/>
      <c r="E645" s="1026"/>
      <c r="F645" s="1026"/>
      <c r="G645" s="389" t="e">
        <f>SUM(G602:G643)</f>
        <v>#REF!</v>
      </c>
    </row>
    <row r="646" spans="1:9">
      <c r="A646" s="1065" t="s">
        <v>1334</v>
      </c>
      <c r="B646" s="1026"/>
      <c r="C646" s="1026"/>
      <c r="D646" s="1026"/>
      <c r="E646" s="1026"/>
      <c r="F646" s="1026"/>
      <c r="G646" s="389" t="e">
        <f>SUM(G645,G573,G501,G429,G357,G284,G211,G137,G63,)</f>
        <v>#REF!</v>
      </c>
      <c r="H646" s="371" t="e">
        <f>G646-SUMARRY!H129</f>
        <v>#REF!</v>
      </c>
    </row>
    <row r="647" spans="1:9">
      <c r="A647" s="1038" t="s">
        <v>1394</v>
      </c>
      <c r="B647" s="1039"/>
      <c r="C647" s="1042" t="s">
        <v>1670</v>
      </c>
      <c r="D647" s="1043"/>
      <c r="E647" s="1043"/>
      <c r="F647" s="1043"/>
      <c r="G647" s="1044"/>
    </row>
    <row r="648" spans="1:9" ht="26.25" customHeight="1">
      <c r="A648" s="1040"/>
      <c r="B648" s="1041"/>
      <c r="C648" s="1045"/>
      <c r="D648" s="1046"/>
      <c r="E648" s="1046"/>
      <c r="F648" s="1046"/>
      <c r="G648" s="1047"/>
    </row>
    <row r="649" spans="1:9">
      <c r="A649" s="390"/>
      <c r="B649" s="391"/>
      <c r="C649" s="392" t="s">
        <v>1395</v>
      </c>
      <c r="D649" s="1048" t="s">
        <v>1396</v>
      </c>
      <c r="E649" s="1049"/>
      <c r="F649" s="393" t="s">
        <v>1397</v>
      </c>
      <c r="G649" s="394"/>
    </row>
    <row r="650" spans="1:9">
      <c r="A650" s="395"/>
      <c r="C650" s="396"/>
      <c r="D650" s="1050"/>
      <c r="E650" s="1051"/>
      <c r="F650" s="395"/>
      <c r="G650" s="397"/>
    </row>
    <row r="651" spans="1:9">
      <c r="A651" s="398" t="s">
        <v>1069</v>
      </c>
      <c r="B651" s="399"/>
      <c r="C651" s="396"/>
      <c r="E651" s="397"/>
      <c r="F651" s="395"/>
      <c r="G651" s="397"/>
    </row>
    <row r="652" spans="1:9">
      <c r="A652" s="398" t="s">
        <v>1070</v>
      </c>
      <c r="B652" s="399"/>
      <c r="C652" s="400" t="s">
        <v>1365</v>
      </c>
      <c r="D652" s="1052" t="s">
        <v>1398</v>
      </c>
      <c r="E652" s="1053"/>
      <c r="F652" s="1052" t="s">
        <v>1371</v>
      </c>
      <c r="G652" s="1053"/>
    </row>
    <row r="653" spans="1:9">
      <c r="A653" s="398" t="s">
        <v>1399</v>
      </c>
      <c r="B653" s="399"/>
      <c r="C653" s="401" t="s">
        <v>1400</v>
      </c>
      <c r="D653" s="1054" t="s">
        <v>1401</v>
      </c>
      <c r="E653" s="1055"/>
      <c r="F653" s="1056" t="s">
        <v>1074</v>
      </c>
      <c r="G653" s="1057"/>
    </row>
    <row r="654" spans="1:9">
      <c r="A654" s="399" t="s">
        <v>1045</v>
      </c>
      <c r="B654" s="402"/>
      <c r="C654" s="403"/>
      <c r="D654" s="404"/>
      <c r="E654" s="405"/>
      <c r="F654" s="406"/>
      <c r="G654" s="405"/>
    </row>
  </sheetData>
  <mergeCells count="518">
    <mergeCell ref="C50:D50"/>
    <mergeCell ref="C35:D35"/>
    <mergeCell ref="C36:D36"/>
    <mergeCell ref="C24:D24"/>
    <mergeCell ref="C23:D23"/>
    <mergeCell ref="I8:O8"/>
    <mergeCell ref="A13:G13"/>
    <mergeCell ref="A14:G14"/>
    <mergeCell ref="N14:O14"/>
    <mergeCell ref="A15:G15"/>
    <mergeCell ref="F16:G16"/>
    <mergeCell ref="C21:D21"/>
    <mergeCell ref="C22:D22"/>
    <mergeCell ref="J16:J17"/>
    <mergeCell ref="K16:K17"/>
    <mergeCell ref="M16:M17"/>
    <mergeCell ref="N16:N17"/>
    <mergeCell ref="O16:O17"/>
    <mergeCell ref="C38:D38"/>
    <mergeCell ref="C46:D46"/>
    <mergeCell ref="C47:D47"/>
    <mergeCell ref="C48:D48"/>
    <mergeCell ref="C49:D49"/>
    <mergeCell ref="C34:D34"/>
    <mergeCell ref="C105:D105"/>
    <mergeCell ref="C106:D106"/>
    <mergeCell ref="C91:D92"/>
    <mergeCell ref="I63:N63"/>
    <mergeCell ref="D69:E69"/>
    <mergeCell ref="F69:G69"/>
    <mergeCell ref="D70:E70"/>
    <mergeCell ref="F70:G70"/>
    <mergeCell ref="A64:B65"/>
    <mergeCell ref="C59:D59"/>
    <mergeCell ref="C60:D60"/>
    <mergeCell ref="C61:D61"/>
    <mergeCell ref="A86:G86"/>
    <mergeCell ref="A87:G87"/>
    <mergeCell ref="A88:G88"/>
    <mergeCell ref="F89:G89"/>
    <mergeCell ref="C54:D54"/>
    <mergeCell ref="C55:D55"/>
    <mergeCell ref="C56:D56"/>
    <mergeCell ref="C57:D57"/>
    <mergeCell ref="C58:D58"/>
    <mergeCell ref="C62:D62"/>
    <mergeCell ref="E75:G76"/>
    <mergeCell ref="E78:G79"/>
    <mergeCell ref="A63:F63"/>
    <mergeCell ref="C51:D51"/>
    <mergeCell ref="C52:D52"/>
    <mergeCell ref="C53:D53"/>
    <mergeCell ref="E114:E115"/>
    <mergeCell ref="F114:F115"/>
    <mergeCell ref="G114:G115"/>
    <mergeCell ref="A116:A117"/>
    <mergeCell ref="B116:B117"/>
    <mergeCell ref="E116:E117"/>
    <mergeCell ref="F116:F117"/>
    <mergeCell ref="G116:G117"/>
    <mergeCell ref="C107:D107"/>
    <mergeCell ref="C108:D108"/>
    <mergeCell ref="A114:A115"/>
    <mergeCell ref="B114:B115"/>
    <mergeCell ref="C114:D115"/>
    <mergeCell ref="C109:D109"/>
    <mergeCell ref="C110:D110"/>
    <mergeCell ref="C111:D111"/>
    <mergeCell ref="C112:D113"/>
    <mergeCell ref="B112:B113"/>
    <mergeCell ref="A112:A113"/>
    <mergeCell ref="E112:E113"/>
    <mergeCell ref="F112:F113"/>
    <mergeCell ref="G112:G113"/>
    <mergeCell ref="C180:D180"/>
    <mergeCell ref="C181:D181"/>
    <mergeCell ref="C120:D120"/>
    <mergeCell ref="C121:D121"/>
    <mergeCell ref="C122:D122"/>
    <mergeCell ref="C116:D117"/>
    <mergeCell ref="D144:E144"/>
    <mergeCell ref="F144:G144"/>
    <mergeCell ref="A160:G160"/>
    <mergeCell ref="A161:G161"/>
    <mergeCell ref="A162:G162"/>
    <mergeCell ref="F163:G163"/>
    <mergeCell ref="A118:A119"/>
    <mergeCell ref="B118:B119"/>
    <mergeCell ref="C118:D119"/>
    <mergeCell ref="E118:E119"/>
    <mergeCell ref="F118:F119"/>
    <mergeCell ref="G118:G119"/>
    <mergeCell ref="A137:F137"/>
    <mergeCell ref="D143:E143"/>
    <mergeCell ref="F143:G143"/>
    <mergeCell ref="A138:B139"/>
    <mergeCell ref="C138:G139"/>
    <mergeCell ref="D140:E141"/>
    <mergeCell ref="D217:E217"/>
    <mergeCell ref="F217:G217"/>
    <mergeCell ref="D218:E218"/>
    <mergeCell ref="F218:G218"/>
    <mergeCell ref="B18:B19"/>
    <mergeCell ref="B91:B92"/>
    <mergeCell ref="B165:B166"/>
    <mergeCell ref="E18:E19"/>
    <mergeCell ref="E91:E92"/>
    <mergeCell ref="E165:E166"/>
    <mergeCell ref="F18:F19"/>
    <mergeCell ref="F91:F92"/>
    <mergeCell ref="F165:F166"/>
    <mergeCell ref="G18:G19"/>
    <mergeCell ref="G91:G92"/>
    <mergeCell ref="G165:G166"/>
    <mergeCell ref="A212:B213"/>
    <mergeCell ref="C212:G213"/>
    <mergeCell ref="D214:E215"/>
    <mergeCell ref="C165:D166"/>
    <mergeCell ref="E149:G150"/>
    <mergeCell ref="E152:G153"/>
    <mergeCell ref="A211:F211"/>
    <mergeCell ref="C179:D179"/>
    <mergeCell ref="E4:G5"/>
    <mergeCell ref="E7:G8"/>
    <mergeCell ref="C18:D19"/>
    <mergeCell ref="C64:G65"/>
    <mergeCell ref="D66:E67"/>
    <mergeCell ref="A20:G20"/>
    <mergeCell ref="C39:D39"/>
    <mergeCell ref="C40:D40"/>
    <mergeCell ref="C41:D41"/>
    <mergeCell ref="C42:D42"/>
    <mergeCell ref="C43:D43"/>
    <mergeCell ref="C44:D44"/>
    <mergeCell ref="C45:D45"/>
    <mergeCell ref="C25:D25"/>
    <mergeCell ref="C26:D26"/>
    <mergeCell ref="C27:D27"/>
    <mergeCell ref="C28:D28"/>
    <mergeCell ref="C29:D29"/>
    <mergeCell ref="C30:D30"/>
    <mergeCell ref="C31:D31"/>
    <mergeCell ref="C32:D32"/>
    <mergeCell ref="C37:D37"/>
    <mergeCell ref="C33:D33"/>
    <mergeCell ref="E223:G224"/>
    <mergeCell ref="E226:G227"/>
    <mergeCell ref="A234:G234"/>
    <mergeCell ref="A235:G235"/>
    <mergeCell ref="A236:G236"/>
    <mergeCell ref="F237:G237"/>
    <mergeCell ref="B239:B240"/>
    <mergeCell ref="C239:D240"/>
    <mergeCell ref="E239:E240"/>
    <mergeCell ref="F239:F240"/>
    <mergeCell ref="G239:G240"/>
    <mergeCell ref="C242:D242"/>
    <mergeCell ref="C243:D243"/>
    <mergeCell ref="C244:D244"/>
    <mergeCell ref="C245:D245"/>
    <mergeCell ref="C246:D246"/>
    <mergeCell ref="C247:D247"/>
    <mergeCell ref="C248:D248"/>
    <mergeCell ref="C251:D251"/>
    <mergeCell ref="C249:D249"/>
    <mergeCell ref="C250:D250"/>
    <mergeCell ref="A285:B286"/>
    <mergeCell ref="C285:G286"/>
    <mergeCell ref="D287:E288"/>
    <mergeCell ref="D290:E290"/>
    <mergeCell ref="F290:G290"/>
    <mergeCell ref="D291:E291"/>
    <mergeCell ref="F291:G291"/>
    <mergeCell ref="C267:D267"/>
    <mergeCell ref="C268:D268"/>
    <mergeCell ref="C269:D269"/>
    <mergeCell ref="C270:D270"/>
    <mergeCell ref="C282:D282"/>
    <mergeCell ref="C255:D255"/>
    <mergeCell ref="C256:D256"/>
    <mergeCell ref="C252:D252"/>
    <mergeCell ref="C253:D253"/>
    <mergeCell ref="A182:G182"/>
    <mergeCell ref="C198:D198"/>
    <mergeCell ref="C188:D188"/>
    <mergeCell ref="C194:D194"/>
    <mergeCell ref="C195:D195"/>
    <mergeCell ref="C186:D186"/>
    <mergeCell ref="C187:D187"/>
    <mergeCell ref="C193:D193"/>
    <mergeCell ref="C196:D196"/>
    <mergeCell ref="C197:D197"/>
    <mergeCell ref="C189:D189"/>
    <mergeCell ref="C190:D190"/>
    <mergeCell ref="C191:D191"/>
    <mergeCell ref="C192:D192"/>
    <mergeCell ref="C207:D207"/>
    <mergeCell ref="C208:D208"/>
    <mergeCell ref="C209:D209"/>
    <mergeCell ref="C210:D210"/>
    <mergeCell ref="C201:D201"/>
    <mergeCell ref="C241:D241"/>
    <mergeCell ref="C202:D202"/>
    <mergeCell ref="C206:D206"/>
    <mergeCell ref="C205:D205"/>
    <mergeCell ref="C183:D183"/>
    <mergeCell ref="C184:D184"/>
    <mergeCell ref="C185:D185"/>
    <mergeCell ref="C200:D200"/>
    <mergeCell ref="C199:D199"/>
    <mergeCell ref="E274:E275"/>
    <mergeCell ref="C274:D275"/>
    <mergeCell ref="C266:D266"/>
    <mergeCell ref="C271:D271"/>
    <mergeCell ref="C272:D272"/>
    <mergeCell ref="C273:D273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54:D254"/>
    <mergeCell ref="E296:G297"/>
    <mergeCell ref="E299:G300"/>
    <mergeCell ref="A307:G307"/>
    <mergeCell ref="A308:G308"/>
    <mergeCell ref="F274:F275"/>
    <mergeCell ref="G274:G275"/>
    <mergeCell ref="A276:A277"/>
    <mergeCell ref="B276:B277"/>
    <mergeCell ref="C276:D277"/>
    <mergeCell ref="E276:E277"/>
    <mergeCell ref="F276:F277"/>
    <mergeCell ref="G276:G277"/>
    <mergeCell ref="A278:A279"/>
    <mergeCell ref="B278:B279"/>
    <mergeCell ref="C278:D279"/>
    <mergeCell ref="E278:E279"/>
    <mergeCell ref="F278:F279"/>
    <mergeCell ref="G278:G279"/>
    <mergeCell ref="C280:D280"/>
    <mergeCell ref="C281:D281"/>
    <mergeCell ref="C283:D283"/>
    <mergeCell ref="B274:B275"/>
    <mergeCell ref="A274:A275"/>
    <mergeCell ref="A284:F284"/>
    <mergeCell ref="A309:G309"/>
    <mergeCell ref="F310:G310"/>
    <mergeCell ref="B312:B313"/>
    <mergeCell ref="C312:D313"/>
    <mergeCell ref="E312:E313"/>
    <mergeCell ref="F312:F313"/>
    <mergeCell ref="G312:G313"/>
    <mergeCell ref="C314:D314"/>
    <mergeCell ref="C315:D315"/>
    <mergeCell ref="C325:D325"/>
    <mergeCell ref="C326:D326"/>
    <mergeCell ref="C327:D327"/>
    <mergeCell ref="C328:D328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54:D354"/>
    <mergeCell ref="C355:D355"/>
    <mergeCell ref="C356:D356"/>
    <mergeCell ref="C343:D343"/>
    <mergeCell ref="C337:D337"/>
    <mergeCell ref="C338:D338"/>
    <mergeCell ref="C339:D339"/>
    <mergeCell ref="C341:D341"/>
    <mergeCell ref="C329:D329"/>
    <mergeCell ref="D364:E364"/>
    <mergeCell ref="F364:G364"/>
    <mergeCell ref="C330:D330"/>
    <mergeCell ref="C331:D331"/>
    <mergeCell ref="C342:D342"/>
    <mergeCell ref="C332:D332"/>
    <mergeCell ref="C333:D333"/>
    <mergeCell ref="C334:D334"/>
    <mergeCell ref="C335:D335"/>
    <mergeCell ref="C347:D347"/>
    <mergeCell ref="A336:G336"/>
    <mergeCell ref="C351:D351"/>
    <mergeCell ref="C352:D352"/>
    <mergeCell ref="C353:D353"/>
    <mergeCell ref="C348:D348"/>
    <mergeCell ref="C349:D349"/>
    <mergeCell ref="C350:D350"/>
    <mergeCell ref="C340:D340"/>
    <mergeCell ref="A357:F357"/>
    <mergeCell ref="A358:B359"/>
    <mergeCell ref="C358:G359"/>
    <mergeCell ref="D360:E361"/>
    <mergeCell ref="D363:E363"/>
    <mergeCell ref="F363:G363"/>
    <mergeCell ref="E368:G369"/>
    <mergeCell ref="E371:G372"/>
    <mergeCell ref="A379:G379"/>
    <mergeCell ref="A380:G380"/>
    <mergeCell ref="A381:G381"/>
    <mergeCell ref="F382:G382"/>
    <mergeCell ref="B384:B385"/>
    <mergeCell ref="C384:D385"/>
    <mergeCell ref="E384:E385"/>
    <mergeCell ref="F384:F385"/>
    <mergeCell ref="G384:G385"/>
    <mergeCell ref="C394:D394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5:D395"/>
    <mergeCell ref="C396:D396"/>
    <mergeCell ref="C397:D397"/>
    <mergeCell ref="C401:D401"/>
    <mergeCell ref="C402:D402"/>
    <mergeCell ref="C403:D403"/>
    <mergeCell ref="C404:D404"/>
    <mergeCell ref="C405:D405"/>
    <mergeCell ref="C406:D406"/>
    <mergeCell ref="C410:D410"/>
    <mergeCell ref="C411:D411"/>
    <mergeCell ref="A429:F429"/>
    <mergeCell ref="A430:B431"/>
    <mergeCell ref="C430:G431"/>
    <mergeCell ref="D432:E433"/>
    <mergeCell ref="D435:E435"/>
    <mergeCell ref="F435:G435"/>
    <mergeCell ref="B427:B428"/>
    <mergeCell ref="C427:D428"/>
    <mergeCell ref="E427:E428"/>
    <mergeCell ref="F427:F428"/>
    <mergeCell ref="G427:G428"/>
    <mergeCell ref="E460:E461"/>
    <mergeCell ref="D436:E436"/>
    <mergeCell ref="F436:G436"/>
    <mergeCell ref="C398:D398"/>
    <mergeCell ref="C399:D399"/>
    <mergeCell ref="C400:D400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07:D407"/>
    <mergeCell ref="C424:D424"/>
    <mergeCell ref="C425:D425"/>
    <mergeCell ref="C426:D426"/>
    <mergeCell ref="C408:D408"/>
    <mergeCell ref="C409:D409"/>
    <mergeCell ref="C482:D482"/>
    <mergeCell ref="C464:D464"/>
    <mergeCell ref="C465:D465"/>
    <mergeCell ref="C466:D466"/>
    <mergeCell ref="E440:G441"/>
    <mergeCell ref="E443:G444"/>
    <mergeCell ref="A451:G451"/>
    <mergeCell ref="A452:G452"/>
    <mergeCell ref="A453:G453"/>
    <mergeCell ref="F454:G454"/>
    <mergeCell ref="B456:B457"/>
    <mergeCell ref="C456:D457"/>
    <mergeCell ref="E456:E457"/>
    <mergeCell ref="F456:F457"/>
    <mergeCell ref="G456:G457"/>
    <mergeCell ref="B458:B459"/>
    <mergeCell ref="C458:D459"/>
    <mergeCell ref="E458:E459"/>
    <mergeCell ref="F458:F459"/>
    <mergeCell ref="G458:G459"/>
    <mergeCell ref="A458:A459"/>
    <mergeCell ref="A460:A461"/>
    <mergeCell ref="B460:B461"/>
    <mergeCell ref="C460:D461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F460:F461"/>
    <mergeCell ref="G460:G461"/>
    <mergeCell ref="A462:A463"/>
    <mergeCell ref="B462:B463"/>
    <mergeCell ref="C462:D463"/>
    <mergeCell ref="E462:E463"/>
    <mergeCell ref="F462:F463"/>
    <mergeCell ref="G462:G463"/>
    <mergeCell ref="C492:D492"/>
    <mergeCell ref="C491:D491"/>
    <mergeCell ref="C490:D490"/>
    <mergeCell ref="C483:D483"/>
    <mergeCell ref="C484:D484"/>
    <mergeCell ref="C485:D485"/>
    <mergeCell ref="C486:D486"/>
    <mergeCell ref="C487:D487"/>
    <mergeCell ref="C488:D488"/>
    <mergeCell ref="C489:D489"/>
    <mergeCell ref="C476:D476"/>
    <mergeCell ref="C477:D477"/>
    <mergeCell ref="C478:D478"/>
    <mergeCell ref="C479:D479"/>
    <mergeCell ref="C480:D480"/>
    <mergeCell ref="C481:D481"/>
    <mergeCell ref="A573:F573"/>
    <mergeCell ref="A574:B575"/>
    <mergeCell ref="C574:G575"/>
    <mergeCell ref="E512:G513"/>
    <mergeCell ref="E515:G516"/>
    <mergeCell ref="A523:G523"/>
    <mergeCell ref="A524:G524"/>
    <mergeCell ref="A525:G525"/>
    <mergeCell ref="F526:G526"/>
    <mergeCell ref="B528:B529"/>
    <mergeCell ref="C528:D529"/>
    <mergeCell ref="E528:E529"/>
    <mergeCell ref="F528:F529"/>
    <mergeCell ref="G528:G529"/>
    <mergeCell ref="A501:F501"/>
    <mergeCell ref="A502:B503"/>
    <mergeCell ref="C502:G503"/>
    <mergeCell ref="D504:E505"/>
    <mergeCell ref="D507:E507"/>
    <mergeCell ref="F507:G507"/>
    <mergeCell ref="D508:E508"/>
    <mergeCell ref="F508:G508"/>
    <mergeCell ref="C493:D493"/>
    <mergeCell ref="C497:D497"/>
    <mergeCell ref="C498:D498"/>
    <mergeCell ref="C499:D499"/>
    <mergeCell ref="C500:D500"/>
    <mergeCell ref="A496:G496"/>
    <mergeCell ref="C495:D495"/>
    <mergeCell ref="C494:D494"/>
    <mergeCell ref="B600:B601"/>
    <mergeCell ref="C600:D601"/>
    <mergeCell ref="E600:E601"/>
    <mergeCell ref="F600:F601"/>
    <mergeCell ref="G600:G601"/>
    <mergeCell ref="D576:E577"/>
    <mergeCell ref="D579:E579"/>
    <mergeCell ref="F579:G579"/>
    <mergeCell ref="D580:E580"/>
    <mergeCell ref="F580:G580"/>
    <mergeCell ref="E584:G585"/>
    <mergeCell ref="E587:G588"/>
    <mergeCell ref="A647:B648"/>
    <mergeCell ref="C647:G648"/>
    <mergeCell ref="D649:E650"/>
    <mergeCell ref="D652:E652"/>
    <mergeCell ref="F652:G652"/>
    <mergeCell ref="D653:E653"/>
    <mergeCell ref="F653:G653"/>
    <mergeCell ref="B608:B609"/>
    <mergeCell ref="A608:A609"/>
    <mergeCell ref="A610:A611"/>
    <mergeCell ref="A612:A613"/>
    <mergeCell ref="A614:A615"/>
    <mergeCell ref="B610:B611"/>
    <mergeCell ref="B612:B613"/>
    <mergeCell ref="B614:B615"/>
    <mergeCell ref="C608:D609"/>
    <mergeCell ref="C610:D611"/>
    <mergeCell ref="C612:D613"/>
    <mergeCell ref="C614:D615"/>
    <mergeCell ref="E608:E609"/>
    <mergeCell ref="E610:E611"/>
    <mergeCell ref="E612:E613"/>
    <mergeCell ref="E614:E615"/>
    <mergeCell ref="A646:F646"/>
    <mergeCell ref="A645:F645"/>
    <mergeCell ref="A595:G595"/>
    <mergeCell ref="A596:G596"/>
    <mergeCell ref="A597:G597"/>
    <mergeCell ref="C636:D636"/>
    <mergeCell ref="C638:D638"/>
    <mergeCell ref="E9:G12"/>
    <mergeCell ref="E80:G83"/>
    <mergeCell ref="E154:G157"/>
    <mergeCell ref="E228:G231"/>
    <mergeCell ref="E301:G304"/>
    <mergeCell ref="E373:G376"/>
    <mergeCell ref="E445:G448"/>
    <mergeCell ref="E517:G520"/>
    <mergeCell ref="E589:G592"/>
    <mergeCell ref="F608:F609"/>
    <mergeCell ref="F610:F611"/>
    <mergeCell ref="F612:F613"/>
    <mergeCell ref="F614:F615"/>
    <mergeCell ref="G608:G609"/>
    <mergeCell ref="G610:G611"/>
    <mergeCell ref="G612:G613"/>
    <mergeCell ref="G614:G615"/>
    <mergeCell ref="F598:G598"/>
  </mergeCells>
  <printOptions horizontalCentered="1"/>
  <pageMargins left="0.7" right="0.7" top="0.75" bottom="0.75" header="0.3" footer="0.3"/>
  <pageSetup paperSize="14" scale="16" fitToHeight="2" orientation="portrait" horizontalDpi="1200" verticalDpi="1200" r:id="rId1"/>
  <headerFooter>
    <oddFooter xml:space="preserve">&amp;C&amp;P
</oddFooter>
  </headerFooter>
  <rowBreaks count="8" manualBreakCount="8">
    <brk id="71" max="6" man="1"/>
    <brk id="145" max="6" man="1"/>
    <brk id="219" max="6" man="1"/>
    <brk id="292" max="16383" man="1"/>
    <brk id="365" max="6" man="1"/>
    <brk id="437" max="6" man="1"/>
    <brk id="509" max="6" man="1"/>
    <brk id="581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372"/>
  <sheetViews>
    <sheetView zoomScale="115" zoomScaleNormal="115" workbookViewId="0">
      <pane ySplit="8" topLeftCell="A256" activePane="bottomLeft" state="frozen"/>
      <selection activeCell="C318" sqref="C318"/>
      <selection pane="bottomLeft" activeCell="C318" sqref="C318"/>
    </sheetView>
  </sheetViews>
  <sheetFormatPr defaultColWidth="9.140625" defaultRowHeight="15" customHeight="1"/>
  <cols>
    <col min="1" max="1" width="16.85546875" style="299" customWidth="1"/>
    <col min="2" max="2" width="30.5703125" style="299" customWidth="1"/>
    <col min="3" max="3" width="41.28515625" style="315" customWidth="1"/>
    <col min="4" max="4" width="16.42578125" style="299" customWidth="1"/>
    <col min="5" max="5" width="14.5703125" style="299" customWidth="1"/>
    <col min="6" max="7" width="13.85546875" style="299" customWidth="1"/>
    <col min="8" max="8" width="13.140625" style="299" customWidth="1"/>
    <col min="9" max="9" width="11.85546875" style="299" customWidth="1"/>
    <col min="10" max="10" width="14" style="299" customWidth="1"/>
    <col min="11" max="11" width="11.85546875" style="299" customWidth="1"/>
    <col min="12" max="12" width="9.5703125" style="299" customWidth="1"/>
    <col min="13" max="14" width="9.28515625" style="299" customWidth="1"/>
    <col min="15" max="16384" width="9.140625" style="299"/>
  </cols>
  <sheetData>
    <row r="1" spans="1:16" ht="15" customHeight="1">
      <c r="A1" s="1111" t="s">
        <v>1174</v>
      </c>
      <c r="B1" s="1111"/>
      <c r="C1" s="1111"/>
      <c r="D1" s="1111"/>
      <c r="E1" s="1111"/>
      <c r="F1" s="1111"/>
      <c r="G1" s="1111"/>
      <c r="H1" s="302"/>
      <c r="I1" s="302"/>
      <c r="J1" s="302"/>
      <c r="K1" s="302"/>
      <c r="L1" s="302"/>
      <c r="M1" s="302"/>
      <c r="N1" s="302"/>
      <c r="O1" s="302"/>
      <c r="P1" s="302"/>
    </row>
    <row r="2" spans="1:16" ht="15" customHeight="1">
      <c r="A2" s="1111" t="s">
        <v>1175</v>
      </c>
      <c r="B2" s="1111"/>
      <c r="C2" s="1111"/>
      <c r="D2" s="1111"/>
      <c r="E2" s="1111"/>
      <c r="F2" s="1111"/>
      <c r="G2" s="1111"/>
      <c r="H2" s="303">
        <f>J270</f>
        <v>0.44738746238683269</v>
      </c>
      <c r="I2" s="302"/>
      <c r="J2" s="302"/>
      <c r="K2" s="302"/>
      <c r="L2" s="302"/>
      <c r="M2" s="302"/>
      <c r="N2" s="302"/>
      <c r="O2" s="302"/>
      <c r="P2" s="302"/>
    </row>
    <row r="3" spans="1:16" ht="15" customHeight="1">
      <c r="A3" s="1111" t="s">
        <v>1176</v>
      </c>
      <c r="B3" s="1111"/>
      <c r="C3" s="1111"/>
      <c r="D3" s="1111"/>
      <c r="E3" s="1111"/>
      <c r="F3" s="1111"/>
      <c r="G3" s="1111"/>
      <c r="H3" s="304">
        <f>H352</f>
        <v>-1.9999999785795808E-3</v>
      </c>
      <c r="I3" s="302"/>
      <c r="J3" s="302"/>
      <c r="K3" s="302"/>
      <c r="L3" s="302"/>
      <c r="M3" s="302"/>
      <c r="N3" s="302"/>
      <c r="O3" s="302"/>
      <c r="P3" s="302"/>
    </row>
    <row r="4" spans="1:16" ht="15" customHeight="1">
      <c r="A4" s="1111" t="s">
        <v>1304</v>
      </c>
      <c r="B4" s="1111"/>
      <c r="C4" s="1111"/>
      <c r="D4" s="1111"/>
      <c r="E4" s="1111"/>
      <c r="F4" s="1111"/>
      <c r="G4" s="1111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" customHeight="1">
      <c r="A5" s="301"/>
      <c r="B5" s="301"/>
      <c r="C5" s="301"/>
      <c r="D5" s="301"/>
      <c r="E5" s="301"/>
      <c r="F5" s="301"/>
      <c r="G5" s="301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15" customHeight="1">
      <c r="A6" s="305" t="s">
        <v>1178</v>
      </c>
      <c r="B6" s="1113" t="s">
        <v>1665</v>
      </c>
      <c r="C6" s="1113"/>
    </row>
    <row r="7" spans="1:16" ht="15" customHeight="1">
      <c r="A7" s="305" t="s">
        <v>1180</v>
      </c>
      <c r="B7" s="1113"/>
      <c r="C7" s="1113"/>
    </row>
    <row r="8" spans="1:16" ht="15" customHeight="1">
      <c r="A8" s="305" t="s">
        <v>1182</v>
      </c>
      <c r="B8" s="306">
        <v>400000</v>
      </c>
    </row>
    <row r="9" spans="1:16" ht="15" customHeight="1">
      <c r="A9" s="307"/>
      <c r="B9" s="307"/>
      <c r="C9" s="308"/>
    </row>
    <row r="10" spans="1:16" ht="22.5" customHeight="1">
      <c r="A10" s="1112" t="s">
        <v>1183</v>
      </c>
      <c r="B10" s="1112"/>
      <c r="C10" s="1112"/>
      <c r="D10" s="1112"/>
      <c r="E10" s="1112"/>
      <c r="F10" s="1112"/>
      <c r="G10" s="1112"/>
    </row>
    <row r="11" spans="1:16" ht="13.5" customHeight="1">
      <c r="A11" s="309"/>
      <c r="B11" s="309"/>
      <c r="C11" s="309"/>
      <c r="D11" s="309"/>
      <c r="E11" s="309"/>
      <c r="F11" s="309"/>
      <c r="G11" s="309"/>
    </row>
    <row r="12" spans="1:16" ht="15" customHeight="1">
      <c r="A12" s="307" t="s">
        <v>1184</v>
      </c>
      <c r="B12" s="310" t="s">
        <v>1185</v>
      </c>
      <c r="C12" s="308"/>
      <c r="D12" s="311"/>
      <c r="E12" s="311"/>
      <c r="F12" s="312"/>
      <c r="G12" s="312"/>
    </row>
    <row r="13" spans="1:16" ht="15" customHeight="1">
      <c r="A13" s="310"/>
      <c r="B13" s="310"/>
      <c r="C13" s="308"/>
      <c r="D13" s="311"/>
      <c r="E13" s="311"/>
      <c r="F13" s="312"/>
      <c r="G13" s="312"/>
    </row>
    <row r="14" spans="1:16" ht="15" customHeight="1">
      <c r="A14" s="310"/>
      <c r="B14" s="310"/>
      <c r="C14" s="308"/>
      <c r="D14" s="311"/>
      <c r="E14" s="311"/>
      <c r="F14" s="312"/>
      <c r="G14" s="312"/>
    </row>
    <row r="15" spans="1:16" ht="15" customHeight="1">
      <c r="A15" s="307" t="s">
        <v>1404</v>
      </c>
      <c r="B15" s="310" t="s">
        <v>232</v>
      </c>
      <c r="C15" s="313" t="s">
        <v>1188</v>
      </c>
      <c r="D15" s="314">
        <f>N16+N18+N20</f>
        <v>2.444</v>
      </c>
      <c r="E15" s="311" t="s">
        <v>23</v>
      </c>
      <c r="F15" s="312"/>
      <c r="G15" s="312"/>
      <c r="H15" s="299">
        <v>0.4</v>
      </c>
      <c r="J15" s="299" t="s">
        <v>1405</v>
      </c>
      <c r="K15" s="299" t="s">
        <v>1406</v>
      </c>
      <c r="L15" s="299" t="s">
        <v>1407</v>
      </c>
      <c r="N15" s="299" t="s">
        <v>1408</v>
      </c>
    </row>
    <row r="16" spans="1:16" ht="15" customHeight="1">
      <c r="A16" s="310"/>
      <c r="B16" s="310"/>
      <c r="C16" s="308"/>
      <c r="D16" s="311"/>
      <c r="E16" s="311"/>
      <c r="F16" s="312"/>
      <c r="G16" s="312"/>
      <c r="H16" s="299">
        <v>0.4</v>
      </c>
      <c r="J16" s="299">
        <v>0.6</v>
      </c>
      <c r="K16" s="299">
        <v>0.6</v>
      </c>
      <c r="L16" s="299">
        <v>0.1</v>
      </c>
      <c r="M16" s="299">
        <v>4</v>
      </c>
      <c r="N16" s="299">
        <f t="shared" ref="N16:N20" si="0">J16*K16*L16*M16</f>
        <v>0.14399999999999999</v>
      </c>
    </row>
    <row r="17" spans="1:14" ht="15" customHeight="1">
      <c r="A17" s="310" t="s">
        <v>1341</v>
      </c>
      <c r="B17" s="310"/>
      <c r="C17" s="308"/>
      <c r="D17" s="311"/>
      <c r="E17" s="311"/>
      <c r="F17" s="312"/>
      <c r="G17" s="312"/>
      <c r="J17" s="299" t="s">
        <v>1405</v>
      </c>
      <c r="K17" s="299" t="s">
        <v>1406</v>
      </c>
      <c r="L17" s="299" t="s">
        <v>1407</v>
      </c>
      <c r="N17" s="299" t="s">
        <v>1408</v>
      </c>
    </row>
    <row r="18" spans="1:14" ht="26.25" customHeight="1">
      <c r="A18" s="310"/>
      <c r="B18" s="310"/>
      <c r="C18" s="308"/>
      <c r="D18" s="311" t="s">
        <v>1409</v>
      </c>
      <c r="E18" s="311" t="s">
        <v>1410</v>
      </c>
      <c r="F18" s="312" t="s">
        <v>1411</v>
      </c>
      <c r="G18" s="312" t="s">
        <v>1217</v>
      </c>
      <c r="J18" s="299">
        <v>0.25</v>
      </c>
      <c r="K18" s="299">
        <v>0.25</v>
      </c>
      <c r="L18" s="299">
        <v>2</v>
      </c>
      <c r="M18" s="299">
        <v>4</v>
      </c>
      <c r="N18" s="299">
        <f t="shared" si="0"/>
        <v>0.5</v>
      </c>
    </row>
    <row r="19" spans="1:14" ht="15" customHeight="1">
      <c r="A19" s="310"/>
      <c r="B19" s="310"/>
      <c r="C19" s="315" t="s">
        <v>1412</v>
      </c>
      <c r="D19" s="316">
        <v>1</v>
      </c>
      <c r="E19" s="316">
        <v>6</v>
      </c>
      <c r="F19" s="317">
        <v>615</v>
      </c>
      <c r="G19" s="318">
        <f>F19*E19*D19</f>
        <v>3690</v>
      </c>
      <c r="J19" s="299" t="s">
        <v>1405</v>
      </c>
      <c r="K19" s="299" t="s">
        <v>1406</v>
      </c>
      <c r="L19" s="299" t="s">
        <v>1407</v>
      </c>
      <c r="N19" s="299" t="s">
        <v>1408</v>
      </c>
    </row>
    <row r="20" spans="1:14" ht="15" customHeight="1">
      <c r="A20" s="310"/>
      <c r="B20" s="310"/>
      <c r="C20" s="315" t="s">
        <v>1413</v>
      </c>
      <c r="D20" s="316">
        <v>1</v>
      </c>
      <c r="E20" s="316">
        <f>E19</f>
        <v>6</v>
      </c>
      <c r="F20" s="317">
        <v>414</v>
      </c>
      <c r="G20" s="318">
        <f>F20*E20*D20</f>
        <v>2484</v>
      </c>
      <c r="J20" s="299">
        <v>3</v>
      </c>
      <c r="K20" s="299">
        <v>6</v>
      </c>
      <c r="L20" s="299">
        <v>0.1</v>
      </c>
      <c r="M20" s="299">
        <v>1</v>
      </c>
      <c r="N20" s="299">
        <f t="shared" si="0"/>
        <v>1.8</v>
      </c>
    </row>
    <row r="21" spans="1:14" ht="15" customHeight="1">
      <c r="A21" s="310"/>
      <c r="B21" s="310"/>
      <c r="C21" s="315" t="s">
        <v>1414</v>
      </c>
      <c r="D21" s="316">
        <v>2</v>
      </c>
      <c r="E21" s="316">
        <f>E20</f>
        <v>6</v>
      </c>
      <c r="F21" s="317">
        <v>390</v>
      </c>
      <c r="G21" s="318">
        <f>F21*E21*D21</f>
        <v>4680</v>
      </c>
    </row>
    <row r="22" spans="1:14" ht="15" customHeight="1">
      <c r="A22" s="310"/>
      <c r="B22" s="310"/>
      <c r="C22" s="315" t="s">
        <v>1415</v>
      </c>
      <c r="D22" s="316">
        <v>2</v>
      </c>
      <c r="E22" s="316">
        <f>E21</f>
        <v>6</v>
      </c>
      <c r="F22" s="317">
        <v>341</v>
      </c>
      <c r="G22" s="319">
        <f>F22*E22*D22</f>
        <v>4092</v>
      </c>
    </row>
    <row r="23" spans="1:14" ht="15" customHeight="1">
      <c r="A23" s="310"/>
      <c r="B23" s="310"/>
      <c r="C23" s="308"/>
      <c r="D23" s="311"/>
      <c r="E23" s="311"/>
      <c r="F23" s="320" t="s">
        <v>1211</v>
      </c>
      <c r="G23" s="312">
        <f>SUM(G19:G22)</f>
        <v>14946</v>
      </c>
      <c r="H23" s="321">
        <f>G23/G32</f>
        <v>0.4194073408912336</v>
      </c>
    </row>
    <row r="24" spans="1:14" ht="15" customHeight="1">
      <c r="A24" s="310" t="s">
        <v>1215</v>
      </c>
      <c r="H24" s="299">
        <v>1</v>
      </c>
    </row>
    <row r="25" spans="1:14" ht="15" customHeight="1">
      <c r="A25" s="310"/>
      <c r="B25" s="310"/>
      <c r="C25" s="322"/>
      <c r="D25" s="311" t="s">
        <v>173</v>
      </c>
      <c r="E25" s="311" t="s">
        <v>297</v>
      </c>
      <c r="F25" s="320" t="s">
        <v>1216</v>
      </c>
      <c r="G25" s="312" t="s">
        <v>1217</v>
      </c>
      <c r="H25" s="299" t="e">
        <f>#REF!</f>
        <v>#REF!</v>
      </c>
    </row>
    <row r="26" spans="1:14" ht="15" customHeight="1">
      <c r="A26" s="310"/>
      <c r="B26" s="310"/>
      <c r="C26" s="308"/>
      <c r="D26" s="311"/>
      <c r="E26" s="311"/>
      <c r="F26" s="320"/>
      <c r="G26" s="312"/>
      <c r="H26" s="299" t="e">
        <f>H15*H16*H24*H25</f>
        <v>#REF!</v>
      </c>
    </row>
    <row r="27" spans="1:14" ht="15" customHeight="1">
      <c r="A27" s="310"/>
      <c r="B27" s="310"/>
      <c r="C27" s="323" t="s">
        <v>1416</v>
      </c>
      <c r="D27" s="324">
        <f>ROUNDUP(D$15*9.5,0)</f>
        <v>24</v>
      </c>
      <c r="E27" s="325" t="s">
        <v>336</v>
      </c>
      <c r="F27" s="326">
        <v>310</v>
      </c>
      <c r="G27" s="318">
        <f t="shared" ref="G27:G29" si="1">F27*D27</f>
        <v>7440</v>
      </c>
    </row>
    <row r="28" spans="1:14" ht="15" customHeight="1">
      <c r="A28" s="310"/>
      <c r="B28" s="310"/>
      <c r="C28" s="323" t="s">
        <v>346</v>
      </c>
      <c r="D28" s="324">
        <v>10</v>
      </c>
      <c r="E28" s="325" t="s">
        <v>23</v>
      </c>
      <c r="F28" s="326">
        <v>600</v>
      </c>
      <c r="G28" s="318">
        <f t="shared" si="1"/>
        <v>6000</v>
      </c>
    </row>
    <row r="29" spans="1:14" ht="15" customHeight="1">
      <c r="A29" s="310"/>
      <c r="B29" s="310"/>
      <c r="C29" s="327" t="s">
        <v>1417</v>
      </c>
      <c r="D29" s="324">
        <v>5</v>
      </c>
      <c r="E29" s="325" t="s">
        <v>23</v>
      </c>
      <c r="F29" s="326">
        <v>1450</v>
      </c>
      <c r="G29" s="328">
        <f t="shared" si="1"/>
        <v>7250</v>
      </c>
    </row>
    <row r="30" spans="1:14" ht="15" customHeight="1">
      <c r="A30" s="310"/>
      <c r="B30" s="310"/>
      <c r="C30" s="308"/>
      <c r="D30" s="311"/>
      <c r="E30" s="311"/>
      <c r="F30" s="320" t="s">
        <v>1211</v>
      </c>
      <c r="G30" s="307">
        <f>SUM(G27:G29)</f>
        <v>20690</v>
      </c>
    </row>
    <row r="31" spans="1:14" ht="15" customHeight="1">
      <c r="A31" s="310"/>
      <c r="B31" s="310"/>
      <c r="C31" s="308"/>
      <c r="D31" s="311"/>
      <c r="E31" s="311"/>
    </row>
    <row r="32" spans="1:14" ht="15" customHeight="1">
      <c r="A32" s="310"/>
      <c r="B32" s="310"/>
      <c r="C32" s="308"/>
      <c r="D32" s="311"/>
      <c r="E32" s="311"/>
      <c r="F32" s="320" t="s">
        <v>1212</v>
      </c>
      <c r="G32" s="312">
        <f>G30+G23</f>
        <v>35636</v>
      </c>
    </row>
    <row r="33" spans="1:12" ht="15" customHeight="1">
      <c r="A33" s="310"/>
      <c r="B33" s="310"/>
      <c r="C33" s="308"/>
      <c r="D33" s="311"/>
      <c r="E33" s="311"/>
      <c r="F33" s="320" t="s">
        <v>1213</v>
      </c>
      <c r="G33" s="312">
        <f>G32/D15</f>
        <v>14581.014729950901</v>
      </c>
    </row>
    <row r="34" spans="1:12" ht="15" customHeight="1">
      <c r="A34" s="310"/>
      <c r="B34" s="310"/>
      <c r="C34" s="308"/>
      <c r="D34" s="311"/>
      <c r="E34" s="311"/>
    </row>
    <row r="35" spans="1:12" ht="15" customHeight="1">
      <c r="A35" s="307" t="s">
        <v>1418</v>
      </c>
      <c r="B35" s="310" t="s">
        <v>298</v>
      </c>
      <c r="C35" s="313" t="s">
        <v>1188</v>
      </c>
      <c r="D35" s="311">
        <f>D46*0.616*6+D47*0.888*6</f>
        <v>137.85599999999999</v>
      </c>
      <c r="E35" s="311" t="s">
        <v>238</v>
      </c>
      <c r="F35" s="312"/>
      <c r="G35" s="312"/>
      <c r="H35" s="299">
        <v>0.4</v>
      </c>
      <c r="J35" s="299" t="s">
        <v>1419</v>
      </c>
    </row>
    <row r="36" spans="1:12" ht="15" customHeight="1">
      <c r="A36" s="310"/>
      <c r="B36" s="310"/>
      <c r="C36" s="308"/>
      <c r="D36" s="311"/>
      <c r="E36" s="311"/>
      <c r="F36" s="312"/>
      <c r="G36" s="312"/>
      <c r="H36" s="299">
        <v>0.4</v>
      </c>
      <c r="J36" s="299" t="s">
        <v>1420</v>
      </c>
      <c r="K36" s="299" t="s">
        <v>195</v>
      </c>
      <c r="L36" s="299" t="s">
        <v>1421</v>
      </c>
    </row>
    <row r="37" spans="1:12" ht="15" customHeight="1">
      <c r="A37" s="310" t="s">
        <v>1341</v>
      </c>
      <c r="B37" s="310"/>
      <c r="C37" s="308"/>
      <c r="D37" s="311"/>
      <c r="E37" s="311"/>
      <c r="F37" s="312"/>
      <c r="G37" s="312"/>
      <c r="J37" s="299">
        <v>3</v>
      </c>
      <c r="K37" s="299">
        <f>110/0.4</f>
        <v>275</v>
      </c>
      <c r="L37" s="299">
        <f>J37*K37</f>
        <v>825</v>
      </c>
    </row>
    <row r="38" spans="1:12" ht="26.25" customHeight="1">
      <c r="A38" s="310"/>
      <c r="B38" s="310"/>
      <c r="C38" s="308"/>
      <c r="D38" s="311" t="s">
        <v>1409</v>
      </c>
      <c r="E38" s="311" t="s">
        <v>1410</v>
      </c>
      <c r="F38" s="312" t="s">
        <v>1411</v>
      </c>
      <c r="G38" s="312" t="s">
        <v>1217</v>
      </c>
    </row>
    <row r="39" spans="1:12" ht="15" customHeight="1">
      <c r="A39" s="310"/>
      <c r="B39" s="310"/>
      <c r="C39" s="315" t="s">
        <v>1412</v>
      </c>
      <c r="D39" s="316">
        <v>1</v>
      </c>
      <c r="E39" s="316">
        <v>4</v>
      </c>
      <c r="F39" s="317">
        <v>615</v>
      </c>
      <c r="G39" s="318">
        <f t="shared" ref="G39:G41" si="2">F39*E39*D39</f>
        <v>2460</v>
      </c>
      <c r="J39" s="299" t="s">
        <v>1422</v>
      </c>
    </row>
    <row r="40" spans="1:12" ht="15" customHeight="1">
      <c r="A40" s="310"/>
      <c r="B40" s="310"/>
      <c r="C40" s="315" t="s">
        <v>1423</v>
      </c>
      <c r="D40" s="316">
        <v>1</v>
      </c>
      <c r="E40" s="316">
        <f>E39</f>
        <v>4</v>
      </c>
      <c r="F40" s="317">
        <v>390</v>
      </c>
      <c r="G40" s="318">
        <f t="shared" si="2"/>
        <v>1560</v>
      </c>
      <c r="J40" s="299">
        <v>110</v>
      </c>
      <c r="K40" s="299">
        <v>10</v>
      </c>
      <c r="L40" s="299">
        <f>J40*K40</f>
        <v>1100</v>
      </c>
    </row>
    <row r="41" spans="1:12" ht="15" customHeight="1">
      <c r="A41" s="310"/>
      <c r="B41" s="310"/>
      <c r="C41" s="315" t="s">
        <v>1415</v>
      </c>
      <c r="D41" s="316">
        <v>2</v>
      </c>
      <c r="E41" s="316">
        <f t="shared" ref="E41" si="3">E40</f>
        <v>4</v>
      </c>
      <c r="F41" s="317">
        <v>341</v>
      </c>
      <c r="G41" s="319">
        <f t="shared" si="2"/>
        <v>2728</v>
      </c>
    </row>
    <row r="42" spans="1:12" ht="15" customHeight="1">
      <c r="A42" s="310"/>
      <c r="B42" s="310"/>
      <c r="C42" s="308"/>
      <c r="D42" s="311"/>
      <c r="E42" s="311"/>
      <c r="F42" s="320" t="s">
        <v>1211</v>
      </c>
      <c r="G42" s="312">
        <f>SUM(G39:G41)</f>
        <v>6748</v>
      </c>
      <c r="H42" s="321">
        <f>G42/G52</f>
        <v>0.40123677012724462</v>
      </c>
      <c r="J42" s="299" t="s">
        <v>1424</v>
      </c>
    </row>
    <row r="43" spans="1:12" ht="15" customHeight="1">
      <c r="A43" s="310" t="s">
        <v>1215</v>
      </c>
      <c r="H43" s="299">
        <v>1</v>
      </c>
      <c r="J43" s="299" t="s">
        <v>1420</v>
      </c>
      <c r="K43" s="299" t="s">
        <v>195</v>
      </c>
      <c r="L43" s="299" t="s">
        <v>1421</v>
      </c>
    </row>
    <row r="44" spans="1:12" ht="15" customHeight="1">
      <c r="A44" s="310"/>
      <c r="B44" s="310"/>
      <c r="C44" s="322"/>
      <c r="D44" s="311" t="s">
        <v>173</v>
      </c>
      <c r="E44" s="311" t="s">
        <v>297</v>
      </c>
      <c r="F44" s="320" t="s">
        <v>1216</v>
      </c>
      <c r="G44" s="312" t="s">
        <v>1217</v>
      </c>
      <c r="H44" s="299" t="e">
        <f>#REF!</f>
        <v>#REF!</v>
      </c>
      <c r="J44" s="299">
        <v>4</v>
      </c>
      <c r="K44" s="299">
        <v>110</v>
      </c>
      <c r="L44" s="299">
        <f>J44*K44</f>
        <v>440</v>
      </c>
    </row>
    <row r="45" spans="1:12" ht="15" customHeight="1">
      <c r="A45" s="310"/>
      <c r="B45" s="310"/>
      <c r="C45" s="308"/>
      <c r="D45" s="311"/>
      <c r="E45" s="311"/>
      <c r="F45" s="320"/>
      <c r="G45" s="312"/>
      <c r="H45" s="299" t="e">
        <f>H35*H36*H43*H44</f>
        <v>#REF!</v>
      </c>
    </row>
    <row r="46" spans="1:12" ht="15" customHeight="1">
      <c r="A46" s="310"/>
      <c r="B46" s="310"/>
      <c r="C46" s="323" t="s">
        <v>1425</v>
      </c>
      <c r="D46" s="324">
        <v>20</v>
      </c>
      <c r="E46" s="325" t="s">
        <v>350</v>
      </c>
      <c r="F46" s="326">
        <v>210</v>
      </c>
      <c r="G46" s="318">
        <f t="shared" ref="G46:G49" si="4">F46*D46</f>
        <v>4200</v>
      </c>
    </row>
    <row r="47" spans="1:12" ht="15" customHeight="1">
      <c r="A47" s="310"/>
      <c r="B47" s="310"/>
      <c r="C47" s="323" t="s">
        <v>1426</v>
      </c>
      <c r="D47" s="324">
        <v>12</v>
      </c>
      <c r="E47" s="325" t="s">
        <v>350</v>
      </c>
      <c r="F47" s="326">
        <v>310</v>
      </c>
      <c r="G47" s="318">
        <f t="shared" ref="G47" si="5">F47*D47</f>
        <v>3720</v>
      </c>
    </row>
    <row r="48" spans="1:12" ht="15" customHeight="1">
      <c r="A48" s="310"/>
      <c r="B48" s="310"/>
      <c r="C48" s="323" t="s">
        <v>1427</v>
      </c>
      <c r="D48" s="324">
        <v>10</v>
      </c>
      <c r="E48" s="760" t="s">
        <v>238</v>
      </c>
      <c r="F48" s="326">
        <v>110</v>
      </c>
      <c r="G48" s="318">
        <f t="shared" si="4"/>
        <v>1100</v>
      </c>
    </row>
    <row r="49" spans="1:11" ht="15" customHeight="1">
      <c r="A49" s="310"/>
      <c r="B49" s="310"/>
      <c r="C49" s="327" t="s">
        <v>1428</v>
      </c>
      <c r="D49" s="324">
        <v>5</v>
      </c>
      <c r="E49" s="325" t="s">
        <v>21</v>
      </c>
      <c r="F49" s="326">
        <v>210</v>
      </c>
      <c r="G49" s="328">
        <f t="shared" si="4"/>
        <v>1050</v>
      </c>
    </row>
    <row r="50" spans="1:11" ht="15" customHeight="1">
      <c r="A50" s="310"/>
      <c r="B50" s="310"/>
      <c r="C50" s="308"/>
      <c r="D50" s="311"/>
      <c r="E50" s="311"/>
      <c r="F50" s="320" t="s">
        <v>1211</v>
      </c>
      <c r="G50" s="307">
        <f>SUM(G46:G49)</f>
        <v>10070</v>
      </c>
      <c r="K50" s="299">
        <f>4*0.3+2</f>
        <v>3.2</v>
      </c>
    </row>
    <row r="51" spans="1:11" ht="15" customHeight="1">
      <c r="A51" s="310"/>
      <c r="B51" s="310"/>
      <c r="C51" s="308"/>
      <c r="D51" s="311"/>
      <c r="E51" s="311"/>
    </row>
    <row r="52" spans="1:11" ht="15" customHeight="1">
      <c r="A52" s="310"/>
      <c r="B52" s="310"/>
      <c r="C52" s="308"/>
      <c r="D52" s="311"/>
      <c r="E52" s="311"/>
      <c r="F52" s="320" t="s">
        <v>1212</v>
      </c>
      <c r="G52" s="312">
        <f>G50+G42</f>
        <v>16818</v>
      </c>
    </row>
    <row r="53" spans="1:11" ht="15" customHeight="1">
      <c r="A53" s="310"/>
      <c r="B53" s="310"/>
      <c r="C53" s="308"/>
      <c r="D53" s="311"/>
      <c r="E53" s="311"/>
      <c r="F53" s="320" t="s">
        <v>1213</v>
      </c>
      <c r="G53" s="312">
        <f>G52/D35</f>
        <v>121.99686629526462</v>
      </c>
    </row>
    <row r="54" spans="1:11" ht="15" customHeight="1">
      <c r="A54" s="310"/>
      <c r="B54" s="310"/>
      <c r="C54" s="308"/>
      <c r="D54" s="311"/>
      <c r="E54" s="311"/>
    </row>
    <row r="55" spans="1:11" ht="15" customHeight="1">
      <c r="A55" s="307" t="s">
        <v>1429</v>
      </c>
      <c r="B55" s="310" t="s">
        <v>167</v>
      </c>
      <c r="C55" s="313" t="s">
        <v>1188</v>
      </c>
      <c r="D55" s="314">
        <v>1</v>
      </c>
      <c r="E55" s="311" t="s">
        <v>307</v>
      </c>
      <c r="F55" s="312"/>
      <c r="G55" s="312"/>
    </row>
    <row r="56" spans="1:11" ht="15" customHeight="1">
      <c r="A56" s="310"/>
      <c r="B56" s="310"/>
      <c r="C56" s="322"/>
      <c r="D56" s="329"/>
      <c r="E56" s="329"/>
      <c r="F56" s="312"/>
      <c r="G56" s="312"/>
    </row>
    <row r="57" spans="1:11" ht="15" customHeight="1">
      <c r="A57" s="310" t="s">
        <v>1341</v>
      </c>
      <c r="B57" s="310"/>
      <c r="C57" s="308"/>
      <c r="D57" s="311"/>
      <c r="E57" s="311"/>
      <c r="F57" s="312"/>
      <c r="G57" s="312"/>
    </row>
    <row r="58" spans="1:11" ht="26.25" customHeight="1">
      <c r="A58" s="310"/>
      <c r="B58" s="310"/>
      <c r="C58" s="308"/>
      <c r="D58" s="311" t="s">
        <v>1409</v>
      </c>
      <c r="E58" s="311" t="s">
        <v>1410</v>
      </c>
      <c r="F58" s="312" t="s">
        <v>1411</v>
      </c>
      <c r="G58" s="312" t="s">
        <v>1217</v>
      </c>
    </row>
    <row r="59" spans="1:11" ht="15" customHeight="1">
      <c r="A59" s="310"/>
      <c r="B59" s="310"/>
      <c r="C59" s="315" t="s">
        <v>1412</v>
      </c>
      <c r="D59" s="316">
        <v>1</v>
      </c>
      <c r="E59" s="316">
        <v>2</v>
      </c>
      <c r="F59" s="317">
        <v>615</v>
      </c>
      <c r="G59" s="318">
        <f>F59*E59*D59</f>
        <v>1230</v>
      </c>
    </row>
    <row r="60" spans="1:11" ht="15" customHeight="1">
      <c r="A60" s="310"/>
      <c r="B60" s="310"/>
      <c r="C60" s="315" t="s">
        <v>1413</v>
      </c>
      <c r="D60" s="316">
        <v>1</v>
      </c>
      <c r="E60" s="316">
        <f>E59</f>
        <v>2</v>
      </c>
      <c r="F60" s="317">
        <v>414</v>
      </c>
      <c r="G60" s="318">
        <f>F60*E60*D60</f>
        <v>828</v>
      </c>
    </row>
    <row r="61" spans="1:11" ht="15" customHeight="1">
      <c r="A61" s="310"/>
      <c r="B61" s="310"/>
      <c r="C61" s="315" t="s">
        <v>1415</v>
      </c>
      <c r="D61" s="316">
        <v>1</v>
      </c>
      <c r="E61" s="316">
        <f>E60</f>
        <v>2</v>
      </c>
      <c r="F61" s="317">
        <v>341</v>
      </c>
      <c r="G61" s="319">
        <f>F61*E61*D61</f>
        <v>682</v>
      </c>
    </row>
    <row r="62" spans="1:11" ht="15" customHeight="1">
      <c r="A62" s="310"/>
      <c r="B62" s="310"/>
      <c r="C62" s="308"/>
      <c r="D62" s="311"/>
      <c r="E62" s="311"/>
      <c r="F62" s="320" t="s">
        <v>1211</v>
      </c>
      <c r="G62" s="312">
        <f>SUM(G59:G61)</f>
        <v>2740</v>
      </c>
      <c r="H62" s="299">
        <f>G62/G76</f>
        <v>0.21306373047220364</v>
      </c>
      <c r="J62" s="299">
        <v>1</v>
      </c>
    </row>
    <row r="63" spans="1:11" ht="15" customHeight="1">
      <c r="A63" s="310"/>
      <c r="B63" s="310"/>
      <c r="C63" s="308"/>
      <c r="D63" s="311"/>
      <c r="E63" s="311"/>
      <c r="F63" s="312"/>
      <c r="G63" s="312"/>
    </row>
    <row r="64" spans="1:11" ht="15" customHeight="1">
      <c r="A64" s="310" t="s">
        <v>1215</v>
      </c>
    </row>
    <row r="65" spans="1:10" ht="15" customHeight="1">
      <c r="A65" s="310"/>
      <c r="B65" s="310"/>
      <c r="C65" s="322"/>
      <c r="D65" s="311" t="s">
        <v>173</v>
      </c>
      <c r="E65" s="311" t="s">
        <v>297</v>
      </c>
      <c r="F65" s="320" t="s">
        <v>1216</v>
      </c>
      <c r="G65" s="312" t="s">
        <v>1217</v>
      </c>
    </row>
    <row r="66" spans="1:10" ht="15" customHeight="1">
      <c r="A66" s="310"/>
      <c r="B66" s="310"/>
      <c r="C66" s="330"/>
      <c r="D66" s="311"/>
      <c r="E66" s="311"/>
      <c r="F66" s="320"/>
      <c r="G66" s="312"/>
    </row>
    <row r="67" spans="1:10" ht="15" customHeight="1">
      <c r="A67" s="310"/>
      <c r="B67" s="310"/>
      <c r="C67" s="331" t="s">
        <v>1430</v>
      </c>
      <c r="D67" s="324">
        <f>20*6</f>
        <v>120</v>
      </c>
      <c r="E67" s="324" t="s">
        <v>585</v>
      </c>
      <c r="F67" s="324">
        <v>38</v>
      </c>
      <c r="G67" s="318">
        <f>D67*F67</f>
        <v>4560</v>
      </c>
      <c r="J67" s="299">
        <f>D67*5</f>
        <v>600</v>
      </c>
    </row>
    <row r="68" spans="1:10" ht="15" customHeight="1">
      <c r="A68" s="310"/>
      <c r="B68" s="310"/>
      <c r="C68" s="331" t="s">
        <v>1431</v>
      </c>
      <c r="D68" s="324">
        <f>20*4</f>
        <v>80</v>
      </c>
      <c r="E68" s="324" t="s">
        <v>585</v>
      </c>
      <c r="F68" s="324">
        <v>38</v>
      </c>
      <c r="G68" s="318">
        <f>D68*F68</f>
        <v>3040</v>
      </c>
      <c r="J68" s="299">
        <f t="shared" ref="J68:J75" si="6">D68*5</f>
        <v>400</v>
      </c>
    </row>
    <row r="69" spans="1:10" ht="15" customHeight="1">
      <c r="A69" s="310"/>
      <c r="B69" s="310"/>
      <c r="C69" s="332" t="s">
        <v>1432</v>
      </c>
      <c r="D69" s="324">
        <v>4</v>
      </c>
      <c r="E69" s="324" t="s">
        <v>1221</v>
      </c>
      <c r="F69" s="324">
        <v>714</v>
      </c>
      <c r="G69" s="318">
        <f>D69*F69</f>
        <v>2856</v>
      </c>
      <c r="J69" s="299">
        <f t="shared" si="6"/>
        <v>20</v>
      </c>
    </row>
    <row r="70" spans="1:10" ht="15" customHeight="1">
      <c r="A70" s="310"/>
      <c r="B70" s="310"/>
      <c r="C70" s="331" t="s">
        <v>1433</v>
      </c>
      <c r="D70" s="333">
        <v>4</v>
      </c>
      <c r="E70" s="329" t="s">
        <v>469</v>
      </c>
      <c r="F70" s="334">
        <v>68</v>
      </c>
      <c r="G70" s="318">
        <f t="shared" ref="G70:G75" si="7">D70*F70</f>
        <v>272</v>
      </c>
      <c r="J70" s="299">
        <f t="shared" si="6"/>
        <v>20</v>
      </c>
    </row>
    <row r="71" spans="1:10" ht="15" customHeight="1">
      <c r="A71" s="310"/>
      <c r="B71" s="310"/>
      <c r="C71" s="331" t="s">
        <v>1223</v>
      </c>
      <c r="D71" s="333">
        <v>5</v>
      </c>
      <c r="E71" s="329" t="s">
        <v>238</v>
      </c>
      <c r="F71" s="334">
        <v>94</v>
      </c>
      <c r="G71" s="318">
        <f t="shared" si="7"/>
        <v>470</v>
      </c>
      <c r="J71" s="299">
        <f t="shared" si="6"/>
        <v>25</v>
      </c>
    </row>
    <row r="72" spans="1:10" ht="15" customHeight="1">
      <c r="A72" s="310"/>
      <c r="B72" s="310"/>
      <c r="C72" s="331" t="s">
        <v>1434</v>
      </c>
      <c r="D72" s="333">
        <v>5</v>
      </c>
      <c r="E72" s="329" t="s">
        <v>238</v>
      </c>
      <c r="F72" s="335">
        <v>94</v>
      </c>
      <c r="G72" s="318">
        <f t="shared" si="7"/>
        <v>470</v>
      </c>
      <c r="J72" s="299">
        <f t="shared" si="6"/>
        <v>25</v>
      </c>
    </row>
    <row r="73" spans="1:10" ht="15" customHeight="1">
      <c r="A73" s="310"/>
      <c r="B73" s="310"/>
      <c r="C73" s="331" t="s">
        <v>1427</v>
      </c>
      <c r="D73" s="333">
        <v>3.1181999999999999</v>
      </c>
      <c r="E73" s="329" t="s">
        <v>238</v>
      </c>
      <c r="F73" s="335">
        <v>110</v>
      </c>
      <c r="G73" s="318">
        <f t="shared" si="7"/>
        <v>343.00200000000001</v>
      </c>
      <c r="H73" s="299">
        <f>H352</f>
        <v>-1.9999999785795808E-3</v>
      </c>
      <c r="J73" s="299">
        <f t="shared" si="6"/>
        <v>15.590999999999999</v>
      </c>
    </row>
    <row r="74" spans="1:10" ht="15" customHeight="1">
      <c r="A74" s="310"/>
      <c r="B74" s="310"/>
      <c r="C74" s="331" t="s">
        <v>1225</v>
      </c>
      <c r="D74" s="333">
        <v>3</v>
      </c>
      <c r="E74" s="329" t="s">
        <v>238</v>
      </c>
      <c r="F74" s="334">
        <v>94</v>
      </c>
      <c r="G74" s="336">
        <f t="shared" si="7"/>
        <v>282</v>
      </c>
      <c r="J74" s="299">
        <f t="shared" si="6"/>
        <v>15</v>
      </c>
    </row>
    <row r="75" spans="1:10" ht="15" customHeight="1">
      <c r="A75" s="310"/>
      <c r="B75" s="310"/>
      <c r="C75" s="331" t="s">
        <v>1435</v>
      </c>
      <c r="D75" s="333">
        <v>3</v>
      </c>
      <c r="E75" s="329" t="s">
        <v>16</v>
      </c>
      <c r="F75" s="334">
        <v>189</v>
      </c>
      <c r="G75" s="319">
        <f t="shared" si="7"/>
        <v>567</v>
      </c>
      <c r="J75" s="299">
        <f t="shared" si="6"/>
        <v>15</v>
      </c>
    </row>
    <row r="76" spans="1:10" ht="15" customHeight="1">
      <c r="A76" s="310"/>
      <c r="B76" s="310"/>
      <c r="C76" s="331"/>
      <c r="D76" s="311"/>
      <c r="E76" s="311"/>
      <c r="F76" s="320" t="s">
        <v>1211</v>
      </c>
      <c r="G76" s="307">
        <f>SUM(G67:G75)</f>
        <v>12860.002</v>
      </c>
      <c r="H76" s="299">
        <f>G76*5</f>
        <v>64300.01</v>
      </c>
    </row>
    <row r="77" spans="1:10" ht="15" customHeight="1">
      <c r="A77" s="310"/>
      <c r="B77" s="310"/>
      <c r="C77" s="308"/>
      <c r="D77" s="311"/>
      <c r="E77" s="311"/>
      <c r="F77" s="320"/>
      <c r="G77" s="312"/>
    </row>
    <row r="78" spans="1:10" ht="15" customHeight="1">
      <c r="A78" s="310"/>
      <c r="B78" s="310"/>
      <c r="C78" s="308"/>
      <c r="D78" s="311"/>
      <c r="E78" s="311"/>
      <c r="F78" s="320" t="s">
        <v>1212</v>
      </c>
      <c r="G78" s="312">
        <f>G76+G62</f>
        <v>15600.002</v>
      </c>
    </row>
    <row r="79" spans="1:10" ht="15" customHeight="1">
      <c r="A79" s="310"/>
      <c r="B79" s="310"/>
      <c r="C79" s="308"/>
      <c r="D79" s="311"/>
      <c r="E79" s="311"/>
      <c r="F79" s="320" t="s">
        <v>1213</v>
      </c>
      <c r="G79" s="312">
        <f>G78/D55</f>
        <v>15600.002</v>
      </c>
    </row>
    <row r="81" spans="1:12" ht="15" customHeight="1">
      <c r="A81" s="307" t="s">
        <v>1436</v>
      </c>
      <c r="B81" s="1109" t="s">
        <v>1437</v>
      </c>
      <c r="C81" s="313" t="s">
        <v>1188</v>
      </c>
      <c r="D81" s="314">
        <v>24</v>
      </c>
      <c r="E81" s="311" t="s">
        <v>112</v>
      </c>
      <c r="F81" s="312"/>
      <c r="G81" s="312"/>
    </row>
    <row r="82" spans="1:12" ht="15" customHeight="1">
      <c r="A82" s="310"/>
      <c r="B82" s="1109"/>
      <c r="C82" s="322"/>
      <c r="D82" s="329"/>
      <c r="E82" s="329"/>
      <c r="F82" s="312"/>
      <c r="G82" s="312"/>
    </row>
    <row r="83" spans="1:12" ht="15" customHeight="1">
      <c r="A83" s="310"/>
      <c r="B83" s="337"/>
      <c r="C83" s="322"/>
      <c r="D83" s="329"/>
      <c r="E83" s="329"/>
      <c r="F83" s="312"/>
      <c r="G83" s="312"/>
    </row>
    <row r="84" spans="1:12" ht="15" customHeight="1">
      <c r="A84" s="310" t="s">
        <v>1341</v>
      </c>
      <c r="B84" s="310"/>
      <c r="C84" s="308"/>
      <c r="D84" s="311"/>
      <c r="E84" s="311"/>
      <c r="F84" s="312"/>
      <c r="G84" s="312"/>
    </row>
    <row r="85" spans="1:12" ht="26.25" customHeight="1">
      <c r="A85" s="310"/>
      <c r="B85" s="310"/>
      <c r="C85" s="308"/>
      <c r="D85" s="311" t="s">
        <v>1409</v>
      </c>
      <c r="E85" s="311" t="s">
        <v>1410</v>
      </c>
      <c r="F85" s="312" t="s">
        <v>1411</v>
      </c>
      <c r="G85" s="312" t="s">
        <v>1217</v>
      </c>
    </row>
    <row r="86" spans="1:12" ht="15" customHeight="1">
      <c r="A86" s="310"/>
      <c r="B86" s="310"/>
      <c r="C86" s="315" t="s">
        <v>1412</v>
      </c>
      <c r="D86" s="316">
        <v>1</v>
      </c>
      <c r="E86" s="316">
        <v>7</v>
      </c>
      <c r="F86" s="317">
        <v>615</v>
      </c>
      <c r="G86" s="318">
        <f>F86*E86*D86</f>
        <v>4305</v>
      </c>
    </row>
    <row r="87" spans="1:12" ht="15" customHeight="1">
      <c r="A87" s="310"/>
      <c r="B87" s="310"/>
      <c r="C87" s="315" t="s">
        <v>1414</v>
      </c>
      <c r="D87" s="316">
        <v>2</v>
      </c>
      <c r="E87" s="316">
        <f>E86</f>
        <v>7</v>
      </c>
      <c r="F87" s="317">
        <v>390</v>
      </c>
      <c r="G87" s="318">
        <f>F87*E87*D87</f>
        <v>5460</v>
      </c>
    </row>
    <row r="88" spans="1:12" ht="15" customHeight="1">
      <c r="A88" s="310"/>
      <c r="B88" s="310"/>
      <c r="C88" s="315" t="s">
        <v>1415</v>
      </c>
      <c r="D88" s="316">
        <v>3</v>
      </c>
      <c r="E88" s="316">
        <f>E87</f>
        <v>7</v>
      </c>
      <c r="F88" s="317">
        <v>341</v>
      </c>
      <c r="G88" s="319">
        <f>F88*E88*D88</f>
        <v>7161</v>
      </c>
    </row>
    <row r="89" spans="1:12" ht="15" customHeight="1">
      <c r="A89" s="310"/>
      <c r="B89" s="310"/>
      <c r="C89" s="308"/>
      <c r="D89" s="311"/>
      <c r="E89" s="311"/>
      <c r="F89" s="320" t="s">
        <v>1211</v>
      </c>
      <c r="G89" s="312">
        <f>SUM(G86:G88)</f>
        <v>16926</v>
      </c>
      <c r="H89" s="299">
        <f>G89/G97</f>
        <v>0.46245901639344261</v>
      </c>
    </row>
    <row r="90" spans="1:12" ht="15" customHeight="1">
      <c r="A90" s="310" t="s">
        <v>1215</v>
      </c>
    </row>
    <row r="91" spans="1:12" ht="15" customHeight="1">
      <c r="A91" s="310"/>
      <c r="B91" s="310"/>
      <c r="C91" s="322"/>
      <c r="D91" s="311" t="s">
        <v>173</v>
      </c>
      <c r="E91" s="311" t="s">
        <v>297</v>
      </c>
      <c r="F91" s="320" t="s">
        <v>1216</v>
      </c>
      <c r="G91" s="312" t="s">
        <v>1217</v>
      </c>
    </row>
    <row r="92" spans="1:12" ht="15" customHeight="1">
      <c r="A92" s="310"/>
      <c r="B92" s="310"/>
      <c r="C92" s="308"/>
      <c r="D92" s="311"/>
      <c r="E92" s="311"/>
      <c r="F92" s="320"/>
      <c r="G92" s="312"/>
    </row>
    <row r="93" spans="1:12" ht="15" customHeight="1">
      <c r="A93" s="310"/>
      <c r="B93" s="310"/>
      <c r="C93" s="323" t="s">
        <v>364</v>
      </c>
      <c r="D93" s="324">
        <f>D81*12.5</f>
        <v>300</v>
      </c>
      <c r="E93" s="325" t="s">
        <v>21</v>
      </c>
      <c r="F93" s="326">
        <v>13</v>
      </c>
      <c r="G93" s="318">
        <f>F93*D93</f>
        <v>3900</v>
      </c>
      <c r="J93" s="299">
        <f t="shared" ref="J93" si="8">D93*5</f>
        <v>1500</v>
      </c>
    </row>
    <row r="94" spans="1:12" ht="15" customHeight="1">
      <c r="A94" s="310"/>
      <c r="B94" s="310"/>
      <c r="C94" s="323" t="s">
        <v>1425</v>
      </c>
      <c r="D94" s="324">
        <v>20</v>
      </c>
      <c r="E94" s="325" t="s">
        <v>350</v>
      </c>
      <c r="F94" s="326">
        <v>210</v>
      </c>
      <c r="G94" s="318">
        <f t="shared" ref="G94:G96" si="9">F94*D94</f>
        <v>4200</v>
      </c>
      <c r="J94" s="299">
        <f>52+145</f>
        <v>197</v>
      </c>
      <c r="K94" s="299">
        <v>5</v>
      </c>
      <c r="L94" s="299">
        <f>K94*J94</f>
        <v>985</v>
      </c>
    </row>
    <row r="95" spans="1:12" ht="15" customHeight="1">
      <c r="A95" s="310"/>
      <c r="B95" s="310"/>
      <c r="C95" s="323" t="s">
        <v>1416</v>
      </c>
      <c r="D95" s="324">
        <v>90</v>
      </c>
      <c r="E95" s="325" t="s">
        <v>336</v>
      </c>
      <c r="F95" s="326">
        <v>310</v>
      </c>
      <c r="G95" s="336">
        <f t="shared" si="9"/>
        <v>27900</v>
      </c>
    </row>
    <row r="96" spans="1:12" ht="15" customHeight="1">
      <c r="A96" s="310"/>
      <c r="B96" s="310"/>
      <c r="C96" s="323" t="s">
        <v>346</v>
      </c>
      <c r="D96" s="324">
        <f>ROUNDUP(D81*(0.08+0.02),0)-2</f>
        <v>1</v>
      </c>
      <c r="E96" s="325" t="s">
        <v>23</v>
      </c>
      <c r="F96" s="326">
        <v>600</v>
      </c>
      <c r="G96" s="319">
        <f t="shared" si="9"/>
        <v>600</v>
      </c>
    </row>
    <row r="97" spans="1:11" ht="15" customHeight="1">
      <c r="A97" s="310"/>
      <c r="B97" s="310"/>
      <c r="C97" s="308"/>
      <c r="D97" s="311"/>
      <c r="E97" s="311"/>
      <c r="F97" s="320" t="s">
        <v>1211</v>
      </c>
      <c r="G97" s="307">
        <f>SUM(G93:G96)</f>
        <v>36600</v>
      </c>
      <c r="J97" s="299">
        <f>40*5</f>
        <v>200</v>
      </c>
    </row>
    <row r="98" spans="1:11" ht="15" customHeight="1">
      <c r="A98" s="310"/>
      <c r="B98" s="310"/>
      <c r="C98" s="308"/>
      <c r="D98" s="311"/>
      <c r="E98" s="311"/>
    </row>
    <row r="99" spans="1:11" ht="15" customHeight="1">
      <c r="A99" s="310"/>
      <c r="B99" s="310"/>
      <c r="C99" s="308"/>
      <c r="D99" s="311"/>
      <c r="E99" s="311"/>
      <c r="F99" s="320" t="s">
        <v>1212</v>
      </c>
      <c r="G99" s="312">
        <f>G97+G89</f>
        <v>53526</v>
      </c>
      <c r="K99" s="299">
        <f>14*5</f>
        <v>70</v>
      </c>
    </row>
    <row r="100" spans="1:11" ht="15" customHeight="1">
      <c r="F100" s="320" t="s">
        <v>1213</v>
      </c>
      <c r="G100" s="312">
        <f>G99/D81</f>
        <v>2230.25</v>
      </c>
    </row>
    <row r="102" spans="1:11" ht="15" customHeight="1">
      <c r="A102" s="307" t="s">
        <v>1438</v>
      </c>
      <c r="B102" s="1109" t="s">
        <v>303</v>
      </c>
      <c r="C102" s="313" t="s">
        <v>1188</v>
      </c>
      <c r="D102" s="314">
        <f>6*3</f>
        <v>18</v>
      </c>
      <c r="E102" s="311" t="s">
        <v>112</v>
      </c>
      <c r="F102" s="312"/>
      <c r="G102" s="312"/>
    </row>
    <row r="103" spans="1:11" ht="15" customHeight="1">
      <c r="A103" s="310"/>
      <c r="B103" s="1109"/>
      <c r="C103" s="322"/>
      <c r="D103" s="329"/>
      <c r="E103" s="329"/>
      <c r="F103" s="312"/>
      <c r="G103" s="312"/>
    </row>
    <row r="104" spans="1:11" ht="15" customHeight="1">
      <c r="A104" s="310"/>
      <c r="B104" s="337"/>
      <c r="C104" s="322"/>
      <c r="D104" s="329"/>
      <c r="E104" s="329"/>
      <c r="F104" s="312"/>
      <c r="G104" s="312"/>
    </row>
    <row r="105" spans="1:11" ht="15" customHeight="1">
      <c r="A105" s="310" t="s">
        <v>1341</v>
      </c>
      <c r="B105" s="310"/>
      <c r="C105" s="308"/>
      <c r="D105" s="311"/>
      <c r="E105" s="311"/>
      <c r="F105" s="312"/>
      <c r="G105" s="312"/>
    </row>
    <row r="106" spans="1:11" ht="26.25" customHeight="1">
      <c r="A106" s="310"/>
      <c r="B106" s="310"/>
      <c r="C106" s="308"/>
      <c r="D106" s="311" t="s">
        <v>1409</v>
      </c>
      <c r="E106" s="311" t="s">
        <v>1410</v>
      </c>
      <c r="F106" s="312" t="s">
        <v>1411</v>
      </c>
      <c r="G106" s="312" t="s">
        <v>1217</v>
      </c>
    </row>
    <row r="107" spans="1:11" ht="15" customHeight="1">
      <c r="A107" s="310"/>
      <c r="B107" s="310"/>
      <c r="C107" s="315" t="s">
        <v>1412</v>
      </c>
      <c r="D107" s="316">
        <v>1</v>
      </c>
      <c r="E107" s="316">
        <v>5</v>
      </c>
      <c r="F107" s="317">
        <v>615</v>
      </c>
      <c r="G107" s="318">
        <f>F107*E107*D107</f>
        <v>3075</v>
      </c>
    </row>
    <row r="108" spans="1:11" ht="15" customHeight="1">
      <c r="A108" s="310"/>
      <c r="B108" s="310"/>
      <c r="C108" s="315" t="s">
        <v>1439</v>
      </c>
      <c r="D108" s="316">
        <v>1</v>
      </c>
      <c r="E108" s="316">
        <f>E107</f>
        <v>5</v>
      </c>
      <c r="F108" s="317">
        <v>390</v>
      </c>
      <c r="G108" s="318">
        <f>F108*E108*D108</f>
        <v>1950</v>
      </c>
    </row>
    <row r="109" spans="1:11" ht="15" customHeight="1">
      <c r="A109" s="310"/>
      <c r="B109" s="310"/>
      <c r="C109" s="315" t="s">
        <v>1415</v>
      </c>
      <c r="D109" s="316">
        <v>3</v>
      </c>
      <c r="E109" s="316">
        <f>E108</f>
        <v>5</v>
      </c>
      <c r="F109" s="317">
        <v>341</v>
      </c>
      <c r="G109" s="319">
        <f>F109*E109*D109</f>
        <v>5115</v>
      </c>
    </row>
    <row r="110" spans="1:11" ht="15" customHeight="1">
      <c r="A110" s="310"/>
      <c r="B110" s="310"/>
      <c r="C110" s="308"/>
      <c r="D110" s="311"/>
      <c r="E110" s="311"/>
      <c r="F110" s="320" t="s">
        <v>1211</v>
      </c>
      <c r="G110" s="312">
        <f>SUM(G107:G109)</f>
        <v>10140</v>
      </c>
      <c r="H110" s="299">
        <f>G110/G122</f>
        <v>0.41797197032151689</v>
      </c>
    </row>
    <row r="111" spans="1:11" ht="15" customHeight="1">
      <c r="A111" s="310" t="s">
        <v>1215</v>
      </c>
    </row>
    <row r="112" spans="1:11" ht="15" customHeight="1">
      <c r="A112" s="310"/>
      <c r="B112" s="310"/>
      <c r="C112" s="322"/>
      <c r="D112" s="311" t="s">
        <v>173</v>
      </c>
      <c r="E112" s="311" t="s">
        <v>297</v>
      </c>
      <c r="F112" s="320" t="s">
        <v>1216</v>
      </c>
      <c r="G112" s="312" t="s">
        <v>1217</v>
      </c>
    </row>
    <row r="113" spans="1:10" ht="15" customHeight="1">
      <c r="A113" s="310"/>
      <c r="B113" s="310"/>
      <c r="C113" s="308"/>
      <c r="D113" s="311"/>
      <c r="E113" s="311"/>
      <c r="F113" s="320"/>
      <c r="G113" s="312"/>
      <c r="J113" s="299">
        <f t="shared" ref="J113:J120" si="10">D113*5</f>
        <v>0</v>
      </c>
    </row>
    <row r="114" spans="1:10" ht="15" customHeight="1">
      <c r="A114" s="310"/>
      <c r="B114" s="310"/>
      <c r="C114" s="323" t="s">
        <v>1440</v>
      </c>
      <c r="D114" s="324">
        <f>D102</f>
        <v>18</v>
      </c>
      <c r="E114" s="325" t="s">
        <v>112</v>
      </c>
      <c r="F114" s="326">
        <v>520</v>
      </c>
      <c r="G114" s="318">
        <f>F114*D114</f>
        <v>9360</v>
      </c>
      <c r="J114" s="299">
        <f t="shared" si="10"/>
        <v>90</v>
      </c>
    </row>
    <row r="115" spans="1:10" ht="15" customHeight="1">
      <c r="A115" s="310"/>
      <c r="B115" s="310"/>
      <c r="C115" s="338" t="s">
        <v>1441</v>
      </c>
      <c r="D115" s="324">
        <v>200</v>
      </c>
      <c r="E115" s="325" t="s">
        <v>21</v>
      </c>
      <c r="F115" s="326">
        <v>3</v>
      </c>
      <c r="G115" s="318">
        <f t="shared" ref="G115:G120" si="11">F115*D115</f>
        <v>600</v>
      </c>
      <c r="J115" s="299">
        <f t="shared" si="10"/>
        <v>1000</v>
      </c>
    </row>
    <row r="116" spans="1:10" ht="15" customHeight="1">
      <c r="A116" s="310"/>
      <c r="B116" s="310"/>
      <c r="C116" s="338" t="s">
        <v>1442</v>
      </c>
      <c r="D116" s="324">
        <v>7</v>
      </c>
      <c r="E116" s="325" t="s">
        <v>350</v>
      </c>
      <c r="F116" s="326">
        <v>650</v>
      </c>
      <c r="G116" s="318">
        <f t="shared" si="11"/>
        <v>4550</v>
      </c>
      <c r="J116" s="299">
        <f t="shared" si="10"/>
        <v>35</v>
      </c>
    </row>
    <row r="117" spans="1:10" ht="15" customHeight="1">
      <c r="A117" s="310"/>
      <c r="B117" s="310"/>
      <c r="C117" s="338" t="s">
        <v>1443</v>
      </c>
      <c r="D117" s="324">
        <v>12</v>
      </c>
      <c r="E117" s="325" t="s">
        <v>350</v>
      </c>
      <c r="F117" s="326">
        <v>550</v>
      </c>
      <c r="G117" s="318">
        <f t="shared" si="11"/>
        <v>6600</v>
      </c>
      <c r="J117" s="299">
        <f t="shared" si="10"/>
        <v>60</v>
      </c>
    </row>
    <row r="118" spans="1:10" ht="15" customHeight="1">
      <c r="A118" s="310"/>
      <c r="B118" s="310"/>
      <c r="C118" s="338" t="s">
        <v>1444</v>
      </c>
      <c r="D118" s="324">
        <v>5</v>
      </c>
      <c r="E118" s="325" t="s">
        <v>21</v>
      </c>
      <c r="F118" s="326">
        <v>120</v>
      </c>
      <c r="G118" s="318">
        <f t="shared" si="11"/>
        <v>600</v>
      </c>
      <c r="J118" s="299">
        <f t="shared" si="10"/>
        <v>25</v>
      </c>
    </row>
    <row r="119" spans="1:10" ht="15" customHeight="1">
      <c r="A119" s="310"/>
      <c r="B119" s="310"/>
      <c r="C119" s="338" t="s">
        <v>1445</v>
      </c>
      <c r="D119" s="324">
        <v>5</v>
      </c>
      <c r="E119" s="325" t="s">
        <v>21</v>
      </c>
      <c r="F119" s="326">
        <v>110</v>
      </c>
      <c r="G119" s="318">
        <f t="shared" si="11"/>
        <v>550</v>
      </c>
      <c r="J119" s="299">
        <f t="shared" si="10"/>
        <v>25</v>
      </c>
    </row>
    <row r="120" spans="1:10" ht="15" customHeight="1">
      <c r="A120" s="310"/>
      <c r="B120" s="310"/>
      <c r="C120" s="338" t="s">
        <v>696</v>
      </c>
      <c r="D120" s="324">
        <v>5</v>
      </c>
      <c r="E120" s="325" t="s">
        <v>238</v>
      </c>
      <c r="F120" s="326">
        <v>190</v>
      </c>
      <c r="G120" s="318">
        <f t="shared" si="11"/>
        <v>950</v>
      </c>
      <c r="J120" s="299">
        <f t="shared" si="10"/>
        <v>25</v>
      </c>
    </row>
    <row r="121" spans="1:10" ht="15" customHeight="1">
      <c r="A121" s="310"/>
      <c r="B121" s="310"/>
      <c r="C121" s="327" t="s">
        <v>1428</v>
      </c>
      <c r="D121" s="324">
        <v>5</v>
      </c>
      <c r="E121" s="325" t="s">
        <v>21</v>
      </c>
      <c r="F121" s="326">
        <v>210</v>
      </c>
      <c r="G121" s="319">
        <f>F121*D121</f>
        <v>1050</v>
      </c>
      <c r="J121" s="299">
        <f>D121*5</f>
        <v>25</v>
      </c>
    </row>
    <row r="122" spans="1:10" ht="15" customHeight="1">
      <c r="A122" s="310"/>
      <c r="B122" s="310"/>
      <c r="C122" s="308"/>
      <c r="D122" s="311"/>
      <c r="E122" s="311"/>
      <c r="F122" s="320" t="s">
        <v>1211</v>
      </c>
      <c r="G122" s="307">
        <f>SUM(G114:G121)</f>
        <v>24260</v>
      </c>
    </row>
    <row r="123" spans="1:10" ht="15" customHeight="1">
      <c r="A123" s="310"/>
      <c r="B123" s="310"/>
      <c r="C123" s="308"/>
      <c r="D123" s="311"/>
      <c r="E123" s="311"/>
    </row>
    <row r="124" spans="1:10" ht="15" customHeight="1">
      <c r="A124" s="310"/>
      <c r="B124" s="310"/>
      <c r="C124" s="308"/>
      <c r="D124" s="311"/>
      <c r="E124" s="311"/>
      <c r="F124" s="320" t="s">
        <v>1212</v>
      </c>
      <c r="G124" s="312">
        <f>G122+G110</f>
        <v>34400</v>
      </c>
    </row>
    <row r="125" spans="1:10" ht="15" customHeight="1">
      <c r="F125" s="320" t="s">
        <v>1213</v>
      </c>
      <c r="G125" s="312">
        <f>G124/D102</f>
        <v>1911.1111111111111</v>
      </c>
    </row>
    <row r="128" spans="1:10" ht="15" customHeight="1">
      <c r="A128" s="307" t="s">
        <v>1446</v>
      </c>
      <c r="B128" s="1109" t="s">
        <v>157</v>
      </c>
      <c r="C128" s="313" t="s">
        <v>1188</v>
      </c>
      <c r="D128" s="314">
        <f>72+99</f>
        <v>171</v>
      </c>
      <c r="E128" s="311" t="s">
        <v>112</v>
      </c>
      <c r="F128" s="312"/>
      <c r="G128" s="312"/>
    </row>
    <row r="129" spans="1:8" ht="15" customHeight="1">
      <c r="A129" s="310"/>
      <c r="B129" s="1109"/>
      <c r="C129" s="322"/>
      <c r="D129" s="329"/>
      <c r="E129" s="329"/>
      <c r="F129" s="312"/>
      <c r="G129" s="312"/>
    </row>
    <row r="130" spans="1:8" ht="15" customHeight="1">
      <c r="A130" s="310"/>
      <c r="B130" s="337"/>
      <c r="C130" s="322"/>
      <c r="D130" s="329"/>
      <c r="E130" s="329"/>
      <c r="F130" s="312"/>
      <c r="G130" s="312"/>
    </row>
    <row r="131" spans="1:8" ht="15" customHeight="1">
      <c r="A131" s="310" t="s">
        <v>1341</v>
      </c>
      <c r="B131" s="310"/>
      <c r="C131" s="308"/>
      <c r="D131" s="311"/>
      <c r="E131" s="311"/>
      <c r="F131" s="312"/>
      <c r="G131" s="312"/>
    </row>
    <row r="132" spans="1:8" ht="26.25" customHeight="1">
      <c r="A132" s="310"/>
      <c r="B132" s="310"/>
      <c r="C132" s="308"/>
      <c r="D132" s="311" t="s">
        <v>1409</v>
      </c>
      <c r="E132" s="311" t="s">
        <v>1410</v>
      </c>
      <c r="F132" s="312" t="s">
        <v>1411</v>
      </c>
      <c r="G132" s="312" t="s">
        <v>1217</v>
      </c>
    </row>
    <row r="133" spans="1:8" ht="15" customHeight="1">
      <c r="A133" s="310"/>
      <c r="B133" s="310"/>
      <c r="C133" s="315" t="s">
        <v>1412</v>
      </c>
      <c r="D133" s="316">
        <v>1</v>
      </c>
      <c r="E133" s="316">
        <v>5</v>
      </c>
      <c r="F133" s="317">
        <v>615</v>
      </c>
      <c r="G133" s="318">
        <f>F133*E133*D133</f>
        <v>3075</v>
      </c>
    </row>
    <row r="134" spans="1:8" ht="15" customHeight="1">
      <c r="A134" s="310"/>
      <c r="B134" s="310"/>
      <c r="C134" s="315" t="s">
        <v>1447</v>
      </c>
      <c r="D134" s="316">
        <v>2</v>
      </c>
      <c r="E134" s="316">
        <f>E133</f>
        <v>5</v>
      </c>
      <c r="F134" s="317">
        <v>390</v>
      </c>
      <c r="G134" s="318">
        <f>F134*E134*D134</f>
        <v>3900</v>
      </c>
    </row>
    <row r="135" spans="1:8" ht="15" customHeight="1">
      <c r="A135" s="310"/>
      <c r="B135" s="310"/>
      <c r="C135" s="315" t="s">
        <v>1415</v>
      </c>
      <c r="D135" s="316">
        <v>4</v>
      </c>
      <c r="E135" s="316">
        <f>E134</f>
        <v>5</v>
      </c>
      <c r="F135" s="317">
        <v>341</v>
      </c>
      <c r="G135" s="319">
        <f>F135*E135*D135</f>
        <v>6820</v>
      </c>
    </row>
    <row r="136" spans="1:8" ht="15" customHeight="1">
      <c r="A136" s="310"/>
      <c r="B136" s="310"/>
      <c r="C136" s="308"/>
      <c r="D136" s="311"/>
      <c r="E136" s="311"/>
      <c r="F136" s="320" t="s">
        <v>1211</v>
      </c>
      <c r="G136" s="312">
        <f>SUM(G133:G135)</f>
        <v>13795</v>
      </c>
      <c r="H136" s="299">
        <f>G136/G153</f>
        <v>0.36070074519545037</v>
      </c>
    </row>
    <row r="137" spans="1:8" ht="15" customHeight="1">
      <c r="A137" s="310" t="s">
        <v>1215</v>
      </c>
    </row>
    <row r="138" spans="1:8" ht="15" customHeight="1">
      <c r="A138" s="310"/>
      <c r="B138" s="310"/>
      <c r="C138" s="322"/>
      <c r="D138" s="311" t="s">
        <v>173</v>
      </c>
      <c r="E138" s="311" t="s">
        <v>297</v>
      </c>
      <c r="F138" s="320" t="s">
        <v>1216</v>
      </c>
      <c r="G138" s="312" t="s">
        <v>1217</v>
      </c>
    </row>
    <row r="139" spans="1:8" ht="15" customHeight="1">
      <c r="A139" s="310"/>
      <c r="B139" s="310"/>
      <c r="C139" s="308"/>
      <c r="D139" s="311"/>
      <c r="E139" s="311"/>
      <c r="F139" s="320"/>
      <c r="G139" s="312"/>
    </row>
    <row r="140" spans="1:8" ht="15" customHeight="1">
      <c r="A140" s="310"/>
      <c r="B140" s="310"/>
      <c r="C140" s="339" t="s">
        <v>772</v>
      </c>
      <c r="D140" s="340">
        <v>5</v>
      </c>
      <c r="E140" s="341" t="s">
        <v>336</v>
      </c>
      <c r="F140" s="342">
        <v>615</v>
      </c>
      <c r="G140" s="318">
        <f t="shared" ref="G140:G143" si="12">F140*D140</f>
        <v>3075</v>
      </c>
    </row>
    <row r="141" spans="1:8" ht="15" customHeight="1">
      <c r="A141" s="310"/>
      <c r="B141" s="310"/>
      <c r="C141" s="339" t="s">
        <v>1448</v>
      </c>
      <c r="D141" s="340">
        <v>5</v>
      </c>
      <c r="E141" s="341" t="s">
        <v>367</v>
      </c>
      <c r="F141" s="342">
        <v>850</v>
      </c>
      <c r="G141" s="318">
        <f t="shared" si="12"/>
        <v>4250</v>
      </c>
    </row>
    <row r="142" spans="1:8" ht="15" customHeight="1">
      <c r="A142" s="310"/>
      <c r="B142" s="310"/>
      <c r="C142" s="339" t="s">
        <v>1449</v>
      </c>
      <c r="D142" s="340">
        <v>10</v>
      </c>
      <c r="E142" s="341" t="s">
        <v>367</v>
      </c>
      <c r="F142" s="342">
        <v>800</v>
      </c>
      <c r="G142" s="318">
        <f t="shared" si="12"/>
        <v>8000</v>
      </c>
    </row>
    <row r="143" spans="1:8" ht="15" customHeight="1">
      <c r="A143" s="310"/>
      <c r="B143" s="310"/>
      <c r="C143" s="339" t="s">
        <v>1450</v>
      </c>
      <c r="D143" s="340">
        <v>14</v>
      </c>
      <c r="E143" s="341" t="s">
        <v>367</v>
      </c>
      <c r="F143" s="342">
        <v>810</v>
      </c>
      <c r="G143" s="318">
        <f t="shared" si="12"/>
        <v>11340</v>
      </c>
    </row>
    <row r="144" spans="1:8" ht="15" customHeight="1">
      <c r="A144" s="310"/>
      <c r="B144" s="310"/>
      <c r="C144" s="343" t="s">
        <v>1451</v>
      </c>
      <c r="D144" s="340">
        <v>8</v>
      </c>
      <c r="E144" s="341" t="s">
        <v>691</v>
      </c>
      <c r="F144" s="344">
        <v>350</v>
      </c>
      <c r="G144" s="318">
        <f t="shared" ref="G144:G152" si="13">F144*D144</f>
        <v>2800</v>
      </c>
    </row>
    <row r="145" spans="1:8" ht="15" customHeight="1">
      <c r="A145" s="310"/>
      <c r="B145" s="310"/>
      <c r="C145" s="345" t="s">
        <v>1452</v>
      </c>
      <c r="D145" s="340">
        <v>7</v>
      </c>
      <c r="E145" s="341" t="s">
        <v>367</v>
      </c>
      <c r="F145" s="346">
        <v>650</v>
      </c>
      <c r="G145" s="318">
        <f t="shared" si="13"/>
        <v>4550</v>
      </c>
    </row>
    <row r="146" spans="1:8" ht="15" customHeight="1">
      <c r="A146" s="310"/>
      <c r="B146" s="310"/>
      <c r="C146" s="347" t="s">
        <v>1453</v>
      </c>
      <c r="D146" s="340">
        <v>8</v>
      </c>
      <c r="E146" s="341" t="s">
        <v>398</v>
      </c>
      <c r="F146" s="342">
        <v>250</v>
      </c>
      <c r="G146" s="318">
        <f t="shared" si="13"/>
        <v>2000</v>
      </c>
    </row>
    <row r="147" spans="1:8" ht="15" customHeight="1">
      <c r="A147" s="310"/>
      <c r="B147" s="310"/>
      <c r="C147" s="343" t="s">
        <v>1454</v>
      </c>
      <c r="D147" s="340">
        <v>8</v>
      </c>
      <c r="E147" s="341" t="s">
        <v>21</v>
      </c>
      <c r="F147" s="344">
        <v>35</v>
      </c>
      <c r="G147" s="318">
        <f t="shared" si="13"/>
        <v>280</v>
      </c>
    </row>
    <row r="148" spans="1:8" ht="15" customHeight="1">
      <c r="A148" s="310"/>
      <c r="B148" s="310"/>
      <c r="C148" s="343" t="s">
        <v>1455</v>
      </c>
      <c r="D148" s="340">
        <v>5</v>
      </c>
      <c r="E148" s="341" t="s">
        <v>21</v>
      </c>
      <c r="F148" s="344">
        <v>45</v>
      </c>
      <c r="G148" s="318">
        <f t="shared" si="13"/>
        <v>225</v>
      </c>
    </row>
    <row r="149" spans="1:8" ht="15" customHeight="1">
      <c r="A149" s="310"/>
      <c r="B149" s="310"/>
      <c r="C149" s="343" t="s">
        <v>1456</v>
      </c>
      <c r="D149" s="340">
        <v>5</v>
      </c>
      <c r="E149" s="341" t="s">
        <v>21</v>
      </c>
      <c r="F149" s="344">
        <v>95</v>
      </c>
      <c r="G149" s="318">
        <f t="shared" si="13"/>
        <v>475</v>
      </c>
    </row>
    <row r="150" spans="1:8" ht="15" customHeight="1">
      <c r="A150" s="310"/>
      <c r="B150" s="310"/>
      <c r="C150" s="343" t="s">
        <v>1457</v>
      </c>
      <c r="D150" s="340">
        <v>5</v>
      </c>
      <c r="E150" s="341" t="s">
        <v>21</v>
      </c>
      <c r="F150" s="344">
        <v>135</v>
      </c>
      <c r="G150" s="318">
        <f t="shared" si="13"/>
        <v>675</v>
      </c>
    </row>
    <row r="151" spans="1:8" ht="15" customHeight="1">
      <c r="A151" s="310"/>
      <c r="B151" s="310"/>
      <c r="C151" s="347" t="s">
        <v>1458</v>
      </c>
      <c r="D151" s="340">
        <v>5</v>
      </c>
      <c r="E151" s="341" t="s">
        <v>21</v>
      </c>
      <c r="F151" s="342">
        <v>65</v>
      </c>
      <c r="G151" s="318">
        <f t="shared" si="13"/>
        <v>325</v>
      </c>
    </row>
    <row r="152" spans="1:8" ht="15" customHeight="1">
      <c r="A152" s="310"/>
      <c r="B152" s="310"/>
      <c r="C152" s="348" t="s">
        <v>1459</v>
      </c>
      <c r="D152" s="340">
        <v>10</v>
      </c>
      <c r="E152" s="349" t="s">
        <v>612</v>
      </c>
      <c r="F152" s="350">
        <v>25</v>
      </c>
      <c r="G152" s="319">
        <f t="shared" si="13"/>
        <v>250</v>
      </c>
    </row>
    <row r="153" spans="1:8" ht="15" customHeight="1">
      <c r="A153" s="310"/>
      <c r="B153" s="310"/>
      <c r="C153" s="308"/>
      <c r="D153" s="311"/>
      <c r="E153" s="311"/>
      <c r="F153" s="320" t="s">
        <v>1211</v>
      </c>
      <c r="G153" s="307">
        <f>SUM(G140:G152)</f>
        <v>38245</v>
      </c>
      <c r="H153" s="299">
        <f>G153*5</f>
        <v>191225</v>
      </c>
    </row>
    <row r="154" spans="1:8" ht="15" customHeight="1">
      <c r="A154" s="310"/>
      <c r="B154" s="310"/>
      <c r="C154" s="308"/>
      <c r="D154" s="311"/>
      <c r="E154" s="311"/>
    </row>
    <row r="155" spans="1:8" ht="15" customHeight="1">
      <c r="A155" s="310"/>
      <c r="B155" s="310"/>
      <c r="C155" s="308"/>
      <c r="D155" s="311"/>
      <c r="E155" s="311"/>
      <c r="F155" s="320" t="s">
        <v>1212</v>
      </c>
      <c r="G155" s="312">
        <f>G153+G136</f>
        <v>52040</v>
      </c>
    </row>
    <row r="156" spans="1:8" ht="15" customHeight="1">
      <c r="F156" s="320" t="s">
        <v>1213</v>
      </c>
      <c r="G156" s="312">
        <f>G155/D128</f>
        <v>304.32748538011697</v>
      </c>
    </row>
    <row r="158" spans="1:8" ht="15" customHeight="1">
      <c r="A158" s="307" t="s">
        <v>1460</v>
      </c>
      <c r="B158" s="1109" t="s">
        <v>1461</v>
      </c>
      <c r="C158" s="313" t="s">
        <v>1188</v>
      </c>
      <c r="D158" s="314">
        <v>1</v>
      </c>
      <c r="E158" s="311" t="s">
        <v>1282</v>
      </c>
      <c r="F158" s="312"/>
      <c r="G158" s="312"/>
    </row>
    <row r="159" spans="1:8" ht="15" customHeight="1">
      <c r="A159" s="310"/>
      <c r="B159" s="1109"/>
      <c r="C159" s="322"/>
      <c r="D159" s="329"/>
      <c r="E159" s="329"/>
      <c r="F159" s="312"/>
      <c r="G159" s="312"/>
    </row>
    <row r="160" spans="1:8" ht="15" customHeight="1">
      <c r="A160" s="310"/>
      <c r="B160" s="337"/>
      <c r="C160" s="322"/>
      <c r="D160" s="329"/>
      <c r="E160" s="329"/>
      <c r="F160" s="312"/>
      <c r="G160" s="312"/>
    </row>
    <row r="161" spans="1:8" ht="15" customHeight="1">
      <c r="A161" s="310" t="s">
        <v>1341</v>
      </c>
      <c r="B161" s="310"/>
      <c r="C161" s="308"/>
      <c r="D161" s="311"/>
      <c r="E161" s="311"/>
      <c r="F161" s="312"/>
      <c r="G161" s="312"/>
    </row>
    <row r="162" spans="1:8" ht="26.25" customHeight="1">
      <c r="A162" s="310"/>
      <c r="B162" s="310"/>
      <c r="C162" s="308"/>
      <c r="D162" s="311" t="s">
        <v>1409</v>
      </c>
      <c r="E162" s="311" t="s">
        <v>1410</v>
      </c>
      <c r="F162" s="312" t="s">
        <v>1411</v>
      </c>
      <c r="G162" s="312" t="s">
        <v>1217</v>
      </c>
    </row>
    <row r="163" spans="1:8" ht="15" customHeight="1">
      <c r="A163" s="310"/>
      <c r="B163" s="310"/>
      <c r="C163" s="315" t="s">
        <v>1412</v>
      </c>
      <c r="D163" s="316">
        <v>1</v>
      </c>
      <c r="E163" s="316">
        <v>5</v>
      </c>
      <c r="F163" s="317">
        <v>615</v>
      </c>
      <c r="G163" s="318">
        <f>F163*E163*D163</f>
        <v>3075</v>
      </c>
    </row>
    <row r="164" spans="1:8" ht="15" customHeight="1">
      <c r="A164" s="310"/>
      <c r="B164" s="310"/>
      <c r="C164" s="315" t="s">
        <v>1462</v>
      </c>
      <c r="D164" s="316">
        <v>1</v>
      </c>
      <c r="E164" s="316">
        <f>E163</f>
        <v>5</v>
      </c>
      <c r="F164" s="317">
        <v>390</v>
      </c>
      <c r="G164" s="318">
        <f>F164*E164*D164</f>
        <v>1950</v>
      </c>
    </row>
    <row r="165" spans="1:8" ht="15" customHeight="1">
      <c r="A165" s="310"/>
      <c r="B165" s="310"/>
      <c r="C165" s="315" t="s">
        <v>1415</v>
      </c>
      <c r="D165" s="316">
        <v>2</v>
      </c>
      <c r="E165" s="316">
        <f>E164</f>
        <v>5</v>
      </c>
      <c r="F165" s="317">
        <v>341</v>
      </c>
      <c r="G165" s="319">
        <f>F165*E165*D165</f>
        <v>3410</v>
      </c>
    </row>
    <row r="166" spans="1:8" ht="15" customHeight="1">
      <c r="A166" s="310"/>
      <c r="B166" s="310"/>
      <c r="C166" s="308"/>
      <c r="D166" s="311"/>
      <c r="E166" s="311"/>
      <c r="F166" s="320" t="s">
        <v>1211</v>
      </c>
      <c r="G166" s="312">
        <f>SUM(G163:G165)</f>
        <v>8435</v>
      </c>
      <c r="H166" s="299">
        <f>G166/G190</f>
        <v>0.43445789338140611</v>
      </c>
    </row>
    <row r="167" spans="1:8" ht="15" customHeight="1">
      <c r="A167" s="310" t="s">
        <v>1215</v>
      </c>
    </row>
    <row r="168" spans="1:8" ht="15" customHeight="1">
      <c r="A168" s="310"/>
      <c r="B168" s="310"/>
      <c r="C168" s="322"/>
      <c r="D168" s="311" t="s">
        <v>173</v>
      </c>
      <c r="E168" s="311" t="s">
        <v>297</v>
      </c>
      <c r="F168" s="320" t="s">
        <v>1216</v>
      </c>
      <c r="G168" s="312" t="s">
        <v>1217</v>
      </c>
    </row>
    <row r="169" spans="1:8" ht="15" customHeight="1">
      <c r="A169" s="310"/>
      <c r="B169" s="310"/>
      <c r="C169" s="308"/>
      <c r="D169" s="311"/>
      <c r="E169" s="311"/>
      <c r="F169" s="320"/>
      <c r="G169" s="312"/>
    </row>
    <row r="170" spans="1:8" ht="15" customHeight="1">
      <c r="A170" s="310"/>
      <c r="B170" s="310"/>
      <c r="C170" s="351" t="s">
        <v>1463</v>
      </c>
      <c r="D170" s="353">
        <v>30</v>
      </c>
      <c r="E170" s="341" t="s">
        <v>21</v>
      </c>
      <c r="F170" s="342">
        <v>210</v>
      </c>
      <c r="G170" s="318">
        <f>F170*D170</f>
        <v>6300</v>
      </c>
      <c r="H170" s="299">
        <f>G170+G153+G122+G97+G76+G50+G30</f>
        <v>149025.00200000001</v>
      </c>
    </row>
    <row r="171" spans="1:8" ht="15" customHeight="1">
      <c r="A171" s="310"/>
      <c r="B171" s="310"/>
      <c r="C171" s="351" t="s">
        <v>1464</v>
      </c>
      <c r="D171" s="353">
        <f>6*3/0.4*0.4</f>
        <v>18</v>
      </c>
      <c r="E171" s="341" t="s">
        <v>21</v>
      </c>
      <c r="F171" s="342">
        <v>190</v>
      </c>
      <c r="G171" s="318">
        <f>F171*D171</f>
        <v>3420</v>
      </c>
    </row>
    <row r="172" spans="1:8" ht="15" customHeight="1">
      <c r="A172" s="310"/>
      <c r="B172" s="310"/>
      <c r="C172" s="339" t="s">
        <v>1465</v>
      </c>
      <c r="D172" s="360">
        <v>10</v>
      </c>
      <c r="E172" s="341" t="s">
        <v>21</v>
      </c>
      <c r="F172" s="342">
        <v>190</v>
      </c>
      <c r="G172" s="318">
        <f t="shared" ref="G172:G189" si="14">F172*D172</f>
        <v>1900</v>
      </c>
    </row>
    <row r="173" spans="1:8" ht="15" customHeight="1">
      <c r="A173" s="310"/>
      <c r="B173" s="310"/>
      <c r="C173" s="339" t="s">
        <v>560</v>
      </c>
      <c r="D173" s="360">
        <v>5</v>
      </c>
      <c r="E173" s="341" t="s">
        <v>336</v>
      </c>
      <c r="F173" s="342">
        <v>120</v>
      </c>
      <c r="G173" s="318">
        <f t="shared" si="14"/>
        <v>600</v>
      </c>
    </row>
    <row r="174" spans="1:8" ht="15" customHeight="1">
      <c r="A174" s="310"/>
      <c r="B174" s="310"/>
      <c r="C174" s="347" t="s">
        <v>1466</v>
      </c>
      <c r="D174" s="360">
        <v>2</v>
      </c>
      <c r="E174" s="341" t="s">
        <v>575</v>
      </c>
      <c r="F174" s="342">
        <v>800</v>
      </c>
      <c r="G174" s="318">
        <f t="shared" si="14"/>
        <v>1600</v>
      </c>
    </row>
    <row r="175" spans="1:8" ht="15" customHeight="1">
      <c r="A175" s="310"/>
      <c r="B175" s="310"/>
      <c r="C175" s="347" t="s">
        <v>1467</v>
      </c>
      <c r="D175" s="360">
        <v>2</v>
      </c>
      <c r="E175" s="341" t="s">
        <v>575</v>
      </c>
      <c r="F175" s="342">
        <v>280</v>
      </c>
      <c r="G175" s="318">
        <f t="shared" si="14"/>
        <v>560</v>
      </c>
    </row>
    <row r="176" spans="1:8" ht="15" customHeight="1">
      <c r="A176" s="310"/>
      <c r="B176" s="310"/>
      <c r="C176" s="347" t="s">
        <v>1468</v>
      </c>
      <c r="D176" s="360">
        <v>2</v>
      </c>
      <c r="E176" s="341" t="s">
        <v>575</v>
      </c>
      <c r="F176" s="342">
        <v>80</v>
      </c>
      <c r="G176" s="318">
        <f t="shared" si="14"/>
        <v>160</v>
      </c>
    </row>
    <row r="177" spans="1:8" ht="15" customHeight="1">
      <c r="A177" s="310"/>
      <c r="B177" s="310"/>
      <c r="C177" s="343" t="s">
        <v>1469</v>
      </c>
      <c r="D177" s="360">
        <v>3</v>
      </c>
      <c r="E177" s="341" t="s">
        <v>21</v>
      </c>
      <c r="F177" s="344">
        <v>60</v>
      </c>
      <c r="G177" s="318">
        <f t="shared" si="14"/>
        <v>180</v>
      </c>
    </row>
    <row r="178" spans="1:8" ht="15" customHeight="1">
      <c r="A178" s="310"/>
      <c r="B178" s="310"/>
      <c r="C178" s="343" t="s">
        <v>1470</v>
      </c>
      <c r="D178" s="360">
        <v>3</v>
      </c>
      <c r="E178" s="341" t="s">
        <v>21</v>
      </c>
      <c r="F178" s="344">
        <v>50</v>
      </c>
      <c r="G178" s="318">
        <f t="shared" si="14"/>
        <v>150</v>
      </c>
    </row>
    <row r="179" spans="1:8" ht="15" customHeight="1">
      <c r="A179" s="310"/>
      <c r="B179" s="310"/>
      <c r="C179" s="348" t="s">
        <v>1471</v>
      </c>
      <c r="D179" s="360">
        <v>3</v>
      </c>
      <c r="E179" s="349" t="s">
        <v>21</v>
      </c>
      <c r="F179" s="350">
        <v>105</v>
      </c>
      <c r="G179" s="318">
        <f t="shared" si="14"/>
        <v>315</v>
      </c>
    </row>
    <row r="180" spans="1:8" ht="15" customHeight="1">
      <c r="A180" s="310"/>
      <c r="B180" s="310"/>
      <c r="C180" s="348" t="s">
        <v>494</v>
      </c>
      <c r="D180" s="360">
        <v>3</v>
      </c>
      <c r="E180" s="349" t="s">
        <v>21</v>
      </c>
      <c r="F180" s="350">
        <v>60</v>
      </c>
      <c r="G180" s="318">
        <f t="shared" si="14"/>
        <v>180</v>
      </c>
    </row>
    <row r="181" spans="1:8" ht="15" customHeight="1">
      <c r="A181" s="310"/>
      <c r="B181" s="310"/>
      <c r="C181" s="348" t="s">
        <v>1472</v>
      </c>
      <c r="D181" s="360">
        <v>2</v>
      </c>
      <c r="E181" s="349" t="s">
        <v>21</v>
      </c>
      <c r="F181" s="350">
        <v>60</v>
      </c>
      <c r="G181" s="318">
        <f t="shared" si="14"/>
        <v>120</v>
      </c>
    </row>
    <row r="182" spans="1:8" ht="15" customHeight="1">
      <c r="A182" s="310"/>
      <c r="B182" s="310"/>
      <c r="C182" s="348" t="s">
        <v>1473</v>
      </c>
      <c r="D182" s="360">
        <v>3</v>
      </c>
      <c r="E182" s="349" t="s">
        <v>21</v>
      </c>
      <c r="F182" s="350">
        <v>60</v>
      </c>
      <c r="G182" s="318">
        <f t="shared" si="14"/>
        <v>180</v>
      </c>
    </row>
    <row r="183" spans="1:8" ht="15" customHeight="1">
      <c r="A183" s="310"/>
      <c r="B183" s="310"/>
      <c r="C183" s="348" t="s">
        <v>559</v>
      </c>
      <c r="D183" s="360">
        <v>5</v>
      </c>
      <c r="E183" s="349" t="s">
        <v>378</v>
      </c>
      <c r="F183" s="350">
        <v>20</v>
      </c>
      <c r="G183" s="318">
        <f t="shared" si="14"/>
        <v>100</v>
      </c>
    </row>
    <row r="184" spans="1:8" ht="15" customHeight="1">
      <c r="A184" s="310"/>
      <c r="B184" s="310"/>
      <c r="C184" s="348" t="s">
        <v>1474</v>
      </c>
      <c r="D184" s="360">
        <v>2</v>
      </c>
      <c r="E184" s="349" t="s">
        <v>21</v>
      </c>
      <c r="F184" s="350">
        <v>300</v>
      </c>
      <c r="G184" s="318">
        <f t="shared" si="14"/>
        <v>600</v>
      </c>
    </row>
    <row r="185" spans="1:8" ht="15" customHeight="1">
      <c r="A185" s="310"/>
      <c r="B185" s="310"/>
      <c r="C185" s="343" t="s">
        <v>1475</v>
      </c>
      <c r="D185" s="360">
        <v>3</v>
      </c>
      <c r="E185" s="349" t="s">
        <v>21</v>
      </c>
      <c r="F185" s="350">
        <v>60</v>
      </c>
      <c r="G185" s="318">
        <f t="shared" si="14"/>
        <v>180</v>
      </c>
    </row>
    <row r="186" spans="1:8" ht="15" customHeight="1">
      <c r="A186" s="310"/>
      <c r="B186" s="310"/>
      <c r="C186" s="348" t="s">
        <v>1476</v>
      </c>
      <c r="D186" s="360">
        <v>3</v>
      </c>
      <c r="E186" s="349" t="s">
        <v>21</v>
      </c>
      <c r="F186" s="350">
        <v>40</v>
      </c>
      <c r="G186" s="318">
        <f t="shared" si="14"/>
        <v>120</v>
      </c>
    </row>
    <row r="187" spans="1:8" ht="15" customHeight="1">
      <c r="A187" s="310"/>
      <c r="B187" s="310"/>
      <c r="C187" s="348" t="s">
        <v>1477</v>
      </c>
      <c r="D187" s="360">
        <v>5</v>
      </c>
      <c r="E187" s="349" t="s">
        <v>524</v>
      </c>
      <c r="F187" s="350">
        <v>50</v>
      </c>
      <c r="G187" s="318">
        <f t="shared" si="14"/>
        <v>250</v>
      </c>
    </row>
    <row r="188" spans="1:8" ht="15" customHeight="1">
      <c r="A188" s="310"/>
      <c r="B188" s="310"/>
      <c r="C188" s="348" t="s">
        <v>1478</v>
      </c>
      <c r="D188" s="360">
        <v>2</v>
      </c>
      <c r="E188" s="349" t="s">
        <v>398</v>
      </c>
      <c r="F188" s="350">
        <v>1100</v>
      </c>
      <c r="G188" s="318">
        <f t="shared" si="14"/>
        <v>2200</v>
      </c>
    </row>
    <row r="189" spans="1:8" ht="15" customHeight="1">
      <c r="A189" s="310"/>
      <c r="B189" s="310"/>
      <c r="C189" s="348" t="s">
        <v>1479</v>
      </c>
      <c r="D189" s="360">
        <v>2</v>
      </c>
      <c r="E189" s="349" t="s">
        <v>21</v>
      </c>
      <c r="F189" s="350">
        <v>150</v>
      </c>
      <c r="G189" s="319">
        <f t="shared" si="14"/>
        <v>300</v>
      </c>
    </row>
    <row r="190" spans="1:8" ht="15" customHeight="1">
      <c r="A190" s="310"/>
      <c r="B190" s="310"/>
      <c r="C190" s="308"/>
      <c r="D190" s="311"/>
      <c r="E190" s="311"/>
      <c r="F190" s="320" t="s">
        <v>1211</v>
      </c>
      <c r="G190" s="307">
        <f>SUM(G170:G189)</f>
        <v>19415</v>
      </c>
      <c r="H190" s="299">
        <f>G190*5</f>
        <v>97075</v>
      </c>
    </row>
    <row r="191" spans="1:8" ht="15" customHeight="1">
      <c r="A191" s="310"/>
      <c r="B191" s="310"/>
      <c r="C191" s="308"/>
      <c r="D191" s="311"/>
      <c r="E191" s="311"/>
    </row>
    <row r="192" spans="1:8" ht="15" customHeight="1">
      <c r="A192" s="310"/>
      <c r="B192" s="310"/>
      <c r="C192" s="308"/>
      <c r="D192" s="311"/>
      <c r="E192" s="311"/>
      <c r="F192" s="320" t="s">
        <v>1212</v>
      </c>
      <c r="G192" s="312">
        <f>G190+G166</f>
        <v>27850</v>
      </c>
    </row>
    <row r="193" spans="1:8" ht="15" customHeight="1">
      <c r="F193" s="320" t="s">
        <v>1213</v>
      </c>
      <c r="G193" s="312">
        <f>G192/D158</f>
        <v>27850</v>
      </c>
    </row>
    <row r="194" spans="1:8" ht="15" customHeight="1">
      <c r="F194" s="320"/>
      <c r="G194" s="312"/>
    </row>
    <row r="195" spans="1:8" ht="15" customHeight="1">
      <c r="A195" s="307" t="s">
        <v>1480</v>
      </c>
      <c r="B195" s="1109" t="s">
        <v>308</v>
      </c>
      <c r="C195" s="313" t="s">
        <v>1188</v>
      </c>
      <c r="D195" s="314">
        <v>4</v>
      </c>
      <c r="E195" s="311" t="s">
        <v>169</v>
      </c>
      <c r="F195" s="312"/>
      <c r="G195" s="312"/>
    </row>
    <row r="196" spans="1:8" ht="15" customHeight="1">
      <c r="A196" s="310"/>
      <c r="B196" s="1109"/>
      <c r="C196" s="322"/>
      <c r="D196" s="329"/>
      <c r="E196" s="329"/>
      <c r="F196" s="312"/>
      <c r="G196" s="312"/>
    </row>
    <row r="197" spans="1:8" ht="15" customHeight="1">
      <c r="A197" s="310"/>
      <c r="B197" s="337"/>
      <c r="C197" s="322"/>
      <c r="D197" s="329"/>
      <c r="E197" s="329"/>
      <c r="F197" s="312"/>
      <c r="G197" s="312"/>
    </row>
    <row r="198" spans="1:8" ht="15" customHeight="1">
      <c r="A198" s="310" t="s">
        <v>1341</v>
      </c>
      <c r="B198" s="310"/>
      <c r="C198" s="308"/>
      <c r="D198" s="311"/>
      <c r="E198" s="311"/>
      <c r="F198" s="312"/>
      <c r="G198" s="312"/>
    </row>
    <row r="199" spans="1:8" ht="26.25" customHeight="1">
      <c r="A199" s="310"/>
      <c r="B199" s="310"/>
      <c r="C199" s="308"/>
      <c r="D199" s="311" t="s">
        <v>1409</v>
      </c>
      <c r="E199" s="311" t="s">
        <v>1410</v>
      </c>
      <c r="F199" s="312" t="s">
        <v>1411</v>
      </c>
      <c r="G199" s="312" t="s">
        <v>1217</v>
      </c>
    </row>
    <row r="200" spans="1:8" ht="15" customHeight="1">
      <c r="A200" s="310"/>
      <c r="B200" s="310"/>
      <c r="C200" s="315" t="s">
        <v>1412</v>
      </c>
      <c r="D200" s="316">
        <v>1</v>
      </c>
      <c r="E200" s="316">
        <v>6</v>
      </c>
      <c r="F200" s="317">
        <v>615</v>
      </c>
      <c r="G200" s="318">
        <f>F200*E200*D200</f>
        <v>3690</v>
      </c>
    </row>
    <row r="201" spans="1:8" ht="15" customHeight="1">
      <c r="A201" s="310"/>
      <c r="B201" s="310"/>
      <c r="C201" s="315" t="s">
        <v>1413</v>
      </c>
      <c r="D201" s="316">
        <v>1</v>
      </c>
      <c r="E201" s="316">
        <f>E200</f>
        <v>6</v>
      </c>
      <c r="F201" s="317">
        <v>390</v>
      </c>
      <c r="G201" s="318">
        <f>F201*E201*D201</f>
        <v>2340</v>
      </c>
    </row>
    <row r="202" spans="1:8" ht="15" customHeight="1">
      <c r="A202" s="310"/>
      <c r="B202" s="310"/>
      <c r="C202" s="315" t="s">
        <v>1415</v>
      </c>
      <c r="D202" s="316">
        <v>2</v>
      </c>
      <c r="E202" s="316">
        <f>E201</f>
        <v>6</v>
      </c>
      <c r="F202" s="317">
        <v>341</v>
      </c>
      <c r="G202" s="319">
        <f>F202*E202*D202</f>
        <v>4092</v>
      </c>
    </row>
    <row r="203" spans="1:8" ht="15" customHeight="1">
      <c r="A203" s="310"/>
      <c r="B203" s="310"/>
      <c r="C203" s="308"/>
      <c r="D203" s="311"/>
      <c r="E203" s="311"/>
      <c r="F203" s="320" t="s">
        <v>1211</v>
      </c>
      <c r="G203" s="312">
        <f>SUM(G200:G202)</f>
        <v>10122</v>
      </c>
      <c r="H203" s="299">
        <f>G203/G215</f>
        <v>0.29086206896551725</v>
      </c>
    </row>
    <row r="204" spans="1:8" ht="15" customHeight="1">
      <c r="A204" s="310" t="s">
        <v>1215</v>
      </c>
    </row>
    <row r="205" spans="1:8" ht="15" customHeight="1">
      <c r="A205" s="310"/>
      <c r="B205" s="310"/>
      <c r="C205" s="322"/>
      <c r="D205" s="311" t="s">
        <v>173</v>
      </c>
      <c r="E205" s="311" t="s">
        <v>297</v>
      </c>
      <c r="F205" s="320" t="s">
        <v>1216</v>
      </c>
      <c r="G205" s="312" t="s">
        <v>1217</v>
      </c>
    </row>
    <row r="206" spans="1:8" ht="15" customHeight="1">
      <c r="A206" s="310"/>
      <c r="B206" s="310"/>
      <c r="C206" s="330"/>
      <c r="D206" s="352"/>
      <c r="E206" s="352"/>
      <c r="F206" s="320"/>
      <c r="G206" s="312"/>
    </row>
    <row r="207" spans="1:8" ht="27.95" customHeight="1">
      <c r="A207" s="310"/>
      <c r="B207" s="310"/>
      <c r="C207" s="1110" t="s">
        <v>1481</v>
      </c>
      <c r="D207" s="1107">
        <v>2</v>
      </c>
      <c r="E207" s="1108" t="s">
        <v>404</v>
      </c>
      <c r="F207" s="1104">
        <v>7000</v>
      </c>
      <c r="G207" s="1105">
        <f>F207*D207</f>
        <v>14000</v>
      </c>
    </row>
    <row r="208" spans="1:8" ht="27.95" customHeight="1">
      <c r="A208" s="310"/>
      <c r="B208" s="310"/>
      <c r="C208" s="1110"/>
      <c r="D208" s="1107"/>
      <c r="E208" s="1108"/>
      <c r="F208" s="1104"/>
      <c r="G208" s="1105"/>
    </row>
    <row r="209" spans="1:10" ht="27.95" customHeight="1">
      <c r="A209" s="310"/>
      <c r="B209" s="310"/>
      <c r="C209" s="1110" t="s">
        <v>1482</v>
      </c>
      <c r="D209" s="1107">
        <v>2</v>
      </c>
      <c r="E209" s="1108" t="s">
        <v>404</v>
      </c>
      <c r="F209" s="1104">
        <v>1300</v>
      </c>
      <c r="G209" s="1105">
        <f>F209*D209</f>
        <v>2600</v>
      </c>
    </row>
    <row r="210" spans="1:10" ht="27.95" customHeight="1">
      <c r="A210" s="310"/>
      <c r="B210" s="310"/>
      <c r="C210" s="1110"/>
      <c r="D210" s="1107"/>
      <c r="E210" s="1108"/>
      <c r="F210" s="1104"/>
      <c r="G210" s="1105"/>
    </row>
    <row r="211" spans="1:10" ht="27.95" customHeight="1">
      <c r="A211" s="310"/>
      <c r="B211" s="310"/>
      <c r="C211" s="1110" t="s">
        <v>1483</v>
      </c>
      <c r="D211" s="1107">
        <v>2</v>
      </c>
      <c r="E211" s="1108" t="s">
        <v>404</v>
      </c>
      <c r="F211" s="1104">
        <v>7500</v>
      </c>
      <c r="G211" s="1105">
        <f>F211*D211</f>
        <v>15000</v>
      </c>
    </row>
    <row r="212" spans="1:10" ht="27.95" customHeight="1">
      <c r="A212" s="310"/>
      <c r="B212" s="310"/>
      <c r="C212" s="1110"/>
      <c r="D212" s="1107"/>
      <c r="E212" s="1108"/>
      <c r="F212" s="1104"/>
      <c r="G212" s="1105"/>
    </row>
    <row r="213" spans="1:10" ht="27.95" customHeight="1">
      <c r="A213" s="310"/>
      <c r="B213" s="310"/>
      <c r="C213" s="1110" t="s">
        <v>1484</v>
      </c>
      <c r="D213" s="1107">
        <v>2</v>
      </c>
      <c r="E213" s="1108" t="s">
        <v>404</v>
      </c>
      <c r="F213" s="1104">
        <v>1600</v>
      </c>
      <c r="G213" s="1105">
        <f>F213*D213</f>
        <v>3200</v>
      </c>
    </row>
    <row r="214" spans="1:10" ht="15" customHeight="1">
      <c r="A214" s="310"/>
      <c r="B214" s="310"/>
      <c r="C214" s="1110"/>
      <c r="D214" s="1107"/>
      <c r="E214" s="1108"/>
      <c r="F214" s="1104"/>
      <c r="G214" s="1106"/>
      <c r="H214" s="299">
        <f>D214*5</f>
        <v>0</v>
      </c>
    </row>
    <row r="215" spans="1:10" ht="15" customHeight="1">
      <c r="A215" s="310"/>
      <c r="B215" s="310"/>
      <c r="C215" s="308"/>
      <c r="D215" s="311"/>
      <c r="E215" s="311"/>
      <c r="F215" s="320" t="s">
        <v>1211</v>
      </c>
      <c r="G215" s="307">
        <f>SUM(G207:G214)</f>
        <v>34800</v>
      </c>
    </row>
    <row r="216" spans="1:10" ht="15" customHeight="1">
      <c r="A216" s="310"/>
      <c r="B216" s="310"/>
      <c r="C216" s="308"/>
      <c r="D216" s="311"/>
      <c r="E216" s="311"/>
    </row>
    <row r="217" spans="1:10" ht="15" customHeight="1">
      <c r="A217" s="310"/>
      <c r="B217" s="310"/>
      <c r="C217" s="308"/>
      <c r="D217" s="311"/>
      <c r="E217" s="311"/>
      <c r="F217" s="320" t="s">
        <v>1212</v>
      </c>
      <c r="G217" s="312">
        <f>G215+G203</f>
        <v>44922</v>
      </c>
    </row>
    <row r="218" spans="1:10" ht="15" customHeight="1">
      <c r="F218" s="320" t="s">
        <v>1213</v>
      </c>
      <c r="G218" s="312">
        <f>G217/D195</f>
        <v>11230.5</v>
      </c>
    </row>
    <row r="219" spans="1:10" ht="15" customHeight="1">
      <c r="F219" s="320"/>
      <c r="G219" s="312"/>
      <c r="J219" s="321"/>
    </row>
    <row r="220" spans="1:10" ht="15" customHeight="1">
      <c r="A220" s="307" t="s">
        <v>1485</v>
      </c>
      <c r="B220" s="1109" t="s">
        <v>827</v>
      </c>
      <c r="C220" s="313" t="s">
        <v>1188</v>
      </c>
      <c r="D220" s="314">
        <v>1</v>
      </c>
      <c r="E220" s="311" t="s">
        <v>1282</v>
      </c>
      <c r="F220" s="312"/>
      <c r="G220" s="312"/>
    </row>
    <row r="221" spans="1:10" ht="15" customHeight="1">
      <c r="A221" s="310"/>
      <c r="B221" s="1109"/>
      <c r="C221" s="322"/>
      <c r="D221" s="329"/>
      <c r="E221" s="329"/>
      <c r="F221" s="312"/>
      <c r="G221" s="312"/>
    </row>
    <row r="222" spans="1:10" ht="15" customHeight="1">
      <c r="A222" s="310"/>
      <c r="B222" s="337"/>
      <c r="C222" s="322"/>
      <c r="D222" s="329"/>
      <c r="E222" s="329"/>
      <c r="F222" s="312"/>
      <c r="G222" s="312"/>
    </row>
    <row r="223" spans="1:10" ht="15" customHeight="1">
      <c r="A223" s="310" t="s">
        <v>1341</v>
      </c>
      <c r="B223" s="310"/>
      <c r="C223" s="308"/>
      <c r="D223" s="311"/>
      <c r="E223" s="311"/>
      <c r="F223" s="312"/>
      <c r="G223" s="312"/>
    </row>
    <row r="224" spans="1:10" ht="26.25" customHeight="1">
      <c r="A224" s="310"/>
      <c r="B224" s="310"/>
      <c r="C224" s="308"/>
      <c r="D224" s="311" t="s">
        <v>1409</v>
      </c>
      <c r="E224" s="311" t="s">
        <v>1410</v>
      </c>
      <c r="F224" s="312" t="s">
        <v>1411</v>
      </c>
      <c r="G224" s="312" t="s">
        <v>1217</v>
      </c>
    </row>
    <row r="225" spans="1:8" ht="15" customHeight="1">
      <c r="A225" s="310"/>
      <c r="B225" s="310"/>
      <c r="C225" s="315" t="s">
        <v>1412</v>
      </c>
      <c r="D225" s="316">
        <v>1</v>
      </c>
      <c r="E225" s="316">
        <v>3</v>
      </c>
      <c r="F225" s="317">
        <v>615</v>
      </c>
      <c r="G225" s="318">
        <f>F225*E225*D225</f>
        <v>1845</v>
      </c>
    </row>
    <row r="226" spans="1:8" ht="15" customHeight="1">
      <c r="A226" s="310"/>
      <c r="B226" s="310"/>
      <c r="C226" s="315" t="s">
        <v>1486</v>
      </c>
      <c r="D226" s="316">
        <v>1</v>
      </c>
      <c r="E226" s="316">
        <f>E225</f>
        <v>3</v>
      </c>
      <c r="F226" s="317">
        <v>390</v>
      </c>
      <c r="G226" s="319">
        <f>F226*E226*D226</f>
        <v>1170</v>
      </c>
    </row>
    <row r="227" spans="1:8" ht="15" customHeight="1">
      <c r="A227" s="310"/>
      <c r="B227" s="310"/>
      <c r="C227" s="308"/>
      <c r="D227" s="311"/>
      <c r="E227" s="311"/>
      <c r="F227" s="320" t="s">
        <v>1211</v>
      </c>
      <c r="G227" s="312">
        <f>SUM(G225:G226)</f>
        <v>3015</v>
      </c>
      <c r="H227" s="299">
        <f>G227/G250</f>
        <v>0.18796758104738154</v>
      </c>
    </row>
    <row r="228" spans="1:8" ht="15" customHeight="1">
      <c r="A228" s="310" t="s">
        <v>1215</v>
      </c>
    </row>
    <row r="229" spans="1:8" ht="15" customHeight="1">
      <c r="A229" s="310"/>
      <c r="B229" s="310"/>
      <c r="C229" s="322"/>
      <c r="D229" s="311" t="s">
        <v>173</v>
      </c>
      <c r="E229" s="311" t="s">
        <v>297</v>
      </c>
      <c r="F229" s="320" t="s">
        <v>1216</v>
      </c>
      <c r="G229" s="312" t="s">
        <v>1217</v>
      </c>
    </row>
    <row r="230" spans="1:8" ht="15" customHeight="1">
      <c r="A230" s="310"/>
      <c r="B230" s="310"/>
      <c r="C230" s="308"/>
      <c r="D230" s="311"/>
      <c r="E230" s="311"/>
      <c r="F230" s="320"/>
      <c r="G230" s="312"/>
    </row>
    <row r="231" spans="1:8" ht="15" customHeight="1">
      <c r="A231" s="310"/>
      <c r="B231" s="310"/>
      <c r="C231" s="323" t="s">
        <v>1487</v>
      </c>
      <c r="D231" s="324">
        <v>1</v>
      </c>
      <c r="E231" s="325" t="s">
        <v>591</v>
      </c>
      <c r="F231" s="326">
        <v>2200</v>
      </c>
      <c r="G231" s="318">
        <f t="shared" ref="G231:G235" si="15">F231*D231</f>
        <v>2200</v>
      </c>
    </row>
    <row r="232" spans="1:8" ht="15" customHeight="1">
      <c r="A232" s="310"/>
      <c r="B232" s="310"/>
      <c r="C232" s="323" t="s">
        <v>1488</v>
      </c>
      <c r="D232" s="324">
        <v>1</v>
      </c>
      <c r="E232" s="325" t="s">
        <v>591</v>
      </c>
      <c r="F232" s="326">
        <v>3200</v>
      </c>
      <c r="G232" s="318">
        <f t="shared" si="15"/>
        <v>3200</v>
      </c>
    </row>
    <row r="233" spans="1:8" ht="15" customHeight="1">
      <c r="A233" s="310"/>
      <c r="B233" s="310"/>
      <c r="C233" s="323" t="s">
        <v>1489</v>
      </c>
      <c r="D233" s="324">
        <v>10</v>
      </c>
      <c r="E233" s="325" t="s">
        <v>1490</v>
      </c>
      <c r="F233" s="326">
        <v>70</v>
      </c>
      <c r="G233" s="318">
        <f t="shared" si="15"/>
        <v>700</v>
      </c>
    </row>
    <row r="234" spans="1:8" ht="15" customHeight="1">
      <c r="A234" s="310"/>
      <c r="B234" s="310"/>
      <c r="C234" s="323" t="s">
        <v>1491</v>
      </c>
      <c r="D234" s="324">
        <v>2</v>
      </c>
      <c r="E234" s="325" t="s">
        <v>469</v>
      </c>
      <c r="F234" s="326">
        <v>800</v>
      </c>
      <c r="G234" s="318">
        <f t="shared" si="15"/>
        <v>1600</v>
      </c>
    </row>
    <row r="235" spans="1:8" ht="15" customHeight="1">
      <c r="A235" s="310"/>
      <c r="B235" s="310"/>
      <c r="C235" s="323" t="s">
        <v>1492</v>
      </c>
      <c r="D235" s="324">
        <v>5</v>
      </c>
      <c r="E235" s="325" t="s">
        <v>350</v>
      </c>
      <c r="F235" s="326">
        <v>78</v>
      </c>
      <c r="G235" s="318">
        <f t="shared" si="15"/>
        <v>390</v>
      </c>
    </row>
    <row r="236" spans="1:8" ht="15" customHeight="1">
      <c r="A236" s="310"/>
      <c r="B236" s="310"/>
      <c r="C236" s="323" t="s">
        <v>1493</v>
      </c>
      <c r="D236" s="324">
        <v>5</v>
      </c>
      <c r="E236" s="325" t="s">
        <v>21</v>
      </c>
      <c r="F236" s="326">
        <v>55</v>
      </c>
      <c r="G236" s="318">
        <f>F236*D236</f>
        <v>275</v>
      </c>
    </row>
    <row r="237" spans="1:8" ht="15" customHeight="1">
      <c r="A237" s="310"/>
      <c r="B237" s="310"/>
      <c r="C237" s="323" t="s">
        <v>1494</v>
      </c>
      <c r="D237" s="324">
        <v>5</v>
      </c>
      <c r="E237" s="325" t="s">
        <v>21</v>
      </c>
      <c r="F237" s="326">
        <v>55</v>
      </c>
      <c r="G237" s="318">
        <f t="shared" ref="G237:G249" si="16">F237*D237</f>
        <v>275</v>
      </c>
    </row>
    <row r="238" spans="1:8" ht="15" customHeight="1">
      <c r="A238" s="310"/>
      <c r="B238" s="310"/>
      <c r="C238" s="323" t="s">
        <v>1495</v>
      </c>
      <c r="D238" s="324">
        <v>3</v>
      </c>
      <c r="E238" s="325" t="s">
        <v>21</v>
      </c>
      <c r="F238" s="326">
        <v>150</v>
      </c>
      <c r="G238" s="318">
        <f t="shared" si="16"/>
        <v>450</v>
      </c>
    </row>
    <row r="239" spans="1:8" ht="15" customHeight="1">
      <c r="A239" s="310"/>
      <c r="B239" s="310"/>
      <c r="C239" s="323" t="s">
        <v>1496</v>
      </c>
      <c r="D239" s="324">
        <v>3</v>
      </c>
      <c r="E239" s="325" t="s">
        <v>21</v>
      </c>
      <c r="F239" s="326">
        <v>220</v>
      </c>
      <c r="G239" s="318">
        <f t="shared" si="16"/>
        <v>660</v>
      </c>
    </row>
    <row r="240" spans="1:8" ht="15" customHeight="1">
      <c r="A240" s="310"/>
      <c r="B240" s="310"/>
      <c r="C240" s="323" t="s">
        <v>1497</v>
      </c>
      <c r="D240" s="324">
        <v>2</v>
      </c>
      <c r="E240" s="325" t="s">
        <v>21</v>
      </c>
      <c r="F240" s="326">
        <v>200</v>
      </c>
      <c r="G240" s="318">
        <f t="shared" si="16"/>
        <v>400</v>
      </c>
    </row>
    <row r="241" spans="1:11" ht="15" customHeight="1">
      <c r="A241" s="310"/>
      <c r="B241" s="310"/>
      <c r="C241" s="323" t="s">
        <v>1498</v>
      </c>
      <c r="D241" s="324">
        <v>2</v>
      </c>
      <c r="E241" s="325" t="s">
        <v>21</v>
      </c>
      <c r="F241" s="326">
        <v>180</v>
      </c>
      <c r="G241" s="318">
        <f t="shared" si="16"/>
        <v>360</v>
      </c>
    </row>
    <row r="242" spans="1:11" ht="15" customHeight="1">
      <c r="A242" s="310"/>
      <c r="B242" s="310"/>
      <c r="C242" s="323" t="s">
        <v>1499</v>
      </c>
      <c r="D242" s="324">
        <v>10</v>
      </c>
      <c r="E242" s="325" t="s">
        <v>21</v>
      </c>
      <c r="F242" s="326">
        <v>150</v>
      </c>
      <c r="G242" s="318">
        <f t="shared" si="16"/>
        <v>1500</v>
      </c>
    </row>
    <row r="243" spans="1:11" ht="15" customHeight="1">
      <c r="A243" s="310"/>
      <c r="B243" s="310"/>
      <c r="C243" s="323" t="s">
        <v>1500</v>
      </c>
      <c r="D243" s="324">
        <v>10</v>
      </c>
      <c r="E243" s="325" t="s">
        <v>21</v>
      </c>
      <c r="F243" s="326">
        <v>55</v>
      </c>
      <c r="G243" s="318">
        <f t="shared" si="16"/>
        <v>550</v>
      </c>
    </row>
    <row r="244" spans="1:11" ht="15" customHeight="1">
      <c r="A244" s="310"/>
      <c r="B244" s="310"/>
      <c r="C244" s="323" t="s">
        <v>1501</v>
      </c>
      <c r="D244" s="324">
        <v>10</v>
      </c>
      <c r="E244" s="325" t="s">
        <v>21</v>
      </c>
      <c r="F244" s="326">
        <v>40</v>
      </c>
      <c r="G244" s="318">
        <f t="shared" si="16"/>
        <v>400</v>
      </c>
    </row>
    <row r="245" spans="1:11" ht="15" customHeight="1">
      <c r="A245" s="310"/>
      <c r="B245" s="310"/>
      <c r="C245" s="323" t="s">
        <v>1502</v>
      </c>
      <c r="D245" s="324">
        <v>6</v>
      </c>
      <c r="E245" s="325" t="s">
        <v>398</v>
      </c>
      <c r="F245" s="326">
        <v>355</v>
      </c>
      <c r="G245" s="318">
        <f t="shared" si="16"/>
        <v>2130</v>
      </c>
    </row>
    <row r="246" spans="1:11" ht="15" customHeight="1">
      <c r="A246" s="310"/>
      <c r="B246" s="310"/>
      <c r="C246" s="323" t="s">
        <v>1503</v>
      </c>
      <c r="D246" s="324">
        <v>3</v>
      </c>
      <c r="E246" s="325" t="s">
        <v>398</v>
      </c>
      <c r="F246" s="326">
        <v>270</v>
      </c>
      <c r="G246" s="318">
        <f t="shared" si="16"/>
        <v>810</v>
      </c>
    </row>
    <row r="247" spans="1:11" ht="15" customHeight="1">
      <c r="A247" s="310"/>
      <c r="B247" s="310"/>
      <c r="C247" s="323" t="s">
        <v>1504</v>
      </c>
      <c r="D247" s="324">
        <v>1</v>
      </c>
      <c r="E247" s="325" t="s">
        <v>398</v>
      </c>
      <c r="F247" s="326">
        <v>45</v>
      </c>
      <c r="G247" s="318">
        <f t="shared" si="16"/>
        <v>45</v>
      </c>
      <c r="H247" s="299">
        <f>SUM(G231:G247,G207:G214,G171:G189)</f>
        <v>63860</v>
      </c>
    </row>
    <row r="248" spans="1:11" ht="15" customHeight="1">
      <c r="A248" s="310"/>
      <c r="B248" s="310"/>
      <c r="C248" s="323" t="s">
        <v>925</v>
      </c>
      <c r="D248" s="324">
        <v>1</v>
      </c>
      <c r="E248" s="325" t="s">
        <v>398</v>
      </c>
      <c r="F248" s="326">
        <v>35</v>
      </c>
      <c r="G248" s="318">
        <f t="shared" si="16"/>
        <v>35</v>
      </c>
    </row>
    <row r="249" spans="1:11" ht="15" customHeight="1">
      <c r="A249" s="310"/>
      <c r="B249" s="310"/>
      <c r="C249" s="323" t="s">
        <v>1505</v>
      </c>
      <c r="D249" s="324">
        <v>2</v>
      </c>
      <c r="E249" s="325" t="s">
        <v>398</v>
      </c>
      <c r="F249" s="326">
        <v>30</v>
      </c>
      <c r="G249" s="319">
        <f t="shared" si="16"/>
        <v>60</v>
      </c>
    </row>
    <row r="250" spans="1:11" ht="15" customHeight="1">
      <c r="A250" s="310"/>
      <c r="B250" s="310"/>
      <c r="C250" s="308"/>
      <c r="D250" s="311"/>
      <c r="E250" s="311"/>
      <c r="F250" s="320" t="s">
        <v>1211</v>
      </c>
      <c r="G250" s="307">
        <f>SUM(G231:G249)</f>
        <v>16040</v>
      </c>
      <c r="H250" s="299">
        <f>G250*5</f>
        <v>80200</v>
      </c>
    </row>
    <row r="251" spans="1:11" ht="15" customHeight="1">
      <c r="A251" s="310"/>
      <c r="B251" s="310"/>
      <c r="C251" s="308"/>
      <c r="D251" s="311"/>
      <c r="E251" s="311"/>
    </row>
    <row r="252" spans="1:11" ht="15" customHeight="1">
      <c r="A252" s="310"/>
      <c r="B252" s="310"/>
      <c r="C252" s="308"/>
      <c r="D252" s="311"/>
      <c r="E252" s="311"/>
      <c r="F252" s="320" t="s">
        <v>1212</v>
      </c>
      <c r="G252" s="312">
        <f>G250+G227</f>
        <v>19055</v>
      </c>
    </row>
    <row r="253" spans="1:11" ht="15" customHeight="1">
      <c r="F253" s="320" t="s">
        <v>1213</v>
      </c>
      <c r="G253" s="312">
        <f>G252/D220</f>
        <v>19055</v>
      </c>
    </row>
    <row r="254" spans="1:11" ht="15" customHeight="1">
      <c r="A254" s="310"/>
      <c r="B254" s="310"/>
      <c r="C254" s="308"/>
      <c r="D254" s="311"/>
      <c r="E254" s="311"/>
      <c r="F254" s="320"/>
      <c r="G254" s="354"/>
      <c r="J254" s="357">
        <f>G351/G350</f>
        <v>0.44738746238683269</v>
      </c>
      <c r="K254" s="299">
        <f>G350*0.45</f>
        <v>124362.0009</v>
      </c>
    </row>
    <row r="255" spans="1:11" ht="15" customHeight="1">
      <c r="A255" s="307" t="s">
        <v>1506</v>
      </c>
      <c r="B255" s="355" t="s">
        <v>1028</v>
      </c>
      <c r="C255" s="313" t="s">
        <v>1188</v>
      </c>
      <c r="D255" s="314">
        <v>1</v>
      </c>
      <c r="E255" s="311" t="s">
        <v>809</v>
      </c>
      <c r="F255" s="312"/>
      <c r="G255" s="312"/>
    </row>
    <row r="256" spans="1:11" ht="15" customHeight="1">
      <c r="A256" s="310"/>
      <c r="B256" s="355"/>
      <c r="C256" s="322"/>
      <c r="D256" s="329"/>
      <c r="E256" s="329"/>
      <c r="F256" s="312"/>
      <c r="G256" s="312"/>
    </row>
    <row r="257" spans="1:11" ht="15" customHeight="1">
      <c r="A257" s="310" t="s">
        <v>1341</v>
      </c>
      <c r="B257" s="310"/>
      <c r="C257" s="308"/>
      <c r="D257" s="311"/>
      <c r="E257" s="311"/>
      <c r="F257" s="312"/>
      <c r="G257" s="312"/>
    </row>
    <row r="258" spans="1:11" ht="26.25" customHeight="1">
      <c r="A258" s="310"/>
      <c r="B258" s="310"/>
      <c r="C258" s="308"/>
      <c r="D258" s="311" t="s">
        <v>1409</v>
      </c>
      <c r="E258" s="311" t="s">
        <v>1410</v>
      </c>
      <c r="F258" s="312" t="s">
        <v>1411</v>
      </c>
      <c r="G258" s="312" t="s">
        <v>1217</v>
      </c>
    </row>
    <row r="259" spans="1:11" ht="15" customHeight="1">
      <c r="A259" s="310"/>
      <c r="B259" s="310"/>
      <c r="C259" s="315" t="s">
        <v>1413</v>
      </c>
      <c r="D259" s="316">
        <v>1</v>
      </c>
      <c r="E259" s="316">
        <v>1.2</v>
      </c>
      <c r="F259" s="317">
        <v>414</v>
      </c>
      <c r="G259" s="318">
        <f>F259*E259*D259</f>
        <v>496.79999999999995</v>
      </c>
    </row>
    <row r="260" spans="1:11" ht="15" customHeight="1">
      <c r="A260" s="310"/>
      <c r="B260" s="310"/>
      <c r="C260" s="315" t="s">
        <v>1415</v>
      </c>
      <c r="D260" s="316">
        <v>1</v>
      </c>
      <c r="E260" s="316">
        <f>E259</f>
        <v>1.2</v>
      </c>
      <c r="F260" s="317">
        <v>341</v>
      </c>
      <c r="G260" s="319">
        <f>F260*E260*D260</f>
        <v>409.2</v>
      </c>
    </row>
    <row r="261" spans="1:11" ht="15" customHeight="1">
      <c r="A261" s="310"/>
      <c r="B261" s="310"/>
      <c r="C261" s="308"/>
      <c r="D261" s="311"/>
      <c r="E261" s="311"/>
      <c r="F261" s="320" t="s">
        <v>1211</v>
      </c>
      <c r="G261" s="312">
        <f>SUM(G259:G260)</f>
        <v>906</v>
      </c>
      <c r="H261" s="299">
        <f>G261/G266</f>
        <v>0.45300000000000001</v>
      </c>
    </row>
    <row r="262" spans="1:11" ht="15" customHeight="1">
      <c r="A262" s="310" t="s">
        <v>1215</v>
      </c>
    </row>
    <row r="263" spans="1:11" ht="15" customHeight="1">
      <c r="A263" s="310"/>
      <c r="B263" s="310"/>
      <c r="C263" s="322"/>
      <c r="D263" s="311" t="s">
        <v>173</v>
      </c>
      <c r="E263" s="311" t="s">
        <v>297</v>
      </c>
      <c r="F263" s="320" t="s">
        <v>1216</v>
      </c>
      <c r="G263" s="312" t="s">
        <v>1217</v>
      </c>
    </row>
    <row r="264" spans="1:11" ht="15" customHeight="1">
      <c r="A264" s="310"/>
      <c r="B264" s="310"/>
      <c r="C264" s="308"/>
      <c r="D264" s="311"/>
      <c r="E264" s="311"/>
      <c r="F264" s="320"/>
      <c r="G264" s="312"/>
    </row>
    <row r="265" spans="1:11" ht="15" customHeight="1">
      <c r="A265" s="310"/>
      <c r="B265" s="310"/>
      <c r="C265" s="323" t="s">
        <v>1507</v>
      </c>
      <c r="D265" s="324">
        <v>1</v>
      </c>
      <c r="E265" s="325" t="s">
        <v>1508</v>
      </c>
      <c r="F265" s="326">
        <v>2000</v>
      </c>
      <c r="G265" s="319">
        <f>F265*D265</f>
        <v>2000</v>
      </c>
    </row>
    <row r="266" spans="1:11" ht="15" customHeight="1">
      <c r="A266" s="310"/>
      <c r="B266" s="310"/>
      <c r="C266" s="308"/>
      <c r="D266" s="311"/>
      <c r="E266" s="311"/>
      <c r="F266" s="320" t="s">
        <v>1211</v>
      </c>
      <c r="G266" s="307">
        <f>SUM(G265:G265)</f>
        <v>2000</v>
      </c>
    </row>
    <row r="267" spans="1:11" ht="15" customHeight="1">
      <c r="A267" s="310"/>
      <c r="B267" s="310"/>
      <c r="C267" s="308"/>
      <c r="D267" s="311"/>
      <c r="E267" s="311"/>
    </row>
    <row r="268" spans="1:11" ht="15" customHeight="1">
      <c r="A268" s="310"/>
      <c r="B268" s="310"/>
      <c r="C268" s="308"/>
      <c r="D268" s="311"/>
      <c r="E268" s="311"/>
      <c r="F268" s="320" t="s">
        <v>1212</v>
      </c>
      <c r="G268" s="312">
        <f>G266+G261</f>
        <v>2906</v>
      </c>
    </row>
    <row r="269" spans="1:11" ht="15" customHeight="1">
      <c r="F269" s="320" t="s">
        <v>1213</v>
      </c>
      <c r="G269" s="312">
        <f>G268/D255</f>
        <v>2906</v>
      </c>
      <c r="J269" s="321" t="s">
        <v>1509</v>
      </c>
      <c r="K269" s="299" t="s">
        <v>1217</v>
      </c>
    </row>
    <row r="270" spans="1:11" ht="15" customHeight="1">
      <c r="F270" s="320"/>
      <c r="G270" s="312"/>
      <c r="J270" s="357">
        <f>G351/G350</f>
        <v>0.44738746238683269</v>
      </c>
    </row>
    <row r="271" spans="1:11" ht="15" customHeight="1">
      <c r="A271" s="307" t="s">
        <v>1510</v>
      </c>
      <c r="B271" s="1109" t="s">
        <v>1511</v>
      </c>
      <c r="C271" s="313" t="s">
        <v>1188</v>
      </c>
      <c r="D271" s="314">
        <v>99</v>
      </c>
      <c r="E271" s="311" t="s">
        <v>112</v>
      </c>
      <c r="F271" s="312"/>
      <c r="G271" s="312"/>
    </row>
    <row r="272" spans="1:11" ht="15" customHeight="1">
      <c r="A272" s="310"/>
      <c r="B272" s="1109"/>
      <c r="C272" s="322"/>
      <c r="D272" s="329"/>
      <c r="E272" s="329"/>
      <c r="F272" s="312"/>
      <c r="G272" s="312"/>
    </row>
    <row r="273" spans="1:8" ht="15" customHeight="1">
      <c r="A273" s="310"/>
      <c r="B273" s="337"/>
      <c r="C273" s="322"/>
      <c r="D273" s="329"/>
      <c r="E273" s="329"/>
      <c r="F273" s="312"/>
      <c r="G273" s="312"/>
    </row>
    <row r="274" spans="1:8" ht="15" customHeight="1">
      <c r="A274" s="310" t="s">
        <v>1341</v>
      </c>
      <c r="B274" s="310"/>
      <c r="C274" s="308"/>
      <c r="D274" s="311"/>
      <c r="E274" s="311"/>
      <c r="F274" s="312"/>
      <c r="G274" s="312"/>
    </row>
    <row r="275" spans="1:8" ht="26.25" customHeight="1">
      <c r="A275" s="310"/>
      <c r="B275" s="310"/>
      <c r="C275" s="308"/>
      <c r="D275" s="311" t="s">
        <v>1409</v>
      </c>
      <c r="E275" s="311" t="s">
        <v>1410</v>
      </c>
      <c r="F275" s="312" t="s">
        <v>1411</v>
      </c>
      <c r="G275" s="312" t="s">
        <v>1217</v>
      </c>
    </row>
    <row r="276" spans="1:8" ht="15" customHeight="1">
      <c r="A276" s="310"/>
      <c r="B276" s="310"/>
      <c r="C276" s="361" t="s">
        <v>1412</v>
      </c>
      <c r="D276" s="362">
        <v>1</v>
      </c>
      <c r="E276" s="362">
        <v>6.5</v>
      </c>
      <c r="F276" s="363">
        <v>615</v>
      </c>
      <c r="G276" s="318">
        <f>F276*E276*D276</f>
        <v>3997.5</v>
      </c>
    </row>
    <row r="277" spans="1:8" ht="15" customHeight="1">
      <c r="A277" s="310"/>
      <c r="B277" s="310"/>
      <c r="C277" s="361" t="s">
        <v>1512</v>
      </c>
      <c r="D277" s="362">
        <v>2</v>
      </c>
      <c r="E277" s="362">
        <f>E276</f>
        <v>6.5</v>
      </c>
      <c r="F277" s="363">
        <v>390</v>
      </c>
      <c r="G277" s="318">
        <f>F277*E277*D277</f>
        <v>5070</v>
      </c>
    </row>
    <row r="278" spans="1:8" ht="15" customHeight="1">
      <c r="A278" s="310"/>
      <c r="B278" s="310"/>
      <c r="C278" s="361" t="s">
        <v>1415</v>
      </c>
      <c r="D278" s="362">
        <v>4</v>
      </c>
      <c r="E278" s="362">
        <f>E277</f>
        <v>6.5</v>
      </c>
      <c r="F278" s="363">
        <v>341</v>
      </c>
      <c r="G278" s="319">
        <f>F278*E278*D278</f>
        <v>8866</v>
      </c>
    </row>
    <row r="279" spans="1:8" ht="15" customHeight="1">
      <c r="A279" s="310"/>
      <c r="B279" s="310"/>
      <c r="C279" s="308"/>
      <c r="D279" s="311"/>
      <c r="E279" s="311"/>
      <c r="F279" s="320" t="s">
        <v>1211</v>
      </c>
      <c r="G279" s="312">
        <f>SUM(G276:G278)</f>
        <v>17933.5</v>
      </c>
      <c r="H279" s="299">
        <f>G279/G289</f>
        <v>0.48865122615803813</v>
      </c>
    </row>
    <row r="280" spans="1:8" ht="15" customHeight="1">
      <c r="A280" s="310" t="s">
        <v>1215</v>
      </c>
    </row>
    <row r="281" spans="1:8" ht="15" customHeight="1">
      <c r="A281" s="310"/>
      <c r="B281" s="310"/>
      <c r="C281" s="322"/>
      <c r="D281" s="311" t="s">
        <v>173</v>
      </c>
      <c r="E281" s="311" t="s">
        <v>297</v>
      </c>
      <c r="F281" s="320" t="s">
        <v>1216</v>
      </c>
      <c r="G281" s="312" t="s">
        <v>1217</v>
      </c>
    </row>
    <row r="282" spans="1:8" ht="15" customHeight="1">
      <c r="A282" s="310"/>
      <c r="B282" s="310"/>
      <c r="C282" s="308"/>
      <c r="D282" s="311"/>
      <c r="E282" s="311"/>
      <c r="F282" s="320"/>
      <c r="G282" s="312"/>
    </row>
    <row r="283" spans="1:8" ht="15" customHeight="1">
      <c r="A283" s="310"/>
      <c r="B283" s="310"/>
      <c r="C283" s="364" t="s">
        <v>1513</v>
      </c>
      <c r="D283" s="365">
        <v>40</v>
      </c>
      <c r="E283" s="366" t="s">
        <v>605</v>
      </c>
      <c r="F283" s="367">
        <v>600</v>
      </c>
      <c r="G283" s="318">
        <f t="shared" ref="G283:G288" si="17">F283*D283</f>
        <v>24000</v>
      </c>
    </row>
    <row r="284" spans="1:8" ht="15" customHeight="1">
      <c r="A284" s="310"/>
      <c r="B284" s="310"/>
      <c r="C284" s="364" t="s">
        <v>1514</v>
      </c>
      <c r="D284" s="365">
        <v>35</v>
      </c>
      <c r="E284" s="366" t="s">
        <v>350</v>
      </c>
      <c r="F284" s="367">
        <v>130</v>
      </c>
      <c r="G284" s="318">
        <f t="shared" si="17"/>
        <v>4550</v>
      </c>
    </row>
    <row r="285" spans="1:8" ht="15" customHeight="1">
      <c r="A285" s="310"/>
      <c r="B285" s="310"/>
      <c r="C285" s="364" t="s">
        <v>1515</v>
      </c>
      <c r="D285" s="365">
        <v>34</v>
      </c>
      <c r="E285" s="366" t="s">
        <v>350</v>
      </c>
      <c r="F285" s="367">
        <v>150</v>
      </c>
      <c r="G285" s="318">
        <f t="shared" si="17"/>
        <v>5100</v>
      </c>
    </row>
    <row r="286" spans="1:8" ht="15" customHeight="1">
      <c r="A286" s="310"/>
      <c r="B286" s="310"/>
      <c r="C286" s="364" t="s">
        <v>1516</v>
      </c>
      <c r="D286" s="365">
        <v>250</v>
      </c>
      <c r="E286" s="366" t="s">
        <v>21</v>
      </c>
      <c r="F286" s="367">
        <v>7</v>
      </c>
      <c r="G286" s="318">
        <f t="shared" si="17"/>
        <v>1750</v>
      </c>
    </row>
    <row r="287" spans="1:8" ht="15" customHeight="1">
      <c r="A287" s="310"/>
      <c r="B287" s="310"/>
      <c r="C287" s="364" t="s">
        <v>1517</v>
      </c>
      <c r="D287" s="365">
        <v>2</v>
      </c>
      <c r="E287" s="366" t="s">
        <v>591</v>
      </c>
      <c r="F287" s="367">
        <v>500</v>
      </c>
      <c r="G287" s="318">
        <f t="shared" si="17"/>
        <v>1000</v>
      </c>
    </row>
    <row r="288" spans="1:8" ht="15" customHeight="1">
      <c r="A288" s="310"/>
      <c r="B288" s="310"/>
      <c r="C288" s="364" t="s">
        <v>1518</v>
      </c>
      <c r="D288" s="365">
        <v>2</v>
      </c>
      <c r="E288" s="366" t="s">
        <v>238</v>
      </c>
      <c r="F288" s="367">
        <v>150</v>
      </c>
      <c r="G288" s="319">
        <f t="shared" si="17"/>
        <v>300</v>
      </c>
    </row>
    <row r="289" spans="1:8" ht="15" customHeight="1">
      <c r="A289" s="310"/>
      <c r="B289" s="310"/>
      <c r="C289" s="308"/>
      <c r="D289" s="311"/>
      <c r="E289" s="311"/>
      <c r="F289" s="320" t="s">
        <v>1211</v>
      </c>
      <c r="G289" s="307">
        <f>SUM(G283:G288)</f>
        <v>36700</v>
      </c>
      <c r="H289" s="299">
        <f>G289*5</f>
        <v>183500</v>
      </c>
    </row>
    <row r="290" spans="1:8" ht="15" customHeight="1">
      <c r="A290" s="310"/>
      <c r="B290" s="310"/>
      <c r="C290" s="308"/>
      <c r="D290" s="311"/>
      <c r="E290" s="311"/>
    </row>
    <row r="291" spans="1:8" ht="15" customHeight="1">
      <c r="A291" s="310"/>
      <c r="B291" s="310"/>
      <c r="C291" s="308"/>
      <c r="D291" s="311"/>
      <c r="E291" s="311"/>
      <c r="F291" s="320" t="s">
        <v>1212</v>
      </c>
      <c r="G291" s="312">
        <f>G289+G279</f>
        <v>54633.5</v>
      </c>
    </row>
    <row r="292" spans="1:8" ht="15" customHeight="1">
      <c r="F292" s="320" t="s">
        <v>1213</v>
      </c>
      <c r="G292" s="312">
        <f>G291/D271</f>
        <v>551.85353535353534</v>
      </c>
    </row>
    <row r="293" spans="1:8" ht="15" customHeight="1">
      <c r="F293" s="320"/>
      <c r="G293" s="312"/>
    </row>
    <row r="294" spans="1:8" ht="15" customHeight="1">
      <c r="F294" s="320"/>
      <c r="G294" s="312"/>
    </row>
    <row r="295" spans="1:8" ht="15" customHeight="1">
      <c r="F295" s="320"/>
      <c r="G295" s="312"/>
    </row>
    <row r="296" spans="1:8" ht="15" customHeight="1">
      <c r="F296" s="320"/>
      <c r="G296" s="312"/>
    </row>
    <row r="297" spans="1:8" ht="15" customHeight="1">
      <c r="F297" s="320"/>
      <c r="G297" s="312"/>
    </row>
    <row r="298" spans="1:8" ht="15" customHeight="1">
      <c r="F298" s="320"/>
      <c r="G298" s="312"/>
    </row>
    <row r="299" spans="1:8" ht="15" customHeight="1">
      <c r="F299" s="320"/>
      <c r="G299" s="312"/>
    </row>
    <row r="300" spans="1:8" ht="15" customHeight="1">
      <c r="F300" s="320"/>
      <c r="G300" s="312"/>
    </row>
    <row r="301" spans="1:8" ht="15" customHeight="1">
      <c r="F301" s="320"/>
      <c r="G301" s="312"/>
    </row>
    <row r="302" spans="1:8" ht="15" customHeight="1">
      <c r="F302" s="320"/>
      <c r="G302" s="312"/>
    </row>
    <row r="303" spans="1:8" ht="15" customHeight="1">
      <c r="F303" s="320"/>
      <c r="G303" s="312"/>
    </row>
    <row r="304" spans="1:8" ht="15" customHeight="1">
      <c r="F304" s="320"/>
      <c r="G304" s="312"/>
    </row>
    <row r="305" spans="6:7" ht="15" customHeight="1">
      <c r="F305" s="320"/>
      <c r="G305" s="312"/>
    </row>
    <row r="306" spans="6:7" ht="15" customHeight="1">
      <c r="F306" s="320"/>
      <c r="G306" s="312"/>
    </row>
    <row r="307" spans="6:7" ht="15" customHeight="1">
      <c r="F307" s="320"/>
      <c r="G307" s="312"/>
    </row>
    <row r="308" spans="6:7" ht="15" customHeight="1">
      <c r="F308" s="320"/>
      <c r="G308" s="312"/>
    </row>
    <row r="309" spans="6:7" ht="15" customHeight="1">
      <c r="F309" s="320"/>
      <c r="G309" s="312"/>
    </row>
    <row r="310" spans="6:7" ht="15" customHeight="1">
      <c r="F310" s="320"/>
      <c r="G310" s="312"/>
    </row>
    <row r="311" spans="6:7" ht="15" customHeight="1">
      <c r="F311" s="320"/>
      <c r="G311" s="312"/>
    </row>
    <row r="312" spans="6:7" ht="15" customHeight="1">
      <c r="F312" s="320"/>
      <c r="G312" s="312"/>
    </row>
    <row r="313" spans="6:7" ht="15" customHeight="1">
      <c r="F313" s="320"/>
      <c r="G313" s="312"/>
    </row>
    <row r="314" spans="6:7" ht="15" customHeight="1">
      <c r="F314" s="320"/>
      <c r="G314" s="312"/>
    </row>
    <row r="315" spans="6:7" ht="15" customHeight="1">
      <c r="F315" s="320"/>
      <c r="G315" s="312"/>
    </row>
    <row r="316" spans="6:7" ht="15" customHeight="1">
      <c r="F316" s="320"/>
      <c r="G316" s="312"/>
    </row>
    <row r="317" spans="6:7" ht="15" customHeight="1">
      <c r="F317" s="320"/>
      <c r="G317" s="312"/>
    </row>
    <row r="318" spans="6:7" ht="15" customHeight="1">
      <c r="F318" s="320"/>
      <c r="G318" s="312"/>
    </row>
    <row r="319" spans="6:7" ht="15" customHeight="1">
      <c r="F319" s="320"/>
      <c r="G319" s="312"/>
    </row>
    <row r="320" spans="6:7" ht="15" customHeight="1">
      <c r="F320" s="320"/>
      <c r="G320" s="312"/>
    </row>
    <row r="321" spans="1:8" ht="15" customHeight="1">
      <c r="F321" s="320"/>
      <c r="G321" s="312"/>
    </row>
    <row r="322" spans="1:8" ht="15" customHeight="1">
      <c r="F322" s="320"/>
      <c r="G322" s="312"/>
    </row>
    <row r="323" spans="1:8" ht="15" customHeight="1">
      <c r="F323" s="320"/>
      <c r="G323" s="312"/>
    </row>
    <row r="324" spans="1:8" ht="15" customHeight="1">
      <c r="F324" s="320"/>
      <c r="G324" s="312"/>
    </row>
    <row r="325" spans="1:8" ht="15" customHeight="1">
      <c r="F325" s="320"/>
      <c r="G325" s="312"/>
    </row>
    <row r="326" spans="1:8" ht="15" customHeight="1">
      <c r="F326" s="320"/>
      <c r="G326" s="312"/>
    </row>
    <row r="327" spans="1:8" ht="15" customHeight="1">
      <c r="A327" s="307" t="s">
        <v>1519</v>
      </c>
      <c r="B327" s="1109" t="s">
        <v>132</v>
      </c>
      <c r="C327" s="313" t="s">
        <v>1188</v>
      </c>
      <c r="D327" s="314">
        <v>1</v>
      </c>
      <c r="E327" s="311" t="s">
        <v>165</v>
      </c>
      <c r="F327" s="312"/>
      <c r="G327" s="312"/>
    </row>
    <row r="328" spans="1:8" ht="15" customHeight="1">
      <c r="A328" s="310"/>
      <c r="B328" s="1109"/>
      <c r="C328" s="322"/>
      <c r="D328" s="329"/>
      <c r="E328" s="329"/>
      <c r="F328" s="312"/>
      <c r="G328" s="312"/>
    </row>
    <row r="329" spans="1:8" ht="15" customHeight="1">
      <c r="A329" s="310"/>
      <c r="B329" s="337"/>
      <c r="C329" s="322"/>
      <c r="D329" s="329"/>
      <c r="E329" s="329"/>
      <c r="F329" s="312"/>
      <c r="G329" s="312"/>
    </row>
    <row r="330" spans="1:8" ht="15" customHeight="1">
      <c r="A330" s="310" t="s">
        <v>1341</v>
      </c>
      <c r="B330" s="310"/>
      <c r="C330" s="308"/>
      <c r="D330" s="311"/>
      <c r="E330" s="311"/>
      <c r="F330" s="312"/>
      <c r="G330" s="312"/>
    </row>
    <row r="331" spans="1:8" ht="26.25" customHeight="1">
      <c r="A331" s="310"/>
      <c r="B331" s="310"/>
      <c r="C331" s="308"/>
      <c r="D331" s="311" t="s">
        <v>1409</v>
      </c>
      <c r="E331" s="311" t="s">
        <v>1410</v>
      </c>
      <c r="F331" s="312" t="s">
        <v>1411</v>
      </c>
      <c r="G331" s="312" t="s">
        <v>1217</v>
      </c>
    </row>
    <row r="332" spans="1:8" ht="15" customHeight="1">
      <c r="A332" s="310"/>
      <c r="B332" s="310"/>
      <c r="C332" s="361" t="s">
        <v>1412</v>
      </c>
      <c r="D332" s="362">
        <v>1</v>
      </c>
      <c r="E332" s="362">
        <v>6.5</v>
      </c>
      <c r="F332" s="363">
        <v>615</v>
      </c>
      <c r="G332" s="318">
        <f t="shared" ref="G332:G334" si="18">F332*E332*D332</f>
        <v>3997.5</v>
      </c>
    </row>
    <row r="333" spans="1:8" ht="15" customHeight="1">
      <c r="A333" s="310"/>
      <c r="B333" s="310"/>
      <c r="C333" s="361" t="s">
        <v>1520</v>
      </c>
      <c r="D333" s="362">
        <v>2</v>
      </c>
      <c r="E333" s="362">
        <f>E332</f>
        <v>6.5</v>
      </c>
      <c r="F333" s="363">
        <v>390</v>
      </c>
      <c r="G333" s="318">
        <f t="shared" si="18"/>
        <v>5070</v>
      </c>
    </row>
    <row r="334" spans="1:8" ht="15" customHeight="1">
      <c r="A334" s="310"/>
      <c r="B334" s="310"/>
      <c r="C334" s="361" t="s">
        <v>1415</v>
      </c>
      <c r="D334" s="362">
        <v>4</v>
      </c>
      <c r="E334" s="362">
        <f>E333</f>
        <v>6.5</v>
      </c>
      <c r="F334" s="363">
        <v>341</v>
      </c>
      <c r="G334" s="319">
        <f t="shared" si="18"/>
        <v>8866</v>
      </c>
    </row>
    <row r="335" spans="1:8" ht="15" customHeight="1">
      <c r="A335" s="310"/>
      <c r="B335" s="310"/>
      <c r="C335" s="308"/>
      <c r="D335" s="311"/>
      <c r="E335" s="311"/>
      <c r="F335" s="320" t="s">
        <v>1211</v>
      </c>
      <c r="G335" s="312">
        <f>SUM(G332:G334)</f>
        <v>17933.5</v>
      </c>
      <c r="H335" s="299">
        <f>G335/G345</f>
        <v>0.72664100486223659</v>
      </c>
    </row>
    <row r="336" spans="1:8" ht="15" customHeight="1">
      <c r="A336" s="310" t="s">
        <v>1215</v>
      </c>
    </row>
    <row r="337" spans="1:10" ht="15" customHeight="1">
      <c r="A337" s="310"/>
      <c r="B337" s="310"/>
      <c r="C337" s="322"/>
      <c r="D337" s="311" t="s">
        <v>173</v>
      </c>
      <c r="E337" s="311" t="s">
        <v>297</v>
      </c>
      <c r="F337" s="320" t="s">
        <v>1216</v>
      </c>
      <c r="G337" s="312" t="s">
        <v>1217</v>
      </c>
    </row>
    <row r="338" spans="1:10" ht="15" customHeight="1">
      <c r="A338" s="310"/>
      <c r="B338" s="310"/>
      <c r="C338" s="308"/>
      <c r="D338" s="311"/>
      <c r="E338" s="311"/>
      <c r="F338" s="320"/>
      <c r="G338" s="312"/>
    </row>
    <row r="339" spans="1:10" ht="15" customHeight="1">
      <c r="A339" s="310"/>
      <c r="B339" s="310"/>
      <c r="C339" s="364" t="s">
        <v>1521</v>
      </c>
      <c r="D339" s="365">
        <v>4</v>
      </c>
      <c r="E339" s="366" t="s">
        <v>350</v>
      </c>
      <c r="F339" s="367">
        <v>1400</v>
      </c>
      <c r="G339" s="318">
        <f t="shared" ref="G339:G344" si="19">F339*D339</f>
        <v>5600</v>
      </c>
    </row>
    <row r="340" spans="1:10" ht="15" customHeight="1">
      <c r="A340" s="310"/>
      <c r="B340" s="310"/>
      <c r="C340" s="364" t="s">
        <v>696</v>
      </c>
      <c r="D340" s="365">
        <v>10</v>
      </c>
      <c r="E340" s="366" t="s">
        <v>238</v>
      </c>
      <c r="F340" s="367">
        <f>F120</f>
        <v>190</v>
      </c>
      <c r="G340" s="318">
        <f t="shared" si="19"/>
        <v>1900</v>
      </c>
    </row>
    <row r="341" spans="1:10" ht="15" customHeight="1">
      <c r="A341" s="310"/>
      <c r="B341" s="310"/>
      <c r="C341" s="364" t="s">
        <v>1522</v>
      </c>
      <c r="D341" s="365">
        <v>15</v>
      </c>
      <c r="E341" s="366" t="s">
        <v>350</v>
      </c>
      <c r="F341" s="367">
        <f>F121</f>
        <v>210</v>
      </c>
      <c r="G341" s="318">
        <f t="shared" si="19"/>
        <v>3150</v>
      </c>
    </row>
    <row r="342" spans="1:10" ht="15" customHeight="1">
      <c r="A342" s="310"/>
      <c r="B342" s="310"/>
      <c r="C342" s="327" t="s">
        <v>1428</v>
      </c>
      <c r="D342" s="365">
        <v>7</v>
      </c>
      <c r="E342" s="366" t="s">
        <v>21</v>
      </c>
      <c r="F342" s="367">
        <v>690</v>
      </c>
      <c r="G342" s="318">
        <f t="shared" si="19"/>
        <v>4830</v>
      </c>
    </row>
    <row r="343" spans="1:10" ht="15" customHeight="1">
      <c r="A343" s="310"/>
      <c r="B343" s="310"/>
      <c r="C343" s="364" t="s">
        <v>1523</v>
      </c>
      <c r="D343" s="365">
        <v>4</v>
      </c>
      <c r="E343" s="366" t="s">
        <v>605</v>
      </c>
      <c r="F343" s="367">
        <v>750</v>
      </c>
      <c r="G343" s="318">
        <f t="shared" si="19"/>
        <v>3000</v>
      </c>
    </row>
    <row r="344" spans="1:10" ht="15" customHeight="1">
      <c r="A344" s="310"/>
      <c r="B344" s="310"/>
      <c r="C344" s="364" t="s">
        <v>1524</v>
      </c>
      <c r="D344" s="365">
        <v>2</v>
      </c>
      <c r="E344" s="366" t="s">
        <v>350</v>
      </c>
      <c r="F344" s="367">
        <v>3100</v>
      </c>
      <c r="G344" s="319">
        <f t="shared" si="19"/>
        <v>6200</v>
      </c>
    </row>
    <row r="345" spans="1:10" ht="15" customHeight="1">
      <c r="A345" s="310"/>
      <c r="B345" s="310"/>
      <c r="C345" s="308"/>
      <c r="D345" s="311"/>
      <c r="E345" s="311"/>
      <c r="F345" s="320" t="s">
        <v>1211</v>
      </c>
      <c r="G345" s="307">
        <f>SUM(G339:G344)</f>
        <v>24680</v>
      </c>
      <c r="H345" s="299">
        <f>G345*5</f>
        <v>123400</v>
      </c>
    </row>
    <row r="346" spans="1:10" ht="15" customHeight="1">
      <c r="A346" s="310"/>
      <c r="B346" s="310"/>
      <c r="C346" s="308"/>
      <c r="D346" s="311"/>
      <c r="E346" s="311"/>
    </row>
    <row r="347" spans="1:10" ht="15" customHeight="1">
      <c r="A347" s="310"/>
      <c r="B347" s="310"/>
      <c r="C347" s="308"/>
      <c r="D347" s="311"/>
      <c r="E347" s="311"/>
      <c r="F347" s="320" t="s">
        <v>1212</v>
      </c>
      <c r="G347" s="312">
        <f>G345+G335</f>
        <v>42613.5</v>
      </c>
    </row>
    <row r="348" spans="1:10" ht="15" customHeight="1">
      <c r="F348" s="320" t="s">
        <v>1213</v>
      </c>
      <c r="G348" s="312">
        <f>G347/D327</f>
        <v>42613.5</v>
      </c>
    </row>
    <row r="349" spans="1:10" ht="15" customHeight="1">
      <c r="F349" s="320"/>
      <c r="G349" s="312"/>
    </row>
    <row r="350" spans="1:10" ht="15" customHeight="1">
      <c r="A350" s="310"/>
      <c r="B350" s="310"/>
      <c r="C350" s="308"/>
      <c r="D350" s="311"/>
      <c r="E350" s="311"/>
      <c r="F350" s="356" t="s">
        <v>1289</v>
      </c>
      <c r="G350" s="312">
        <f>SUM(G345,G289,G266,G250,G215,G190,G153,G122,G97,G76,G50,G30)</f>
        <v>276360.00199999998</v>
      </c>
    </row>
    <row r="351" spans="1:10" ht="15" customHeight="1">
      <c r="F351" s="356" t="s">
        <v>1290</v>
      </c>
      <c r="G351" s="312">
        <f>SUM(G23,G42,G62,G89,G110,G136,G166,G203,G227,G261,G279,G335,)</f>
        <v>123640</v>
      </c>
      <c r="H351" s="299">
        <f>K254-G351</f>
        <v>722.00089999999909</v>
      </c>
      <c r="J351" s="299" t="e">
        <f>SUM(#REF!,G99,G78,G32,#REF!)</f>
        <v>#REF!</v>
      </c>
    </row>
    <row r="352" spans="1:10" ht="15" customHeight="1">
      <c r="F352" s="354" t="s">
        <v>1292</v>
      </c>
      <c r="G352" s="307">
        <f>G350+G351</f>
        <v>400000.00199999998</v>
      </c>
      <c r="H352" s="299">
        <f>B8-G352</f>
        <v>-1.9999999785795808E-3</v>
      </c>
      <c r="I352" s="299">
        <f>G350+G351</f>
        <v>400000.00199999998</v>
      </c>
    </row>
    <row r="353" spans="1:10" ht="15" customHeight="1">
      <c r="B353" s="358"/>
      <c r="J353" s="299" t="s">
        <v>1525</v>
      </c>
    </row>
    <row r="354" spans="1:10" ht="15" customHeight="1">
      <c r="B354" s="359"/>
      <c r="F354" s="300"/>
      <c r="G354" s="300"/>
    </row>
    <row r="355" spans="1:10" ht="15" customHeight="1">
      <c r="H355" s="299">
        <f>SUM(G347,G291,G268,G252,G217,G192,G155,G124,G99,G78,G52,G32,)</f>
        <v>400000.00199999998</v>
      </c>
    </row>
    <row r="356" spans="1:10" ht="15" customHeight="1">
      <c r="A356" s="299" t="s">
        <v>1526</v>
      </c>
      <c r="C356" s="315" t="s">
        <v>1527</v>
      </c>
      <c r="D356" s="300" t="s">
        <v>1528</v>
      </c>
    </row>
    <row r="357" spans="1:10" ht="15" customHeight="1">
      <c r="D357" s="300"/>
    </row>
    <row r="358" spans="1:10" ht="15" customHeight="1">
      <c r="D358" s="300"/>
    </row>
    <row r="359" spans="1:10" ht="15" customHeight="1">
      <c r="B359" s="307" t="s">
        <v>1364</v>
      </c>
      <c r="C359" s="771" t="s">
        <v>1671</v>
      </c>
      <c r="D359" s="771"/>
      <c r="E359" s="770" t="s">
        <v>1365</v>
      </c>
    </row>
    <row r="360" spans="1:10" ht="15" customHeight="1">
      <c r="B360" s="299" t="s">
        <v>1529</v>
      </c>
      <c r="C360" s="368" t="s">
        <v>1367</v>
      </c>
      <c r="E360" s="299" t="s">
        <v>1368</v>
      </c>
    </row>
    <row r="365" spans="1:10" ht="15" customHeight="1">
      <c r="A365" s="300" t="s">
        <v>1530</v>
      </c>
      <c r="C365" s="369" t="s">
        <v>1531</v>
      </c>
    </row>
    <row r="369" spans="2:4" ht="15" customHeight="1">
      <c r="B369" s="307" t="s">
        <v>1532</v>
      </c>
      <c r="D369" s="307" t="s">
        <v>1371</v>
      </c>
    </row>
    <row r="370" spans="2:4" ht="15" customHeight="1">
      <c r="B370" s="299" t="s">
        <v>1373</v>
      </c>
      <c r="D370" s="299" t="s">
        <v>1374</v>
      </c>
    </row>
    <row r="372" spans="2:4" ht="15" customHeight="1">
      <c r="C372" s="368"/>
    </row>
  </sheetData>
  <mergeCells count="34">
    <mergeCell ref="A1:G1"/>
    <mergeCell ref="A2:G2"/>
    <mergeCell ref="A3:G3"/>
    <mergeCell ref="A4:G4"/>
    <mergeCell ref="A10:G10"/>
    <mergeCell ref="B6:C7"/>
    <mergeCell ref="B81:B82"/>
    <mergeCell ref="B102:B103"/>
    <mergeCell ref="B128:B129"/>
    <mergeCell ref="B158:B159"/>
    <mergeCell ref="B195:B196"/>
    <mergeCell ref="B220:B221"/>
    <mergeCell ref="B271:B272"/>
    <mergeCell ref="B327:B328"/>
    <mergeCell ref="C207:C208"/>
    <mergeCell ref="C209:C210"/>
    <mergeCell ref="C211:C212"/>
    <mergeCell ref="C213:C214"/>
    <mergeCell ref="D207:D208"/>
    <mergeCell ref="D209:D210"/>
    <mergeCell ref="D211:D212"/>
    <mergeCell ref="D213:D214"/>
    <mergeCell ref="E207:E208"/>
    <mergeCell ref="E209:E210"/>
    <mergeCell ref="E211:E212"/>
    <mergeCell ref="E213:E214"/>
    <mergeCell ref="F207:F208"/>
    <mergeCell ref="F209:F210"/>
    <mergeCell ref="F211:F212"/>
    <mergeCell ref="F213:F214"/>
    <mergeCell ref="G207:G208"/>
    <mergeCell ref="G209:G210"/>
    <mergeCell ref="G211:G212"/>
    <mergeCell ref="G213:G214"/>
  </mergeCells>
  <pageMargins left="0.21" right="0.17" top="0.63" bottom="0.24" header="0.51" footer="0.12"/>
  <pageSetup paperSize="14" scale="70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P315"/>
  <sheetViews>
    <sheetView zoomScale="85" zoomScaleNormal="85" workbookViewId="0">
      <pane ySplit="8" topLeftCell="A9" activePane="bottomLeft" state="frozen"/>
      <selection activeCell="C318" sqref="C318"/>
      <selection pane="bottomLeft" activeCell="C318" sqref="C318"/>
    </sheetView>
  </sheetViews>
  <sheetFormatPr defaultColWidth="9.140625" defaultRowHeight="15" customHeight="1"/>
  <cols>
    <col min="1" max="1" width="16.85546875" style="299" customWidth="1"/>
    <col min="2" max="2" width="30.5703125" style="299" customWidth="1"/>
    <col min="3" max="3" width="41.28515625" style="315" customWidth="1"/>
    <col min="4" max="4" width="16.42578125" style="299" customWidth="1"/>
    <col min="5" max="5" width="14.5703125" style="299" customWidth="1"/>
    <col min="6" max="7" width="13.85546875" style="299" customWidth="1"/>
    <col min="8" max="8" width="13.140625" style="299" customWidth="1"/>
    <col min="9" max="9" width="11.85546875" style="299" customWidth="1"/>
    <col min="10" max="10" width="14" style="299" customWidth="1"/>
    <col min="11" max="11" width="11.85546875" style="299" customWidth="1"/>
    <col min="12" max="12" width="9.5703125" style="299" customWidth="1"/>
    <col min="13" max="14" width="9.28515625" style="299" customWidth="1"/>
    <col min="15" max="16384" width="9.140625" style="299"/>
  </cols>
  <sheetData>
    <row r="1" spans="1:16" ht="15" customHeight="1">
      <c r="A1" s="1111" t="s">
        <v>1174</v>
      </c>
      <c r="B1" s="1111"/>
      <c r="C1" s="1111"/>
      <c r="D1" s="1111"/>
      <c r="E1" s="1111"/>
      <c r="F1" s="1111"/>
      <c r="G1" s="1111"/>
      <c r="H1" s="302"/>
      <c r="I1" s="302"/>
      <c r="J1" s="302"/>
      <c r="K1" s="302"/>
      <c r="L1" s="302"/>
      <c r="M1" s="302"/>
      <c r="N1" s="302"/>
      <c r="O1" s="302"/>
      <c r="P1" s="302"/>
    </row>
    <row r="2" spans="1:16" ht="15" customHeight="1">
      <c r="A2" s="1111" t="s">
        <v>1175</v>
      </c>
      <c r="B2" s="1111"/>
      <c r="C2" s="1111"/>
      <c r="D2" s="1111"/>
      <c r="E2" s="1111"/>
      <c r="F2" s="1111"/>
      <c r="G2" s="1111"/>
      <c r="H2" s="303">
        <f>J268</f>
        <v>0.45156841476134307</v>
      </c>
      <c r="I2" s="302"/>
      <c r="J2" s="302"/>
      <c r="K2" s="302"/>
      <c r="L2" s="302"/>
      <c r="M2" s="302"/>
      <c r="N2" s="302"/>
      <c r="O2" s="302"/>
      <c r="P2" s="302"/>
    </row>
    <row r="3" spans="1:16" ht="15" customHeight="1">
      <c r="A3" s="1111" t="s">
        <v>1176</v>
      </c>
      <c r="B3" s="1111"/>
      <c r="C3" s="1111"/>
      <c r="D3" s="1111"/>
      <c r="E3" s="1111"/>
      <c r="F3" s="1111"/>
      <c r="G3" s="1111"/>
      <c r="H3" s="304">
        <f>H295</f>
        <v>-3.0000000260770321E-3</v>
      </c>
      <c r="I3" s="302"/>
      <c r="J3" s="302"/>
      <c r="K3" s="302"/>
      <c r="L3" s="302"/>
      <c r="M3" s="302"/>
      <c r="N3" s="302"/>
      <c r="O3" s="302"/>
      <c r="P3" s="302"/>
    </row>
    <row r="4" spans="1:16" ht="15" customHeight="1">
      <c r="A4" s="1111" t="s">
        <v>1304</v>
      </c>
      <c r="B4" s="1111"/>
      <c r="C4" s="1111"/>
      <c r="D4" s="1111"/>
      <c r="E4" s="1111"/>
      <c r="F4" s="1111"/>
      <c r="G4" s="1111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" customHeight="1">
      <c r="A5" s="301"/>
      <c r="B5" s="301"/>
      <c r="C5" s="301"/>
      <c r="D5" s="301"/>
      <c r="E5" s="301"/>
      <c r="F5" s="301"/>
      <c r="G5" s="301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15" customHeight="1">
      <c r="A6" s="305" t="s">
        <v>1178</v>
      </c>
      <c r="B6" s="1113" t="s">
        <v>1666</v>
      </c>
      <c r="C6" s="1113"/>
    </row>
    <row r="7" spans="1:16" ht="15" customHeight="1">
      <c r="A7" s="305" t="s">
        <v>1180</v>
      </c>
      <c r="B7" s="1113"/>
      <c r="C7" s="1113"/>
    </row>
    <row r="8" spans="1:16" ht="15" customHeight="1">
      <c r="A8" s="305" t="s">
        <v>1182</v>
      </c>
      <c r="B8" s="306">
        <v>400000</v>
      </c>
    </row>
    <row r="9" spans="1:16" ht="15" customHeight="1">
      <c r="A9" s="307"/>
      <c r="B9" s="307"/>
      <c r="C9" s="308"/>
    </row>
    <row r="10" spans="1:16" ht="22.5" customHeight="1">
      <c r="A10" s="1112" t="s">
        <v>1183</v>
      </c>
      <c r="B10" s="1112"/>
      <c r="C10" s="1112"/>
      <c r="D10" s="1112"/>
      <c r="E10" s="1112"/>
      <c r="F10" s="1112"/>
      <c r="G10" s="1112"/>
    </row>
    <row r="11" spans="1:16" ht="13.5" customHeight="1">
      <c r="A11" s="309"/>
      <c r="B11" s="309"/>
      <c r="C11" s="309"/>
      <c r="D11" s="309"/>
      <c r="E11" s="309"/>
      <c r="F11" s="309"/>
      <c r="G11" s="309"/>
    </row>
    <row r="12" spans="1:16" ht="15" customHeight="1">
      <c r="A12" s="307" t="s">
        <v>1184</v>
      </c>
      <c r="B12" s="310" t="s">
        <v>1185</v>
      </c>
      <c r="C12" s="308"/>
      <c r="D12" s="311"/>
      <c r="E12" s="311"/>
      <c r="F12" s="312"/>
      <c r="G12" s="312"/>
    </row>
    <row r="13" spans="1:16" ht="15" customHeight="1">
      <c r="A13" s="310"/>
      <c r="B13" s="310"/>
      <c r="C13" s="308"/>
      <c r="D13" s="311"/>
      <c r="E13" s="311"/>
      <c r="F13" s="312"/>
      <c r="G13" s="312"/>
    </row>
    <row r="14" spans="1:16" ht="15" customHeight="1">
      <c r="A14" s="310"/>
      <c r="B14" s="310"/>
      <c r="C14" s="308"/>
      <c r="D14" s="311"/>
      <c r="E14" s="311"/>
      <c r="F14" s="312"/>
      <c r="G14" s="312"/>
    </row>
    <row r="15" spans="1:16" ht="15" customHeight="1">
      <c r="A15" s="307" t="s">
        <v>1404</v>
      </c>
      <c r="B15" s="310" t="s">
        <v>232</v>
      </c>
      <c r="C15" s="313" t="s">
        <v>1188</v>
      </c>
      <c r="D15" s="314">
        <f>N16+N18+N20*5</f>
        <v>9.6440000000000001</v>
      </c>
      <c r="E15" s="311" t="s">
        <v>23</v>
      </c>
      <c r="F15" s="312"/>
      <c r="G15" s="312"/>
      <c r="H15" s="299">
        <v>0.4</v>
      </c>
      <c r="J15" s="299" t="s">
        <v>1405</v>
      </c>
      <c r="K15" s="299" t="s">
        <v>1406</v>
      </c>
      <c r="L15" s="299" t="s">
        <v>1407</v>
      </c>
      <c r="N15" s="299" t="s">
        <v>1408</v>
      </c>
    </row>
    <row r="16" spans="1:16" ht="15" customHeight="1">
      <c r="A16" s="310"/>
      <c r="B16" s="310"/>
      <c r="C16" s="308"/>
      <c r="D16" s="311"/>
      <c r="E16" s="311"/>
      <c r="F16" s="312"/>
      <c r="G16" s="312"/>
      <c r="H16" s="299">
        <v>0.4</v>
      </c>
      <c r="J16" s="299">
        <v>0.6</v>
      </c>
      <c r="K16" s="299">
        <v>0.6</v>
      </c>
      <c r="L16" s="299">
        <v>0.1</v>
      </c>
      <c r="M16" s="299">
        <v>4</v>
      </c>
      <c r="N16" s="299">
        <f t="shared" ref="N16:N20" si="0">J16*K16*L16*M16</f>
        <v>0.14399999999999999</v>
      </c>
    </row>
    <row r="17" spans="1:14" ht="15" customHeight="1">
      <c r="A17" s="310" t="s">
        <v>1341</v>
      </c>
      <c r="B17" s="310"/>
      <c r="C17" s="308"/>
      <c r="D17" s="311"/>
      <c r="E17" s="311"/>
      <c r="F17" s="312"/>
      <c r="G17" s="312"/>
      <c r="J17" s="299" t="s">
        <v>1405</v>
      </c>
      <c r="K17" s="299" t="s">
        <v>1406</v>
      </c>
      <c r="L17" s="299" t="s">
        <v>1407</v>
      </c>
      <c r="N17" s="299" t="s">
        <v>1408</v>
      </c>
    </row>
    <row r="18" spans="1:14" ht="26.25" customHeight="1">
      <c r="A18" s="310"/>
      <c r="B18" s="310"/>
      <c r="C18" s="308"/>
      <c r="D18" s="311" t="s">
        <v>1409</v>
      </c>
      <c r="E18" s="311" t="s">
        <v>1410</v>
      </c>
      <c r="F18" s="312" t="s">
        <v>1411</v>
      </c>
      <c r="G18" s="312" t="s">
        <v>1217</v>
      </c>
      <c r="J18" s="299">
        <v>0.25</v>
      </c>
      <c r="K18" s="299">
        <v>0.25</v>
      </c>
      <c r="L18" s="299">
        <v>2</v>
      </c>
      <c r="M18" s="299">
        <v>4</v>
      </c>
      <c r="N18" s="299">
        <f t="shared" si="0"/>
        <v>0.5</v>
      </c>
    </row>
    <row r="19" spans="1:14" ht="15" customHeight="1">
      <c r="A19" s="310"/>
      <c r="B19" s="310"/>
      <c r="C19" s="315" t="s">
        <v>1412</v>
      </c>
      <c r="D19" s="316">
        <v>1</v>
      </c>
      <c r="E19" s="316">
        <v>6</v>
      </c>
      <c r="F19" s="317">
        <v>615</v>
      </c>
      <c r="G19" s="318">
        <f>F19*E19*D19</f>
        <v>3690</v>
      </c>
      <c r="J19" s="299" t="s">
        <v>1405</v>
      </c>
      <c r="K19" s="299" t="s">
        <v>1406</v>
      </c>
      <c r="L19" s="299" t="s">
        <v>1407</v>
      </c>
      <c r="N19" s="299" t="s">
        <v>1408</v>
      </c>
    </row>
    <row r="20" spans="1:14" ht="15" customHeight="1">
      <c r="A20" s="310"/>
      <c r="B20" s="310"/>
      <c r="C20" s="315" t="s">
        <v>1413</v>
      </c>
      <c r="D20" s="316">
        <v>1</v>
      </c>
      <c r="E20" s="316">
        <f>E19</f>
        <v>6</v>
      </c>
      <c r="F20" s="317">
        <v>414</v>
      </c>
      <c r="G20" s="318">
        <f>F20*E20*D20</f>
        <v>2484</v>
      </c>
      <c r="J20" s="299">
        <v>3</v>
      </c>
      <c r="K20" s="299">
        <v>6</v>
      </c>
      <c r="L20" s="299">
        <v>0.1</v>
      </c>
      <c r="M20" s="299">
        <v>1</v>
      </c>
      <c r="N20" s="299">
        <f t="shared" si="0"/>
        <v>1.8</v>
      </c>
    </row>
    <row r="21" spans="1:14" ht="15" customHeight="1">
      <c r="A21" s="310"/>
      <c r="B21" s="310"/>
      <c r="C21" s="315" t="s">
        <v>1414</v>
      </c>
      <c r="D21" s="316">
        <v>3</v>
      </c>
      <c r="E21" s="316">
        <f>E20</f>
        <v>6</v>
      </c>
      <c r="F21" s="317">
        <v>390</v>
      </c>
      <c r="G21" s="318">
        <f>F21*E21*D21</f>
        <v>7020</v>
      </c>
    </row>
    <row r="22" spans="1:14" ht="15" customHeight="1">
      <c r="A22" s="310"/>
      <c r="B22" s="310"/>
      <c r="C22" s="315" t="s">
        <v>1415</v>
      </c>
      <c r="D22" s="316">
        <v>5</v>
      </c>
      <c r="E22" s="316">
        <f>E21</f>
        <v>6</v>
      </c>
      <c r="F22" s="317">
        <v>341</v>
      </c>
      <c r="G22" s="319">
        <f>F22*E22*D22</f>
        <v>10230</v>
      </c>
    </row>
    <row r="23" spans="1:14" ht="15" customHeight="1">
      <c r="A23" s="310"/>
      <c r="B23" s="310"/>
      <c r="C23" s="308"/>
      <c r="D23" s="311"/>
      <c r="E23" s="311"/>
      <c r="F23" s="320" t="s">
        <v>1211</v>
      </c>
      <c r="G23" s="312">
        <f>SUM(G19:G22)</f>
        <v>23424</v>
      </c>
      <c r="H23" s="321">
        <f>G23/G32</f>
        <v>0.3680472628998806</v>
      </c>
    </row>
    <row r="24" spans="1:14" ht="15" customHeight="1">
      <c r="A24" s="310" t="s">
        <v>1215</v>
      </c>
      <c r="H24" s="299">
        <v>1</v>
      </c>
    </row>
    <row r="25" spans="1:14" ht="15" customHeight="1">
      <c r="A25" s="310"/>
      <c r="B25" s="310"/>
      <c r="C25" s="322"/>
      <c r="D25" s="311" t="s">
        <v>173</v>
      </c>
      <c r="E25" s="311" t="s">
        <v>297</v>
      </c>
      <c r="F25" s="320" t="s">
        <v>1216</v>
      </c>
      <c r="G25" s="312" t="s">
        <v>1217</v>
      </c>
      <c r="H25" s="299" t="e">
        <f>#REF!</f>
        <v>#REF!</v>
      </c>
    </row>
    <row r="26" spans="1:14" ht="15" customHeight="1">
      <c r="A26" s="310"/>
      <c r="B26" s="310"/>
      <c r="C26" s="308"/>
      <c r="D26" s="311"/>
      <c r="E26" s="311"/>
      <c r="F26" s="320"/>
      <c r="G26" s="312"/>
      <c r="H26" s="299" t="e">
        <f>H15*H16*H24*H25</f>
        <v>#REF!</v>
      </c>
    </row>
    <row r="27" spans="1:14" ht="15" customHeight="1">
      <c r="A27" s="310"/>
      <c r="B27" s="310"/>
      <c r="C27" s="323" t="s">
        <v>1416</v>
      </c>
      <c r="D27" s="324">
        <f>ROUNDUP(D$15*9,0)</f>
        <v>87</v>
      </c>
      <c r="E27" s="325" t="s">
        <v>336</v>
      </c>
      <c r="F27" s="326">
        <v>310</v>
      </c>
      <c r="G27" s="318">
        <f t="shared" ref="G27:G29" si="1">F27*D27</f>
        <v>26970</v>
      </c>
    </row>
    <row r="28" spans="1:14" ht="15" customHeight="1">
      <c r="A28" s="310"/>
      <c r="B28" s="310"/>
      <c r="C28" s="323" t="s">
        <v>346</v>
      </c>
      <c r="D28" s="324">
        <v>10</v>
      </c>
      <c r="E28" s="325" t="s">
        <v>23</v>
      </c>
      <c r="F28" s="326">
        <v>600</v>
      </c>
      <c r="G28" s="318">
        <f t="shared" si="1"/>
        <v>6000</v>
      </c>
    </row>
    <row r="29" spans="1:14" ht="15" customHeight="1">
      <c r="A29" s="310"/>
      <c r="B29" s="310"/>
      <c r="C29" s="327" t="s">
        <v>1417</v>
      </c>
      <c r="D29" s="324">
        <v>5</v>
      </c>
      <c r="E29" s="325" t="s">
        <v>23</v>
      </c>
      <c r="F29" s="326">
        <v>1450</v>
      </c>
      <c r="G29" s="328">
        <f t="shared" si="1"/>
        <v>7250</v>
      </c>
    </row>
    <row r="30" spans="1:14" ht="15" customHeight="1">
      <c r="A30" s="310"/>
      <c r="B30" s="310"/>
      <c r="C30" s="308"/>
      <c r="D30" s="311"/>
      <c r="E30" s="311"/>
      <c r="F30" s="320" t="s">
        <v>1211</v>
      </c>
      <c r="G30" s="307">
        <f>SUM(G27:G29)</f>
        <v>40220</v>
      </c>
    </row>
    <row r="31" spans="1:14" ht="15" customHeight="1">
      <c r="A31" s="310"/>
      <c r="B31" s="310"/>
      <c r="C31" s="308"/>
      <c r="D31" s="311"/>
      <c r="E31" s="311"/>
    </row>
    <row r="32" spans="1:14" ht="15" customHeight="1">
      <c r="A32" s="310"/>
      <c r="B32" s="310"/>
      <c r="C32" s="308"/>
      <c r="D32" s="311"/>
      <c r="E32" s="311"/>
      <c r="F32" s="320" t="s">
        <v>1212</v>
      </c>
      <c r="G32" s="312">
        <f>G30+G23</f>
        <v>63644</v>
      </c>
    </row>
    <row r="33" spans="1:12" ht="15" customHeight="1">
      <c r="A33" s="310"/>
      <c r="B33" s="310"/>
      <c r="C33" s="308"/>
      <c r="D33" s="311"/>
      <c r="E33" s="311"/>
      <c r="F33" s="320" t="s">
        <v>1213</v>
      </c>
      <c r="G33" s="312">
        <f>G32/D15</f>
        <v>6599.3363749481541</v>
      </c>
    </row>
    <row r="34" spans="1:12" ht="15" customHeight="1">
      <c r="A34" s="310"/>
      <c r="B34" s="310"/>
      <c r="C34" s="308"/>
      <c r="D34" s="311"/>
      <c r="E34" s="311"/>
    </row>
    <row r="35" spans="1:12" ht="15" customHeight="1">
      <c r="A35" s="307" t="s">
        <v>1418</v>
      </c>
      <c r="B35" s="310" t="s">
        <v>298</v>
      </c>
      <c r="C35" s="313" t="s">
        <v>1188</v>
      </c>
      <c r="D35" s="311">
        <f>D46*0.616+D47*0.888</f>
        <v>30.712</v>
      </c>
      <c r="E35" s="311" t="s">
        <v>238</v>
      </c>
      <c r="F35" s="312"/>
      <c r="G35" s="312"/>
      <c r="H35" s="299">
        <v>0.4</v>
      </c>
      <c r="J35" s="299" t="s">
        <v>1419</v>
      </c>
    </row>
    <row r="36" spans="1:12" ht="15" customHeight="1">
      <c r="A36" s="310"/>
      <c r="B36" s="310"/>
      <c r="C36" s="308"/>
      <c r="D36" s="311"/>
      <c r="E36" s="311"/>
      <c r="F36" s="312"/>
      <c r="G36" s="312"/>
      <c r="H36" s="299">
        <v>0.4</v>
      </c>
      <c r="J36" s="299" t="s">
        <v>1420</v>
      </c>
      <c r="K36" s="299" t="s">
        <v>195</v>
      </c>
      <c r="L36" s="299" t="s">
        <v>1421</v>
      </c>
    </row>
    <row r="37" spans="1:12" ht="15" customHeight="1">
      <c r="A37" s="310" t="s">
        <v>1341</v>
      </c>
      <c r="B37" s="310"/>
      <c r="C37" s="308"/>
      <c r="D37" s="311"/>
      <c r="E37" s="311"/>
      <c r="F37" s="312"/>
      <c r="G37" s="312"/>
      <c r="J37" s="299">
        <v>3</v>
      </c>
      <c r="K37" s="299">
        <f>110/0.4</f>
        <v>275</v>
      </c>
      <c r="L37" s="299">
        <f>J37*K37</f>
        <v>825</v>
      </c>
    </row>
    <row r="38" spans="1:12" ht="26.25" customHeight="1">
      <c r="A38" s="310"/>
      <c r="B38" s="310"/>
      <c r="C38" s="308"/>
      <c r="D38" s="311" t="s">
        <v>1409</v>
      </c>
      <c r="E38" s="311" t="s">
        <v>1410</v>
      </c>
      <c r="F38" s="312" t="s">
        <v>1411</v>
      </c>
      <c r="G38" s="312" t="s">
        <v>1217</v>
      </c>
    </row>
    <row r="39" spans="1:12" ht="15" customHeight="1">
      <c r="A39" s="310"/>
      <c r="B39" s="310"/>
      <c r="C39" s="315" t="s">
        <v>1412</v>
      </c>
      <c r="D39" s="316">
        <v>1</v>
      </c>
      <c r="E39" s="316">
        <v>6</v>
      </c>
      <c r="F39" s="317">
        <v>615</v>
      </c>
      <c r="G39" s="318">
        <f t="shared" ref="G39:G41" si="2">F39*E39*D39</f>
        <v>3690</v>
      </c>
      <c r="J39" s="299" t="s">
        <v>1422</v>
      </c>
    </row>
    <row r="40" spans="1:12" ht="15" customHeight="1">
      <c r="A40" s="310"/>
      <c r="B40" s="310"/>
      <c r="C40" s="315" t="s">
        <v>1423</v>
      </c>
      <c r="D40" s="316">
        <v>2</v>
      </c>
      <c r="E40" s="316">
        <f>E39</f>
        <v>6</v>
      </c>
      <c r="F40" s="317">
        <v>390</v>
      </c>
      <c r="G40" s="318">
        <f t="shared" si="2"/>
        <v>4680</v>
      </c>
      <c r="J40" s="299">
        <v>110</v>
      </c>
      <c r="K40" s="299">
        <v>10</v>
      </c>
      <c r="L40" s="299">
        <f>J40*K40</f>
        <v>1100</v>
      </c>
    </row>
    <row r="41" spans="1:12" ht="15" customHeight="1">
      <c r="A41" s="310"/>
      <c r="B41" s="310"/>
      <c r="C41" s="315" t="s">
        <v>1415</v>
      </c>
      <c r="D41" s="316">
        <v>3</v>
      </c>
      <c r="E41" s="316">
        <f t="shared" ref="E41" si="3">E40</f>
        <v>6</v>
      </c>
      <c r="F41" s="317">
        <v>341</v>
      </c>
      <c r="G41" s="319">
        <f t="shared" si="2"/>
        <v>6138</v>
      </c>
    </row>
    <row r="42" spans="1:12" ht="15" customHeight="1">
      <c r="A42" s="310"/>
      <c r="B42" s="310"/>
      <c r="C42" s="308"/>
      <c r="D42" s="311"/>
      <c r="E42" s="311"/>
      <c r="F42" s="320" t="s">
        <v>1211</v>
      </c>
      <c r="G42" s="312">
        <f>SUM(G39:G41)</f>
        <v>14508</v>
      </c>
      <c r="H42" s="321">
        <f>G42/G52</f>
        <v>0.53322552190532191</v>
      </c>
      <c r="J42" s="299" t="s">
        <v>1424</v>
      </c>
    </row>
    <row r="43" spans="1:12" ht="15" customHeight="1">
      <c r="A43" s="310" t="s">
        <v>1215</v>
      </c>
      <c r="H43" s="299">
        <v>1</v>
      </c>
      <c r="J43" s="299" t="s">
        <v>1420</v>
      </c>
      <c r="K43" s="299" t="s">
        <v>195</v>
      </c>
      <c r="L43" s="299" t="s">
        <v>1421</v>
      </c>
    </row>
    <row r="44" spans="1:12" ht="15" customHeight="1">
      <c r="A44" s="310"/>
      <c r="B44" s="310"/>
      <c r="C44" s="322"/>
      <c r="D44" s="311" t="s">
        <v>173</v>
      </c>
      <c r="E44" s="311" t="s">
        <v>297</v>
      </c>
      <c r="F44" s="320" t="s">
        <v>1216</v>
      </c>
      <c r="G44" s="312" t="s">
        <v>1217</v>
      </c>
      <c r="H44" s="299" t="e">
        <f>#REF!</f>
        <v>#REF!</v>
      </c>
      <c r="J44" s="299">
        <v>4</v>
      </c>
      <c r="K44" s="299">
        <v>110</v>
      </c>
      <c r="L44" s="299">
        <f>J44*K44</f>
        <v>440</v>
      </c>
    </row>
    <row r="45" spans="1:12" ht="15" customHeight="1">
      <c r="A45" s="310"/>
      <c r="B45" s="310"/>
      <c r="C45" s="308"/>
      <c r="D45" s="311"/>
      <c r="E45" s="311"/>
      <c r="F45" s="320"/>
      <c r="G45" s="312"/>
      <c r="H45" s="299" t="e">
        <f>H35*H36*H43*H44</f>
        <v>#REF!</v>
      </c>
    </row>
    <row r="46" spans="1:12" ht="15" customHeight="1">
      <c r="A46" s="310"/>
      <c r="B46" s="310"/>
      <c r="C46" s="323" t="s">
        <v>1425</v>
      </c>
      <c r="D46" s="324">
        <v>34</v>
      </c>
      <c r="E46" s="325" t="s">
        <v>350</v>
      </c>
      <c r="F46" s="326">
        <v>210</v>
      </c>
      <c r="G46" s="318">
        <f t="shared" ref="G46:G49" si="4">F46*D46</f>
        <v>7140</v>
      </c>
    </row>
    <row r="47" spans="1:12" ht="15" customHeight="1">
      <c r="A47" s="310"/>
      <c r="B47" s="310"/>
      <c r="C47" s="323" t="s">
        <v>1426</v>
      </c>
      <c r="D47" s="324">
        <v>11</v>
      </c>
      <c r="E47" s="325" t="s">
        <v>350</v>
      </c>
      <c r="F47" s="326">
        <v>310</v>
      </c>
      <c r="G47" s="318">
        <f t="shared" si="4"/>
        <v>3410</v>
      </c>
    </row>
    <row r="48" spans="1:12" ht="15" customHeight="1">
      <c r="A48" s="310"/>
      <c r="B48" s="310"/>
      <c r="C48" s="323" t="s">
        <v>1427</v>
      </c>
      <c r="D48" s="324">
        <v>10</v>
      </c>
      <c r="E48" s="325" t="s">
        <v>21</v>
      </c>
      <c r="F48" s="326">
        <v>110</v>
      </c>
      <c r="G48" s="318">
        <f t="shared" si="4"/>
        <v>1100</v>
      </c>
    </row>
    <row r="49" spans="1:11" ht="15" customHeight="1">
      <c r="A49" s="310"/>
      <c r="B49" s="310"/>
      <c r="C49" s="327" t="s">
        <v>1428</v>
      </c>
      <c r="D49" s="324">
        <v>5</v>
      </c>
      <c r="E49" s="325" t="s">
        <v>21</v>
      </c>
      <c r="F49" s="326">
        <v>210</v>
      </c>
      <c r="G49" s="328">
        <f t="shared" si="4"/>
        <v>1050</v>
      </c>
    </row>
    <row r="50" spans="1:11" ht="15" customHeight="1">
      <c r="A50" s="310"/>
      <c r="B50" s="310"/>
      <c r="C50" s="308"/>
      <c r="D50" s="311"/>
      <c r="E50" s="311"/>
      <c r="F50" s="320" t="s">
        <v>1211</v>
      </c>
      <c r="G50" s="307">
        <f>SUM(G46:G49)</f>
        <v>12700</v>
      </c>
      <c r="K50" s="299">
        <f>4*0.3+2</f>
        <v>3.2</v>
      </c>
    </row>
    <row r="51" spans="1:11" ht="15" customHeight="1">
      <c r="A51" s="310"/>
      <c r="B51" s="310"/>
      <c r="C51" s="308"/>
      <c r="D51" s="311"/>
      <c r="E51" s="311"/>
    </row>
    <row r="52" spans="1:11" ht="15" customHeight="1">
      <c r="A52" s="310"/>
      <c r="B52" s="310"/>
      <c r="C52" s="308"/>
      <c r="D52" s="311"/>
      <c r="E52" s="311"/>
      <c r="F52" s="320" t="s">
        <v>1212</v>
      </c>
      <c r="G52" s="312">
        <f>G50+G42</f>
        <v>27208</v>
      </c>
    </row>
    <row r="53" spans="1:11" ht="15" customHeight="1">
      <c r="A53" s="310"/>
      <c r="B53" s="310"/>
      <c r="C53" s="308"/>
      <c r="D53" s="311"/>
      <c r="E53" s="311"/>
      <c r="F53" s="320" t="s">
        <v>1213</v>
      </c>
      <c r="G53" s="312">
        <f>G52/D35</f>
        <v>885.9077884865851</v>
      </c>
    </row>
    <row r="54" spans="1:11" ht="15" customHeight="1">
      <c r="A54" s="310"/>
      <c r="B54" s="310"/>
      <c r="C54" s="308"/>
      <c r="D54" s="311"/>
      <c r="E54" s="311"/>
    </row>
    <row r="55" spans="1:11" ht="15" customHeight="1">
      <c r="A55" s="307" t="s">
        <v>1429</v>
      </c>
      <c r="B55" s="310" t="s">
        <v>167</v>
      </c>
      <c r="C55" s="313" t="s">
        <v>1188</v>
      </c>
      <c r="D55" s="314">
        <v>1</v>
      </c>
      <c r="E55" s="311" t="s">
        <v>307</v>
      </c>
      <c r="F55" s="312"/>
      <c r="G55" s="312"/>
    </row>
    <row r="56" spans="1:11" ht="15" customHeight="1">
      <c r="A56" s="310"/>
      <c r="B56" s="310"/>
      <c r="C56" s="322"/>
      <c r="D56" s="329"/>
      <c r="E56" s="329"/>
      <c r="F56" s="312"/>
      <c r="G56" s="312"/>
    </row>
    <row r="57" spans="1:11" ht="15" customHeight="1">
      <c r="A57" s="310" t="s">
        <v>1341</v>
      </c>
      <c r="B57" s="310"/>
      <c r="C57" s="308"/>
      <c r="D57" s="311"/>
      <c r="E57" s="311"/>
      <c r="F57" s="312"/>
      <c r="G57" s="312"/>
    </row>
    <row r="58" spans="1:11" ht="26.25" customHeight="1">
      <c r="A58" s="310"/>
      <c r="B58" s="310"/>
      <c r="C58" s="308"/>
      <c r="D58" s="311" t="s">
        <v>1409</v>
      </c>
      <c r="E58" s="311" t="s">
        <v>1410</v>
      </c>
      <c r="F58" s="312" t="s">
        <v>1411</v>
      </c>
      <c r="G58" s="312" t="s">
        <v>1217</v>
      </c>
    </row>
    <row r="59" spans="1:11" ht="15" customHeight="1">
      <c r="A59" s="310"/>
      <c r="B59" s="310"/>
      <c r="C59" s="315" t="s">
        <v>1412</v>
      </c>
      <c r="D59" s="316">
        <v>1</v>
      </c>
      <c r="E59" s="316">
        <v>4</v>
      </c>
      <c r="F59" s="317">
        <v>615</v>
      </c>
      <c r="G59" s="318">
        <f>F59*E59*D59</f>
        <v>2460</v>
      </c>
    </row>
    <row r="60" spans="1:11" ht="15" customHeight="1">
      <c r="A60" s="310"/>
      <c r="B60" s="310"/>
      <c r="C60" s="315" t="s">
        <v>1413</v>
      </c>
      <c r="D60" s="316">
        <v>1</v>
      </c>
      <c r="E60" s="316">
        <f>E59</f>
        <v>4</v>
      </c>
      <c r="F60" s="317">
        <v>414</v>
      </c>
      <c r="G60" s="318">
        <f>F60*E60*D60</f>
        <v>1656</v>
      </c>
    </row>
    <row r="61" spans="1:11" ht="15" customHeight="1">
      <c r="A61" s="310"/>
      <c r="B61" s="310"/>
      <c r="C61" s="315" t="s">
        <v>1415</v>
      </c>
      <c r="D61" s="316">
        <v>1</v>
      </c>
      <c r="E61" s="316">
        <f>E60</f>
        <v>4</v>
      </c>
      <c r="F61" s="317">
        <v>341</v>
      </c>
      <c r="G61" s="319">
        <f>F61*E61*D61</f>
        <v>1364</v>
      </c>
    </row>
    <row r="62" spans="1:11" ht="15" customHeight="1">
      <c r="A62" s="310"/>
      <c r="B62" s="310"/>
      <c r="C62" s="308"/>
      <c r="D62" s="311"/>
      <c r="E62" s="311"/>
      <c r="F62" s="320" t="s">
        <v>1211</v>
      </c>
      <c r="G62" s="312">
        <f>SUM(G59:G61)</f>
        <v>5480</v>
      </c>
      <c r="H62" s="299">
        <f>G62/G76</f>
        <v>0.4231986045566597</v>
      </c>
      <c r="J62" s="299">
        <v>1</v>
      </c>
    </row>
    <row r="63" spans="1:11" ht="15" customHeight="1">
      <c r="A63" s="310"/>
      <c r="B63" s="310"/>
      <c r="C63" s="308"/>
      <c r="D63" s="311"/>
      <c r="E63" s="311"/>
      <c r="F63" s="312"/>
      <c r="G63" s="312"/>
    </row>
    <row r="64" spans="1:11" ht="15" customHeight="1">
      <c r="A64" s="310" t="s">
        <v>1215</v>
      </c>
    </row>
    <row r="65" spans="1:10" ht="15" customHeight="1">
      <c r="A65" s="310"/>
      <c r="B65" s="310"/>
      <c r="C65" s="322"/>
      <c r="D65" s="311" t="s">
        <v>173</v>
      </c>
      <c r="E65" s="311" t="s">
        <v>297</v>
      </c>
      <c r="F65" s="320" t="s">
        <v>1216</v>
      </c>
      <c r="G65" s="312" t="s">
        <v>1217</v>
      </c>
    </row>
    <row r="66" spans="1:10" ht="15" customHeight="1">
      <c r="A66" s="310"/>
      <c r="B66" s="310"/>
      <c r="C66" s="330"/>
      <c r="D66" s="311"/>
      <c r="E66" s="311"/>
      <c r="F66" s="320"/>
      <c r="G66" s="312"/>
    </row>
    <row r="67" spans="1:10" ht="15" customHeight="1">
      <c r="A67" s="310"/>
      <c r="B67" s="310"/>
      <c r="C67" s="331" t="s">
        <v>1430</v>
      </c>
      <c r="D67" s="324">
        <f>20*6</f>
        <v>120</v>
      </c>
      <c r="E67" s="324" t="s">
        <v>585</v>
      </c>
      <c r="F67" s="324">
        <v>38</v>
      </c>
      <c r="G67" s="318">
        <f>D67*F67</f>
        <v>4560</v>
      </c>
      <c r="J67" s="299">
        <f>D67*5</f>
        <v>600</v>
      </c>
    </row>
    <row r="68" spans="1:10" ht="15" customHeight="1">
      <c r="A68" s="310"/>
      <c r="B68" s="310"/>
      <c r="C68" s="331" t="s">
        <v>1431</v>
      </c>
      <c r="D68" s="324">
        <f>20*4</f>
        <v>80</v>
      </c>
      <c r="E68" s="324" t="s">
        <v>585</v>
      </c>
      <c r="F68" s="324">
        <v>38</v>
      </c>
      <c r="G68" s="318">
        <f>D68*F68</f>
        <v>3040</v>
      </c>
      <c r="J68" s="299">
        <f t="shared" ref="J68:J75" si="5">D68*5</f>
        <v>400</v>
      </c>
    </row>
    <row r="69" spans="1:10" ht="15" customHeight="1">
      <c r="A69" s="310"/>
      <c r="B69" s="310"/>
      <c r="C69" s="332" t="s">
        <v>1432</v>
      </c>
      <c r="D69" s="324">
        <v>4</v>
      </c>
      <c r="E69" s="324" t="s">
        <v>1221</v>
      </c>
      <c r="F69" s="324">
        <v>714</v>
      </c>
      <c r="G69" s="318">
        <f>D69*F69</f>
        <v>2856</v>
      </c>
      <c r="J69" s="299">
        <f t="shared" si="5"/>
        <v>20</v>
      </c>
    </row>
    <row r="70" spans="1:10" ht="15" customHeight="1">
      <c r="A70" s="310"/>
      <c r="B70" s="310"/>
      <c r="C70" s="331" t="s">
        <v>1433</v>
      </c>
      <c r="D70" s="333">
        <v>4</v>
      </c>
      <c r="E70" s="329" t="s">
        <v>469</v>
      </c>
      <c r="F70" s="334">
        <v>68</v>
      </c>
      <c r="G70" s="318">
        <f t="shared" ref="G70:G75" si="6">D70*F70</f>
        <v>272</v>
      </c>
      <c r="J70" s="299">
        <f t="shared" si="5"/>
        <v>20</v>
      </c>
    </row>
    <row r="71" spans="1:10" ht="15" customHeight="1">
      <c r="A71" s="310"/>
      <c r="B71" s="310"/>
      <c r="C71" s="331" t="s">
        <v>1223</v>
      </c>
      <c r="D71" s="333">
        <v>5</v>
      </c>
      <c r="E71" s="329" t="s">
        <v>238</v>
      </c>
      <c r="F71" s="334">
        <v>94</v>
      </c>
      <c r="G71" s="318">
        <f t="shared" si="6"/>
        <v>470</v>
      </c>
      <c r="J71" s="299">
        <f t="shared" si="5"/>
        <v>25</v>
      </c>
    </row>
    <row r="72" spans="1:10" ht="15" customHeight="1">
      <c r="A72" s="310"/>
      <c r="B72" s="310"/>
      <c r="C72" s="331" t="s">
        <v>1434</v>
      </c>
      <c r="D72" s="333">
        <v>5</v>
      </c>
      <c r="E72" s="329" t="s">
        <v>238</v>
      </c>
      <c r="F72" s="335">
        <v>94</v>
      </c>
      <c r="G72" s="318">
        <f t="shared" si="6"/>
        <v>470</v>
      </c>
      <c r="J72" s="299">
        <f t="shared" si="5"/>
        <v>25</v>
      </c>
    </row>
    <row r="73" spans="1:10" ht="15" customHeight="1">
      <c r="A73" s="310"/>
      <c r="B73" s="310"/>
      <c r="C73" s="331" t="s">
        <v>1427</v>
      </c>
      <c r="D73" s="333">
        <v>3.9272999999999998</v>
      </c>
      <c r="E73" s="329" t="s">
        <v>238</v>
      </c>
      <c r="F73" s="335">
        <v>110</v>
      </c>
      <c r="G73" s="318">
        <f t="shared" si="6"/>
        <v>432.00299999999999</v>
      </c>
      <c r="H73" s="299">
        <f>H295</f>
        <v>-3.0000000260770321E-3</v>
      </c>
      <c r="J73" s="299">
        <f t="shared" si="5"/>
        <v>19.636499999999998</v>
      </c>
    </row>
    <row r="74" spans="1:10" ht="15" customHeight="1">
      <c r="A74" s="310"/>
      <c r="B74" s="310"/>
      <c r="C74" s="331" t="s">
        <v>1225</v>
      </c>
      <c r="D74" s="333">
        <v>3</v>
      </c>
      <c r="E74" s="329" t="s">
        <v>238</v>
      </c>
      <c r="F74" s="334">
        <v>94</v>
      </c>
      <c r="G74" s="336">
        <f t="shared" si="6"/>
        <v>282</v>
      </c>
      <c r="J74" s="299">
        <f t="shared" si="5"/>
        <v>15</v>
      </c>
    </row>
    <row r="75" spans="1:10" ht="15" customHeight="1">
      <c r="A75" s="310"/>
      <c r="B75" s="310"/>
      <c r="C75" s="331" t="s">
        <v>1435</v>
      </c>
      <c r="D75" s="333">
        <v>3</v>
      </c>
      <c r="E75" s="329" t="s">
        <v>16</v>
      </c>
      <c r="F75" s="334">
        <v>189</v>
      </c>
      <c r="G75" s="319">
        <f t="shared" si="6"/>
        <v>567</v>
      </c>
      <c r="J75" s="299">
        <f t="shared" si="5"/>
        <v>15</v>
      </c>
    </row>
    <row r="76" spans="1:10" ht="15" customHeight="1">
      <c r="A76" s="310"/>
      <c r="B76" s="310"/>
      <c r="C76" s="331"/>
      <c r="D76" s="311"/>
      <c r="E76" s="311"/>
      <c r="F76" s="320" t="s">
        <v>1211</v>
      </c>
      <c r="G76" s="307">
        <f>SUM(G67:G75)</f>
        <v>12949.003000000001</v>
      </c>
      <c r="H76" s="299">
        <f>G76*5</f>
        <v>64745.014999999999</v>
      </c>
    </row>
    <row r="77" spans="1:10" ht="15" customHeight="1">
      <c r="A77" s="310"/>
      <c r="B77" s="310"/>
      <c r="C77" s="308"/>
      <c r="D77" s="311"/>
      <c r="E77" s="311"/>
      <c r="F77" s="320"/>
      <c r="G77" s="312"/>
    </row>
    <row r="78" spans="1:10" ht="15" customHeight="1">
      <c r="A78" s="310"/>
      <c r="B78" s="310"/>
      <c r="C78" s="308"/>
      <c r="D78" s="311"/>
      <c r="E78" s="311"/>
      <c r="F78" s="320" t="s">
        <v>1212</v>
      </c>
      <c r="G78" s="312">
        <f>G76+G62</f>
        <v>18429.003000000001</v>
      </c>
    </row>
    <row r="79" spans="1:10" ht="15" customHeight="1">
      <c r="A79" s="310"/>
      <c r="B79" s="310"/>
      <c r="C79" s="308"/>
      <c r="D79" s="311"/>
      <c r="E79" s="311"/>
      <c r="F79" s="320" t="s">
        <v>1213</v>
      </c>
      <c r="G79" s="312">
        <f>G78/D55</f>
        <v>18429.003000000001</v>
      </c>
    </row>
    <row r="81" spans="1:12" ht="15" customHeight="1">
      <c r="A81" s="307" t="s">
        <v>1436</v>
      </c>
      <c r="B81" s="1109" t="s">
        <v>1437</v>
      </c>
      <c r="C81" s="313" t="s">
        <v>1188</v>
      </c>
      <c r="D81" s="314">
        <v>24</v>
      </c>
      <c r="E81" s="311" t="s">
        <v>112</v>
      </c>
      <c r="F81" s="312"/>
      <c r="G81" s="312"/>
    </row>
    <row r="82" spans="1:12" ht="15" customHeight="1">
      <c r="A82" s="310"/>
      <c r="B82" s="1109"/>
      <c r="C82" s="322"/>
      <c r="D82" s="329"/>
      <c r="E82" s="329"/>
      <c r="F82" s="312"/>
      <c r="G82" s="312"/>
    </row>
    <row r="83" spans="1:12" ht="15" customHeight="1">
      <c r="A83" s="310"/>
      <c r="B83" s="337"/>
      <c r="C83" s="322"/>
      <c r="D83" s="329"/>
      <c r="E83" s="329"/>
      <c r="F83" s="312"/>
      <c r="G83" s="312"/>
    </row>
    <row r="84" spans="1:12" ht="15" customHeight="1">
      <c r="A84" s="310" t="s">
        <v>1341</v>
      </c>
      <c r="B84" s="310"/>
      <c r="C84" s="308"/>
      <c r="D84" s="311"/>
      <c r="E84" s="311"/>
      <c r="F84" s="312"/>
      <c r="G84" s="312"/>
    </row>
    <row r="85" spans="1:12" ht="26.25" customHeight="1">
      <c r="A85" s="310"/>
      <c r="B85" s="310"/>
      <c r="C85" s="308"/>
      <c r="D85" s="311" t="s">
        <v>1409</v>
      </c>
      <c r="E85" s="311" t="s">
        <v>1410</v>
      </c>
      <c r="F85" s="312" t="s">
        <v>1411</v>
      </c>
      <c r="G85" s="312" t="s">
        <v>1217</v>
      </c>
    </row>
    <row r="86" spans="1:12" ht="15" customHeight="1">
      <c r="A86" s="310"/>
      <c r="B86" s="310"/>
      <c r="C86" s="315" t="s">
        <v>1412</v>
      </c>
      <c r="D86" s="316">
        <v>1</v>
      </c>
      <c r="E86" s="316">
        <v>7</v>
      </c>
      <c r="F86" s="317">
        <v>615</v>
      </c>
      <c r="G86" s="318">
        <f>F86*E86*D86</f>
        <v>4305</v>
      </c>
    </row>
    <row r="87" spans="1:12" ht="15" customHeight="1">
      <c r="A87" s="310"/>
      <c r="B87" s="310"/>
      <c r="C87" s="315" t="s">
        <v>1414</v>
      </c>
      <c r="D87" s="316">
        <v>2</v>
      </c>
      <c r="E87" s="316">
        <f>E86</f>
        <v>7</v>
      </c>
      <c r="F87" s="317">
        <v>390</v>
      </c>
      <c r="G87" s="318">
        <f>F87*E87*D87</f>
        <v>5460</v>
      </c>
    </row>
    <row r="88" spans="1:12" ht="15" customHeight="1">
      <c r="A88" s="310"/>
      <c r="B88" s="310"/>
      <c r="C88" s="315" t="s">
        <v>1415</v>
      </c>
      <c r="D88" s="316">
        <v>3</v>
      </c>
      <c r="E88" s="316">
        <f>E87</f>
        <v>7</v>
      </c>
      <c r="F88" s="317">
        <v>341</v>
      </c>
      <c r="G88" s="319">
        <f>F88*E88*D88</f>
        <v>7161</v>
      </c>
    </row>
    <row r="89" spans="1:12" ht="15" customHeight="1">
      <c r="A89" s="310"/>
      <c r="B89" s="310"/>
      <c r="C89" s="308"/>
      <c r="D89" s="311"/>
      <c r="E89" s="311"/>
      <c r="F89" s="320" t="s">
        <v>1211</v>
      </c>
      <c r="G89" s="312">
        <f>SUM(G86:G88)</f>
        <v>16926</v>
      </c>
      <c r="H89" s="299">
        <f>G89/G97</f>
        <v>0.46245901639344261</v>
      </c>
    </row>
    <row r="90" spans="1:12" ht="15" customHeight="1">
      <c r="A90" s="310" t="s">
        <v>1215</v>
      </c>
    </row>
    <row r="91" spans="1:12" ht="15" customHeight="1">
      <c r="A91" s="310"/>
      <c r="B91" s="310"/>
      <c r="C91" s="322"/>
      <c r="D91" s="311" t="s">
        <v>173</v>
      </c>
      <c r="E91" s="311" t="s">
        <v>297</v>
      </c>
      <c r="F91" s="320" t="s">
        <v>1216</v>
      </c>
      <c r="G91" s="312" t="s">
        <v>1217</v>
      </c>
    </row>
    <row r="92" spans="1:12" ht="15" customHeight="1">
      <c r="A92" s="310"/>
      <c r="B92" s="310"/>
      <c r="C92" s="308"/>
      <c r="D92" s="311"/>
      <c r="E92" s="311"/>
      <c r="F92" s="320"/>
      <c r="G92" s="312"/>
    </row>
    <row r="93" spans="1:12" ht="15" customHeight="1">
      <c r="A93" s="310"/>
      <c r="B93" s="310"/>
      <c r="C93" s="323" t="s">
        <v>364</v>
      </c>
      <c r="D93" s="324">
        <f>D81*12.5</f>
        <v>300</v>
      </c>
      <c r="E93" s="325" t="s">
        <v>21</v>
      </c>
      <c r="F93" s="326">
        <v>13</v>
      </c>
      <c r="G93" s="318">
        <f>F93*D93</f>
        <v>3900</v>
      </c>
      <c r="J93" s="299">
        <f t="shared" ref="J93" si="7">D93*5</f>
        <v>1500</v>
      </c>
    </row>
    <row r="94" spans="1:12" ht="15" customHeight="1">
      <c r="A94" s="310"/>
      <c r="B94" s="310"/>
      <c r="C94" s="323" t="s">
        <v>1425</v>
      </c>
      <c r="D94" s="324">
        <v>20</v>
      </c>
      <c r="E94" s="325" t="s">
        <v>350</v>
      </c>
      <c r="F94" s="326">
        <v>210</v>
      </c>
      <c r="G94" s="318">
        <f t="shared" ref="G94:G96" si="8">F94*D94</f>
        <v>4200</v>
      </c>
      <c r="J94" s="299">
        <f>52+145</f>
        <v>197</v>
      </c>
      <c r="K94" s="299">
        <v>5</v>
      </c>
      <c r="L94" s="299">
        <f>K94*J94</f>
        <v>985</v>
      </c>
    </row>
    <row r="95" spans="1:12" ht="15" customHeight="1">
      <c r="A95" s="310"/>
      <c r="B95" s="310"/>
      <c r="C95" s="323" t="s">
        <v>1416</v>
      </c>
      <c r="D95" s="324">
        <v>90</v>
      </c>
      <c r="E95" s="325" t="s">
        <v>336</v>
      </c>
      <c r="F95" s="326">
        <v>310</v>
      </c>
      <c r="G95" s="336">
        <f t="shared" si="8"/>
        <v>27900</v>
      </c>
    </row>
    <row r="96" spans="1:12" ht="15" customHeight="1">
      <c r="A96" s="310"/>
      <c r="B96" s="310"/>
      <c r="C96" s="323" t="s">
        <v>346</v>
      </c>
      <c r="D96" s="324">
        <f>ROUNDUP(D81*(0.08+0.02),0)-2</f>
        <v>1</v>
      </c>
      <c r="E96" s="325" t="s">
        <v>23</v>
      </c>
      <c r="F96" s="326">
        <v>600</v>
      </c>
      <c r="G96" s="319">
        <f t="shared" si="8"/>
        <v>600</v>
      </c>
    </row>
    <row r="97" spans="1:11" ht="15" customHeight="1">
      <c r="A97" s="310"/>
      <c r="B97" s="310"/>
      <c r="C97" s="308"/>
      <c r="D97" s="311"/>
      <c r="E97" s="311"/>
      <c r="F97" s="320" t="s">
        <v>1211</v>
      </c>
      <c r="G97" s="307">
        <f>SUM(G93:G96)</f>
        <v>36600</v>
      </c>
      <c r="J97" s="299">
        <f>40*5</f>
        <v>200</v>
      </c>
    </row>
    <row r="98" spans="1:11" ht="15" customHeight="1">
      <c r="A98" s="310"/>
      <c r="B98" s="310"/>
      <c r="C98" s="308"/>
      <c r="D98" s="311"/>
      <c r="E98" s="311"/>
    </row>
    <row r="99" spans="1:11" ht="15" customHeight="1">
      <c r="A99" s="310"/>
      <c r="B99" s="310"/>
      <c r="C99" s="308"/>
      <c r="D99" s="311"/>
      <c r="E99" s="311"/>
      <c r="F99" s="320" t="s">
        <v>1212</v>
      </c>
      <c r="G99" s="312">
        <f>G97+G89</f>
        <v>53526</v>
      </c>
      <c r="K99" s="299">
        <f>14*5</f>
        <v>70</v>
      </c>
    </row>
    <row r="100" spans="1:11" ht="15" customHeight="1">
      <c r="F100" s="320" t="s">
        <v>1213</v>
      </c>
      <c r="G100" s="312">
        <f>G99/D81</f>
        <v>2230.25</v>
      </c>
    </row>
    <row r="102" spans="1:11" ht="15" customHeight="1">
      <c r="A102" s="307" t="s">
        <v>1438</v>
      </c>
      <c r="B102" s="1109" t="s">
        <v>303</v>
      </c>
      <c r="C102" s="313" t="s">
        <v>1188</v>
      </c>
      <c r="D102" s="314">
        <f>6*3</f>
        <v>18</v>
      </c>
      <c r="E102" s="311" t="s">
        <v>112</v>
      </c>
      <c r="F102" s="312"/>
      <c r="G102" s="312"/>
    </row>
    <row r="103" spans="1:11" ht="15" customHeight="1">
      <c r="A103" s="310"/>
      <c r="B103" s="1109"/>
      <c r="C103" s="322"/>
      <c r="D103" s="329"/>
      <c r="E103" s="329"/>
      <c r="F103" s="312"/>
      <c r="G103" s="312"/>
    </row>
    <row r="104" spans="1:11" ht="15" customHeight="1">
      <c r="A104" s="310"/>
      <c r="B104" s="337"/>
      <c r="C104" s="322"/>
      <c r="D104" s="329"/>
      <c r="E104" s="329"/>
      <c r="F104" s="312"/>
      <c r="G104" s="312"/>
    </row>
    <row r="105" spans="1:11" ht="15" customHeight="1">
      <c r="A105" s="310" t="s">
        <v>1341</v>
      </c>
      <c r="B105" s="310"/>
      <c r="C105" s="308"/>
      <c r="D105" s="311"/>
      <c r="E105" s="311"/>
      <c r="F105" s="312"/>
      <c r="G105" s="312"/>
    </row>
    <row r="106" spans="1:11" ht="26.25" customHeight="1">
      <c r="A106" s="310"/>
      <c r="B106" s="310"/>
      <c r="C106" s="308"/>
      <c r="D106" s="311" t="s">
        <v>1409</v>
      </c>
      <c r="E106" s="311" t="s">
        <v>1410</v>
      </c>
      <c r="F106" s="312" t="s">
        <v>1411</v>
      </c>
      <c r="G106" s="312" t="s">
        <v>1217</v>
      </c>
    </row>
    <row r="107" spans="1:11" ht="15" customHeight="1">
      <c r="A107" s="310"/>
      <c r="B107" s="310"/>
      <c r="C107" s="315" t="s">
        <v>1412</v>
      </c>
      <c r="D107" s="316">
        <v>1</v>
      </c>
      <c r="E107" s="316">
        <v>5</v>
      </c>
      <c r="F107" s="317">
        <v>615</v>
      </c>
      <c r="G107" s="318">
        <f>F107*E107*D107</f>
        <v>3075</v>
      </c>
    </row>
    <row r="108" spans="1:11" ht="15" customHeight="1">
      <c r="A108" s="310"/>
      <c r="B108" s="310"/>
      <c r="C108" s="315" t="s">
        <v>1439</v>
      </c>
      <c r="D108" s="316">
        <v>1</v>
      </c>
      <c r="E108" s="316">
        <f>E107</f>
        <v>5</v>
      </c>
      <c r="F108" s="317">
        <v>390</v>
      </c>
      <c r="G108" s="318">
        <f>F108*E108*D108</f>
        <v>1950</v>
      </c>
    </row>
    <row r="109" spans="1:11" ht="15" customHeight="1">
      <c r="A109" s="310"/>
      <c r="B109" s="310"/>
      <c r="C109" s="315" t="s">
        <v>1415</v>
      </c>
      <c r="D109" s="316">
        <v>3</v>
      </c>
      <c r="E109" s="316">
        <f>E108</f>
        <v>5</v>
      </c>
      <c r="F109" s="317">
        <v>341</v>
      </c>
      <c r="G109" s="319">
        <f>F109*E109*D109</f>
        <v>5115</v>
      </c>
    </row>
    <row r="110" spans="1:11" ht="15" customHeight="1">
      <c r="A110" s="310"/>
      <c r="B110" s="310"/>
      <c r="C110" s="308"/>
      <c r="D110" s="311"/>
      <c r="E110" s="311"/>
      <c r="F110" s="320" t="s">
        <v>1211</v>
      </c>
      <c r="G110" s="312">
        <f>SUM(G107:G109)</f>
        <v>10140</v>
      </c>
      <c r="H110" s="299">
        <f>G110/G122</f>
        <v>0.41797197032151689</v>
      </c>
    </row>
    <row r="111" spans="1:11" ht="15" customHeight="1">
      <c r="A111" s="310" t="s">
        <v>1215</v>
      </c>
    </row>
    <row r="112" spans="1:11" ht="15" customHeight="1">
      <c r="A112" s="310"/>
      <c r="B112" s="310"/>
      <c r="C112" s="322"/>
      <c r="D112" s="311" t="s">
        <v>173</v>
      </c>
      <c r="E112" s="311" t="s">
        <v>297</v>
      </c>
      <c r="F112" s="320" t="s">
        <v>1216</v>
      </c>
      <c r="G112" s="312" t="s">
        <v>1217</v>
      </c>
    </row>
    <row r="113" spans="1:10" ht="15" customHeight="1">
      <c r="A113" s="310"/>
      <c r="B113" s="310"/>
      <c r="C113" s="308"/>
      <c r="D113" s="311"/>
      <c r="E113" s="311"/>
      <c r="F113" s="320"/>
      <c r="G113" s="312"/>
      <c r="J113" s="299">
        <f t="shared" ref="J113:J120" si="9">D113*5</f>
        <v>0</v>
      </c>
    </row>
    <row r="114" spans="1:10" ht="15" customHeight="1">
      <c r="A114" s="310"/>
      <c r="B114" s="310"/>
      <c r="C114" s="323" t="s">
        <v>1440</v>
      </c>
      <c r="D114" s="324">
        <f>D102</f>
        <v>18</v>
      </c>
      <c r="E114" s="325" t="s">
        <v>112</v>
      </c>
      <c r="F114" s="326">
        <v>520</v>
      </c>
      <c r="G114" s="318">
        <f>F114*D114</f>
        <v>9360</v>
      </c>
      <c r="J114" s="299">
        <f t="shared" si="9"/>
        <v>90</v>
      </c>
    </row>
    <row r="115" spans="1:10" ht="15" customHeight="1">
      <c r="A115" s="310"/>
      <c r="B115" s="310"/>
      <c r="C115" s="338" t="s">
        <v>1441</v>
      </c>
      <c r="D115" s="324">
        <v>200</v>
      </c>
      <c r="E115" s="325" t="s">
        <v>21</v>
      </c>
      <c r="F115" s="326">
        <v>3</v>
      </c>
      <c r="G115" s="318">
        <f t="shared" ref="G115:G120" si="10">F115*D115</f>
        <v>600</v>
      </c>
      <c r="J115" s="299">
        <f t="shared" si="9"/>
        <v>1000</v>
      </c>
    </row>
    <row r="116" spans="1:10" ht="15" customHeight="1">
      <c r="A116" s="310"/>
      <c r="B116" s="310"/>
      <c r="C116" s="338" t="s">
        <v>1442</v>
      </c>
      <c r="D116" s="324">
        <v>7</v>
      </c>
      <c r="E116" s="325" t="s">
        <v>350</v>
      </c>
      <c r="F116" s="326">
        <v>650</v>
      </c>
      <c r="G116" s="318">
        <f t="shared" si="10"/>
        <v>4550</v>
      </c>
      <c r="J116" s="299">
        <f t="shared" si="9"/>
        <v>35</v>
      </c>
    </row>
    <row r="117" spans="1:10" ht="15" customHeight="1">
      <c r="A117" s="310"/>
      <c r="B117" s="310"/>
      <c r="C117" s="338" t="s">
        <v>1443</v>
      </c>
      <c r="D117" s="324">
        <v>12</v>
      </c>
      <c r="E117" s="325" t="s">
        <v>350</v>
      </c>
      <c r="F117" s="326">
        <v>550</v>
      </c>
      <c r="G117" s="318">
        <f t="shared" si="10"/>
        <v>6600</v>
      </c>
      <c r="J117" s="299">
        <f t="shared" si="9"/>
        <v>60</v>
      </c>
    </row>
    <row r="118" spans="1:10" ht="15" customHeight="1">
      <c r="A118" s="310"/>
      <c r="B118" s="310"/>
      <c r="C118" s="338" t="s">
        <v>1444</v>
      </c>
      <c r="D118" s="324">
        <v>5</v>
      </c>
      <c r="E118" s="325" t="s">
        <v>21</v>
      </c>
      <c r="F118" s="326">
        <v>120</v>
      </c>
      <c r="G118" s="318">
        <f t="shared" si="10"/>
        <v>600</v>
      </c>
      <c r="J118" s="299">
        <f t="shared" si="9"/>
        <v>25</v>
      </c>
    </row>
    <row r="119" spans="1:10" ht="15" customHeight="1">
      <c r="A119" s="310"/>
      <c r="B119" s="310"/>
      <c r="C119" s="338" t="s">
        <v>1445</v>
      </c>
      <c r="D119" s="324">
        <v>5</v>
      </c>
      <c r="E119" s="325" t="s">
        <v>21</v>
      </c>
      <c r="F119" s="326">
        <v>110</v>
      </c>
      <c r="G119" s="318">
        <f t="shared" si="10"/>
        <v>550</v>
      </c>
      <c r="J119" s="299">
        <f t="shared" si="9"/>
        <v>25</v>
      </c>
    </row>
    <row r="120" spans="1:10" ht="15" customHeight="1">
      <c r="A120" s="310"/>
      <c r="B120" s="310"/>
      <c r="C120" s="338" t="s">
        <v>696</v>
      </c>
      <c r="D120" s="324">
        <v>5</v>
      </c>
      <c r="E120" s="325" t="s">
        <v>238</v>
      </c>
      <c r="F120" s="326">
        <v>190</v>
      </c>
      <c r="G120" s="318">
        <f t="shared" si="10"/>
        <v>950</v>
      </c>
      <c r="J120" s="299">
        <f t="shared" si="9"/>
        <v>25</v>
      </c>
    </row>
    <row r="121" spans="1:10" ht="15" customHeight="1">
      <c r="A121" s="310"/>
      <c r="B121" s="310"/>
      <c r="C121" s="327" t="s">
        <v>1428</v>
      </c>
      <c r="D121" s="324">
        <v>5</v>
      </c>
      <c r="E121" s="325" t="s">
        <v>21</v>
      </c>
      <c r="F121" s="326">
        <v>210</v>
      </c>
      <c r="G121" s="319">
        <f>F121*D121</f>
        <v>1050</v>
      </c>
      <c r="J121" s="299">
        <f>D121*5</f>
        <v>25</v>
      </c>
    </row>
    <row r="122" spans="1:10" ht="15" customHeight="1">
      <c r="A122" s="310"/>
      <c r="B122" s="310"/>
      <c r="C122" s="308"/>
      <c r="D122" s="311"/>
      <c r="E122" s="311"/>
      <c r="F122" s="320" t="s">
        <v>1211</v>
      </c>
      <c r="G122" s="307">
        <f>SUM(G114:G121)</f>
        <v>24260</v>
      </c>
    </row>
    <row r="123" spans="1:10" ht="15" customHeight="1">
      <c r="A123" s="310"/>
      <c r="B123" s="310"/>
      <c r="C123" s="308"/>
      <c r="D123" s="311"/>
      <c r="E123" s="311"/>
    </row>
    <row r="124" spans="1:10" ht="15" customHeight="1">
      <c r="A124" s="310"/>
      <c r="B124" s="310"/>
      <c r="C124" s="308"/>
      <c r="D124" s="311"/>
      <c r="E124" s="311"/>
      <c r="F124" s="320" t="s">
        <v>1212</v>
      </c>
      <c r="G124" s="312">
        <f>G122+G110</f>
        <v>34400</v>
      </c>
    </row>
    <row r="125" spans="1:10" ht="15" customHeight="1">
      <c r="F125" s="320" t="s">
        <v>1213</v>
      </c>
      <c r="G125" s="312">
        <f>G124/D102</f>
        <v>1911.1111111111111</v>
      </c>
    </row>
    <row r="128" spans="1:10" ht="15" customHeight="1">
      <c r="A128" s="307" t="s">
        <v>1446</v>
      </c>
      <c r="B128" s="1109" t="s">
        <v>157</v>
      </c>
      <c r="C128" s="313" t="s">
        <v>1188</v>
      </c>
      <c r="D128" s="314">
        <f>72+99</f>
        <v>171</v>
      </c>
      <c r="E128" s="311" t="s">
        <v>112</v>
      </c>
      <c r="F128" s="312"/>
      <c r="G128" s="312"/>
    </row>
    <row r="129" spans="1:8" ht="15" customHeight="1">
      <c r="A129" s="310"/>
      <c r="B129" s="1109"/>
      <c r="C129" s="322"/>
      <c r="D129" s="329"/>
      <c r="E129" s="329"/>
      <c r="F129" s="312"/>
      <c r="G129" s="312"/>
    </row>
    <row r="130" spans="1:8" ht="15" customHeight="1">
      <c r="A130" s="310"/>
      <c r="B130" s="337"/>
      <c r="C130" s="322"/>
      <c r="D130" s="329"/>
      <c r="E130" s="329"/>
      <c r="F130" s="312"/>
      <c r="G130" s="312"/>
    </row>
    <row r="131" spans="1:8" ht="15" customHeight="1">
      <c r="A131" s="310" t="s">
        <v>1341</v>
      </c>
      <c r="B131" s="310"/>
      <c r="C131" s="308"/>
      <c r="D131" s="311"/>
      <c r="E131" s="311"/>
      <c r="F131" s="312"/>
      <c r="G131" s="312"/>
    </row>
    <row r="132" spans="1:8" ht="26.25" customHeight="1">
      <c r="A132" s="310"/>
      <c r="B132" s="310"/>
      <c r="C132" s="308"/>
      <c r="D132" s="311" t="s">
        <v>1409</v>
      </c>
      <c r="E132" s="311" t="s">
        <v>1410</v>
      </c>
      <c r="F132" s="312" t="s">
        <v>1411</v>
      </c>
      <c r="G132" s="312" t="s">
        <v>1217</v>
      </c>
    </row>
    <row r="133" spans="1:8" ht="15" customHeight="1">
      <c r="A133" s="310"/>
      <c r="B133" s="310"/>
      <c r="C133" s="315" t="s">
        <v>1412</v>
      </c>
      <c r="D133" s="316">
        <v>1</v>
      </c>
      <c r="E133" s="316">
        <v>5</v>
      </c>
      <c r="F133" s="317">
        <v>615</v>
      </c>
      <c r="G133" s="318">
        <f>F133*E133*D133</f>
        <v>3075</v>
      </c>
    </row>
    <row r="134" spans="1:8" ht="15" customHeight="1">
      <c r="A134" s="310"/>
      <c r="B134" s="310"/>
      <c r="C134" s="315" t="s">
        <v>1447</v>
      </c>
      <c r="D134" s="316">
        <v>3</v>
      </c>
      <c r="E134" s="316">
        <f>E133</f>
        <v>5</v>
      </c>
      <c r="F134" s="317">
        <v>390</v>
      </c>
      <c r="G134" s="318">
        <f>F134*E134*D134</f>
        <v>5850</v>
      </c>
    </row>
    <row r="135" spans="1:8" ht="15" customHeight="1">
      <c r="A135" s="310"/>
      <c r="B135" s="310"/>
      <c r="C135" s="315" t="s">
        <v>1415</v>
      </c>
      <c r="D135" s="316">
        <v>5</v>
      </c>
      <c r="E135" s="316">
        <f>E134</f>
        <v>5</v>
      </c>
      <c r="F135" s="317">
        <v>341</v>
      </c>
      <c r="G135" s="319">
        <f>F135*E135*D135</f>
        <v>8525</v>
      </c>
    </row>
    <row r="136" spans="1:8" ht="15" customHeight="1">
      <c r="A136" s="310"/>
      <c r="B136" s="310"/>
      <c r="C136" s="308"/>
      <c r="D136" s="311"/>
      <c r="E136" s="311"/>
      <c r="F136" s="320" t="s">
        <v>1211</v>
      </c>
      <c r="G136" s="312">
        <f>SUM(G133:G135)</f>
        <v>17450</v>
      </c>
      <c r="H136" s="299">
        <f>G136/G153</f>
        <v>0.31796647230320702</v>
      </c>
    </row>
    <row r="137" spans="1:8" ht="15" customHeight="1">
      <c r="A137" s="310" t="s">
        <v>1215</v>
      </c>
    </row>
    <row r="138" spans="1:8" ht="15" customHeight="1">
      <c r="A138" s="310"/>
      <c r="B138" s="310"/>
      <c r="C138" s="322"/>
      <c r="D138" s="311" t="s">
        <v>173</v>
      </c>
      <c r="E138" s="311" t="s">
        <v>297</v>
      </c>
      <c r="F138" s="320" t="s">
        <v>1216</v>
      </c>
      <c r="G138" s="312" t="s">
        <v>1217</v>
      </c>
    </row>
    <row r="139" spans="1:8" ht="15" customHeight="1">
      <c r="A139" s="310"/>
      <c r="B139" s="310"/>
      <c r="C139" s="308"/>
      <c r="D139" s="311"/>
      <c r="E139" s="311"/>
      <c r="F139" s="320"/>
      <c r="G139" s="312"/>
    </row>
    <row r="140" spans="1:8" ht="15" customHeight="1">
      <c r="A140" s="310"/>
      <c r="B140" s="310"/>
      <c r="C140" s="339" t="s">
        <v>772</v>
      </c>
      <c r="D140" s="340">
        <v>10</v>
      </c>
      <c r="E140" s="341" t="s">
        <v>336</v>
      </c>
      <c r="F140" s="342">
        <v>615</v>
      </c>
      <c r="G140" s="318">
        <f t="shared" ref="G140:G152" si="11">F140*D140</f>
        <v>6150</v>
      </c>
    </row>
    <row r="141" spans="1:8" ht="15" customHeight="1">
      <c r="A141" s="310"/>
      <c r="B141" s="310"/>
      <c r="C141" s="339" t="s">
        <v>1448</v>
      </c>
      <c r="D141" s="340">
        <v>5</v>
      </c>
      <c r="E141" s="341" t="s">
        <v>367</v>
      </c>
      <c r="F141" s="342">
        <v>850</v>
      </c>
      <c r="G141" s="318">
        <f t="shared" si="11"/>
        <v>4250</v>
      </c>
    </row>
    <row r="142" spans="1:8" ht="15" customHeight="1">
      <c r="A142" s="310"/>
      <c r="B142" s="310"/>
      <c r="C142" s="339" t="s">
        <v>1449</v>
      </c>
      <c r="D142" s="340">
        <v>20</v>
      </c>
      <c r="E142" s="341" t="s">
        <v>367</v>
      </c>
      <c r="F142" s="342">
        <v>800</v>
      </c>
      <c r="G142" s="318">
        <f t="shared" si="11"/>
        <v>16000</v>
      </c>
    </row>
    <row r="143" spans="1:8" ht="15" customHeight="1">
      <c r="A143" s="310"/>
      <c r="B143" s="310"/>
      <c r="C143" s="339" t="s">
        <v>1450</v>
      </c>
      <c r="D143" s="340">
        <v>20</v>
      </c>
      <c r="E143" s="341" t="s">
        <v>367</v>
      </c>
      <c r="F143" s="342">
        <v>810</v>
      </c>
      <c r="G143" s="318">
        <f t="shared" si="11"/>
        <v>16200</v>
      </c>
    </row>
    <row r="144" spans="1:8" ht="15" customHeight="1">
      <c r="A144" s="310"/>
      <c r="B144" s="310"/>
      <c r="C144" s="343" t="s">
        <v>1451</v>
      </c>
      <c r="D144" s="340">
        <v>10</v>
      </c>
      <c r="E144" s="341" t="s">
        <v>691</v>
      </c>
      <c r="F144" s="344">
        <v>350</v>
      </c>
      <c r="G144" s="318">
        <f t="shared" si="11"/>
        <v>3500</v>
      </c>
    </row>
    <row r="145" spans="1:8" ht="15" customHeight="1">
      <c r="A145" s="310"/>
      <c r="B145" s="310"/>
      <c r="C145" s="345" t="s">
        <v>1452</v>
      </c>
      <c r="D145" s="340">
        <v>7</v>
      </c>
      <c r="E145" s="341" t="s">
        <v>367</v>
      </c>
      <c r="F145" s="346">
        <v>650</v>
      </c>
      <c r="G145" s="318">
        <f t="shared" si="11"/>
        <v>4550</v>
      </c>
    </row>
    <row r="146" spans="1:8" ht="15" customHeight="1">
      <c r="A146" s="310"/>
      <c r="B146" s="310"/>
      <c r="C146" s="347" t="s">
        <v>1453</v>
      </c>
      <c r="D146" s="340">
        <v>8</v>
      </c>
      <c r="E146" s="341" t="s">
        <v>398</v>
      </c>
      <c r="F146" s="342">
        <v>250</v>
      </c>
      <c r="G146" s="318">
        <f t="shared" si="11"/>
        <v>2000</v>
      </c>
    </row>
    <row r="147" spans="1:8" ht="15" customHeight="1">
      <c r="A147" s="310"/>
      <c r="B147" s="310"/>
      <c r="C147" s="343" t="s">
        <v>1454</v>
      </c>
      <c r="D147" s="340">
        <v>8</v>
      </c>
      <c r="E147" s="341" t="s">
        <v>21</v>
      </c>
      <c r="F147" s="344">
        <v>35</v>
      </c>
      <c r="G147" s="318">
        <f t="shared" si="11"/>
        <v>280</v>
      </c>
    </row>
    <row r="148" spans="1:8" ht="15" customHeight="1">
      <c r="A148" s="310"/>
      <c r="B148" s="310"/>
      <c r="C148" s="343" t="s">
        <v>1455</v>
      </c>
      <c r="D148" s="340">
        <v>5</v>
      </c>
      <c r="E148" s="341" t="s">
        <v>21</v>
      </c>
      <c r="F148" s="344">
        <v>45</v>
      </c>
      <c r="G148" s="318">
        <f t="shared" si="11"/>
        <v>225</v>
      </c>
    </row>
    <row r="149" spans="1:8" ht="15" customHeight="1">
      <c r="A149" s="310"/>
      <c r="B149" s="310"/>
      <c r="C149" s="343" t="s">
        <v>1456</v>
      </c>
      <c r="D149" s="340">
        <v>5</v>
      </c>
      <c r="E149" s="341" t="s">
        <v>21</v>
      </c>
      <c r="F149" s="344">
        <v>95</v>
      </c>
      <c r="G149" s="318">
        <f t="shared" si="11"/>
        <v>475</v>
      </c>
    </row>
    <row r="150" spans="1:8" ht="15" customHeight="1">
      <c r="A150" s="310"/>
      <c r="B150" s="310"/>
      <c r="C150" s="343" t="s">
        <v>1457</v>
      </c>
      <c r="D150" s="340">
        <v>5</v>
      </c>
      <c r="E150" s="341" t="s">
        <v>21</v>
      </c>
      <c r="F150" s="344">
        <v>135</v>
      </c>
      <c r="G150" s="318">
        <f t="shared" si="11"/>
        <v>675</v>
      </c>
    </row>
    <row r="151" spans="1:8" ht="15" customHeight="1">
      <c r="A151" s="310"/>
      <c r="B151" s="310"/>
      <c r="C151" s="347" t="s">
        <v>1458</v>
      </c>
      <c r="D151" s="340">
        <v>5</v>
      </c>
      <c r="E151" s="341" t="s">
        <v>21</v>
      </c>
      <c r="F151" s="342">
        <v>65</v>
      </c>
      <c r="G151" s="318">
        <f t="shared" si="11"/>
        <v>325</v>
      </c>
    </row>
    <row r="152" spans="1:8" ht="15" customHeight="1">
      <c r="A152" s="310"/>
      <c r="B152" s="310"/>
      <c r="C152" s="348" t="s">
        <v>1459</v>
      </c>
      <c r="D152" s="340">
        <v>10</v>
      </c>
      <c r="E152" s="349" t="s">
        <v>612</v>
      </c>
      <c r="F152" s="350">
        <v>25</v>
      </c>
      <c r="G152" s="319">
        <f t="shared" si="11"/>
        <v>250</v>
      </c>
    </row>
    <row r="153" spans="1:8" ht="15" customHeight="1">
      <c r="A153" s="310"/>
      <c r="B153" s="310"/>
      <c r="C153" s="308"/>
      <c r="D153" s="311"/>
      <c r="E153" s="311"/>
      <c r="F153" s="320" t="s">
        <v>1211</v>
      </c>
      <c r="G153" s="307">
        <f>SUM(G140:G152)</f>
        <v>54880</v>
      </c>
      <c r="H153" s="299">
        <f>G153*5</f>
        <v>274400</v>
      </c>
    </row>
    <row r="154" spans="1:8" ht="15" customHeight="1">
      <c r="A154" s="310"/>
      <c r="B154" s="310"/>
      <c r="C154" s="308"/>
      <c r="D154" s="311"/>
      <c r="E154" s="311"/>
    </row>
    <row r="155" spans="1:8" ht="15" customHeight="1">
      <c r="A155" s="310"/>
      <c r="B155" s="310"/>
      <c r="C155" s="308"/>
      <c r="D155" s="311"/>
      <c r="E155" s="311"/>
      <c r="F155" s="320" t="s">
        <v>1212</v>
      </c>
      <c r="G155" s="312">
        <f>G153+G136</f>
        <v>72330</v>
      </c>
    </row>
    <row r="156" spans="1:8" ht="15" customHeight="1">
      <c r="F156" s="320" t="s">
        <v>1213</v>
      </c>
      <c r="G156" s="312">
        <f>G155/D128</f>
        <v>422.98245614035091</v>
      </c>
    </row>
    <row r="158" spans="1:8" ht="15" customHeight="1">
      <c r="A158" s="307" t="s">
        <v>1460</v>
      </c>
      <c r="B158" s="1109" t="s">
        <v>1461</v>
      </c>
      <c r="C158" s="313" t="s">
        <v>1188</v>
      </c>
      <c r="D158" s="314">
        <v>1</v>
      </c>
      <c r="E158" s="311" t="s">
        <v>1282</v>
      </c>
      <c r="F158" s="312"/>
      <c r="G158" s="312"/>
    </row>
    <row r="159" spans="1:8" ht="15" customHeight="1">
      <c r="A159" s="310"/>
      <c r="B159" s="1109"/>
      <c r="C159" s="322"/>
      <c r="D159" s="329"/>
      <c r="E159" s="329"/>
      <c r="F159" s="312"/>
      <c r="G159" s="312"/>
    </row>
    <row r="160" spans="1:8" ht="15" customHeight="1">
      <c r="A160" s="310"/>
      <c r="B160" s="337"/>
      <c r="C160" s="322"/>
      <c r="D160" s="329"/>
      <c r="E160" s="329"/>
      <c r="F160" s="312"/>
      <c r="G160" s="312"/>
    </row>
    <row r="161" spans="1:8" ht="15" customHeight="1">
      <c r="A161" s="310" t="s">
        <v>1341</v>
      </c>
      <c r="B161" s="310"/>
      <c r="C161" s="308"/>
      <c r="D161" s="311"/>
      <c r="E161" s="311"/>
      <c r="F161" s="312"/>
      <c r="G161" s="312"/>
    </row>
    <row r="162" spans="1:8" ht="26.25" customHeight="1">
      <c r="A162" s="310"/>
      <c r="B162" s="310"/>
      <c r="C162" s="308"/>
      <c r="D162" s="311" t="s">
        <v>1409</v>
      </c>
      <c r="E162" s="311" t="s">
        <v>1410</v>
      </c>
      <c r="F162" s="312" t="s">
        <v>1411</v>
      </c>
      <c r="G162" s="312" t="s">
        <v>1217</v>
      </c>
    </row>
    <row r="163" spans="1:8" ht="15" customHeight="1">
      <c r="A163" s="310"/>
      <c r="B163" s="310"/>
      <c r="C163" s="315" t="s">
        <v>1412</v>
      </c>
      <c r="D163" s="316">
        <v>1</v>
      </c>
      <c r="E163" s="316">
        <v>5</v>
      </c>
      <c r="F163" s="317">
        <v>615</v>
      </c>
      <c r="G163" s="318">
        <f>F163*E163*D163</f>
        <v>3075</v>
      </c>
    </row>
    <row r="164" spans="1:8" ht="15" customHeight="1">
      <c r="A164" s="310"/>
      <c r="B164" s="310"/>
      <c r="C164" s="315" t="s">
        <v>1462</v>
      </c>
      <c r="D164" s="316">
        <v>1</v>
      </c>
      <c r="E164" s="316">
        <f>E163</f>
        <v>5</v>
      </c>
      <c r="F164" s="317">
        <v>390</v>
      </c>
      <c r="G164" s="318">
        <f>F164*E164*D164</f>
        <v>1950</v>
      </c>
    </row>
    <row r="165" spans="1:8" ht="15" customHeight="1">
      <c r="A165" s="310"/>
      <c r="B165" s="310"/>
      <c r="C165" s="315" t="s">
        <v>1415</v>
      </c>
      <c r="D165" s="316">
        <v>2</v>
      </c>
      <c r="E165" s="316">
        <f>E164</f>
        <v>5</v>
      </c>
      <c r="F165" s="317">
        <v>341</v>
      </c>
      <c r="G165" s="319">
        <f>F165*E165*D165</f>
        <v>3410</v>
      </c>
    </row>
    <row r="166" spans="1:8" ht="15" customHeight="1">
      <c r="A166" s="310"/>
      <c r="B166" s="310"/>
      <c r="C166" s="308"/>
      <c r="D166" s="311"/>
      <c r="E166" s="311"/>
      <c r="F166" s="320" t="s">
        <v>1211</v>
      </c>
      <c r="G166" s="312">
        <f>SUM(G163:G165)</f>
        <v>8435</v>
      </c>
      <c r="H166" s="299">
        <f>G166/G190</f>
        <v>0.43445789338140611</v>
      </c>
    </row>
    <row r="167" spans="1:8" ht="15" customHeight="1">
      <c r="A167" s="310" t="s">
        <v>1215</v>
      </c>
    </row>
    <row r="168" spans="1:8" ht="15" customHeight="1">
      <c r="A168" s="310"/>
      <c r="B168" s="310"/>
      <c r="C168" s="322"/>
      <c r="D168" s="311" t="s">
        <v>173</v>
      </c>
      <c r="E168" s="311" t="s">
        <v>297</v>
      </c>
      <c r="F168" s="320" t="s">
        <v>1216</v>
      </c>
      <c r="G168" s="312" t="s">
        <v>1217</v>
      </c>
    </row>
    <row r="169" spans="1:8" ht="15" customHeight="1">
      <c r="A169" s="310"/>
      <c r="B169" s="310"/>
      <c r="C169" s="308"/>
      <c r="D169" s="311"/>
      <c r="E169" s="311"/>
      <c r="F169" s="320"/>
      <c r="G169" s="312"/>
    </row>
    <row r="170" spans="1:8" ht="15" customHeight="1">
      <c r="A170" s="310"/>
      <c r="B170" s="310"/>
      <c r="C170" s="351" t="s">
        <v>1463</v>
      </c>
      <c r="D170" s="353">
        <v>30</v>
      </c>
      <c r="E170" s="341" t="s">
        <v>21</v>
      </c>
      <c r="F170" s="342">
        <v>210</v>
      </c>
      <c r="G170" s="318">
        <f>F170*D170</f>
        <v>6300</v>
      </c>
    </row>
    <row r="171" spans="1:8" ht="15" customHeight="1">
      <c r="A171" s="310"/>
      <c r="B171" s="310"/>
      <c r="C171" s="351" t="s">
        <v>1464</v>
      </c>
      <c r="D171" s="353">
        <f>6*3/0.4*0.4</f>
        <v>18</v>
      </c>
      <c r="E171" s="341" t="s">
        <v>21</v>
      </c>
      <c r="F171" s="342">
        <v>190</v>
      </c>
      <c r="G171" s="318">
        <f>F171*D171</f>
        <v>3420</v>
      </c>
    </row>
    <row r="172" spans="1:8" ht="15" customHeight="1">
      <c r="A172" s="310"/>
      <c r="B172" s="310"/>
      <c r="C172" s="339" t="s">
        <v>1465</v>
      </c>
      <c r="D172" s="360">
        <v>10</v>
      </c>
      <c r="E172" s="341" t="s">
        <v>21</v>
      </c>
      <c r="F172" s="342">
        <v>190</v>
      </c>
      <c r="G172" s="318">
        <f t="shared" ref="G172:G189" si="12">F172*D172</f>
        <v>1900</v>
      </c>
    </row>
    <row r="173" spans="1:8" ht="15" customHeight="1">
      <c r="A173" s="310"/>
      <c r="B173" s="310"/>
      <c r="C173" s="339" t="s">
        <v>560</v>
      </c>
      <c r="D173" s="360">
        <v>5</v>
      </c>
      <c r="E173" s="341" t="s">
        <v>336</v>
      </c>
      <c r="F173" s="342">
        <v>120</v>
      </c>
      <c r="G173" s="318">
        <f t="shared" si="12"/>
        <v>600</v>
      </c>
    </row>
    <row r="174" spans="1:8" ht="15" customHeight="1">
      <c r="A174" s="310"/>
      <c r="B174" s="310"/>
      <c r="C174" s="347" t="s">
        <v>1466</v>
      </c>
      <c r="D174" s="360">
        <v>2</v>
      </c>
      <c r="E174" s="341" t="s">
        <v>575</v>
      </c>
      <c r="F174" s="342">
        <v>800</v>
      </c>
      <c r="G174" s="318">
        <f t="shared" si="12"/>
        <v>1600</v>
      </c>
    </row>
    <row r="175" spans="1:8" ht="15" customHeight="1">
      <c r="A175" s="310"/>
      <c r="B175" s="310"/>
      <c r="C175" s="347" t="s">
        <v>1467</v>
      </c>
      <c r="D175" s="360">
        <v>2</v>
      </c>
      <c r="E175" s="341" t="s">
        <v>575</v>
      </c>
      <c r="F175" s="342">
        <v>280</v>
      </c>
      <c r="G175" s="318">
        <f t="shared" si="12"/>
        <v>560</v>
      </c>
    </row>
    <row r="176" spans="1:8" ht="15" customHeight="1">
      <c r="A176" s="310"/>
      <c r="B176" s="310"/>
      <c r="C176" s="347" t="s">
        <v>1468</v>
      </c>
      <c r="D176" s="360">
        <v>2</v>
      </c>
      <c r="E176" s="341" t="s">
        <v>575</v>
      </c>
      <c r="F176" s="342">
        <v>80</v>
      </c>
      <c r="G176" s="318">
        <f t="shared" si="12"/>
        <v>160</v>
      </c>
    </row>
    <row r="177" spans="1:8" ht="15" customHeight="1">
      <c r="A177" s="310"/>
      <c r="B177" s="310"/>
      <c r="C177" s="343" t="s">
        <v>1469</v>
      </c>
      <c r="D177" s="360">
        <v>3</v>
      </c>
      <c r="E177" s="341" t="s">
        <v>21</v>
      </c>
      <c r="F177" s="344">
        <v>60</v>
      </c>
      <c r="G177" s="318">
        <f t="shared" si="12"/>
        <v>180</v>
      </c>
    </row>
    <row r="178" spans="1:8" ht="15" customHeight="1">
      <c r="A178" s="310"/>
      <c r="B178" s="310"/>
      <c r="C178" s="343" t="s">
        <v>1470</v>
      </c>
      <c r="D178" s="360">
        <v>3</v>
      </c>
      <c r="E178" s="341" t="s">
        <v>21</v>
      </c>
      <c r="F178" s="344">
        <v>50</v>
      </c>
      <c r="G178" s="318">
        <f t="shared" si="12"/>
        <v>150</v>
      </c>
    </row>
    <row r="179" spans="1:8" ht="15" customHeight="1">
      <c r="A179" s="310"/>
      <c r="B179" s="310"/>
      <c r="C179" s="348" t="s">
        <v>1471</v>
      </c>
      <c r="D179" s="360">
        <v>3</v>
      </c>
      <c r="E179" s="349" t="s">
        <v>21</v>
      </c>
      <c r="F179" s="350">
        <v>105</v>
      </c>
      <c r="G179" s="318">
        <f t="shared" si="12"/>
        <v>315</v>
      </c>
    </row>
    <row r="180" spans="1:8" ht="15" customHeight="1">
      <c r="A180" s="310"/>
      <c r="B180" s="310"/>
      <c r="C180" s="348" t="s">
        <v>494</v>
      </c>
      <c r="D180" s="360">
        <v>3</v>
      </c>
      <c r="E180" s="349" t="s">
        <v>21</v>
      </c>
      <c r="F180" s="350">
        <v>60</v>
      </c>
      <c r="G180" s="318">
        <f t="shared" si="12"/>
        <v>180</v>
      </c>
    </row>
    <row r="181" spans="1:8" ht="15" customHeight="1">
      <c r="A181" s="310"/>
      <c r="B181" s="310"/>
      <c r="C181" s="348" t="s">
        <v>1472</v>
      </c>
      <c r="D181" s="360">
        <v>2</v>
      </c>
      <c r="E181" s="349" t="s">
        <v>21</v>
      </c>
      <c r="F181" s="350">
        <v>60</v>
      </c>
      <c r="G181" s="318">
        <f t="shared" si="12"/>
        <v>120</v>
      </c>
    </row>
    <row r="182" spans="1:8" ht="15" customHeight="1">
      <c r="A182" s="310"/>
      <c r="B182" s="310"/>
      <c r="C182" s="348" t="s">
        <v>1473</v>
      </c>
      <c r="D182" s="360">
        <v>3</v>
      </c>
      <c r="E182" s="349" t="s">
        <v>21</v>
      </c>
      <c r="F182" s="350">
        <v>60</v>
      </c>
      <c r="G182" s="318">
        <f t="shared" si="12"/>
        <v>180</v>
      </c>
    </row>
    <row r="183" spans="1:8" ht="15" customHeight="1">
      <c r="A183" s="310"/>
      <c r="B183" s="310"/>
      <c r="C183" s="348" t="s">
        <v>559</v>
      </c>
      <c r="D183" s="360">
        <v>5</v>
      </c>
      <c r="E183" s="349" t="s">
        <v>378</v>
      </c>
      <c r="F183" s="350">
        <v>20</v>
      </c>
      <c r="G183" s="318">
        <f t="shared" si="12"/>
        <v>100</v>
      </c>
    </row>
    <row r="184" spans="1:8" ht="15" customHeight="1">
      <c r="A184" s="310"/>
      <c r="B184" s="310"/>
      <c r="C184" s="348" t="s">
        <v>1474</v>
      </c>
      <c r="D184" s="360">
        <v>2</v>
      </c>
      <c r="E184" s="349" t="s">
        <v>21</v>
      </c>
      <c r="F184" s="350">
        <v>300</v>
      </c>
      <c r="G184" s="318">
        <f t="shared" si="12"/>
        <v>600</v>
      </c>
    </row>
    <row r="185" spans="1:8" ht="15" customHeight="1">
      <c r="A185" s="310"/>
      <c r="B185" s="310"/>
      <c r="C185" s="343" t="s">
        <v>1475</v>
      </c>
      <c r="D185" s="360">
        <v>3</v>
      </c>
      <c r="E185" s="349" t="s">
        <v>21</v>
      </c>
      <c r="F185" s="350">
        <v>60</v>
      </c>
      <c r="G185" s="318">
        <f t="shared" si="12"/>
        <v>180</v>
      </c>
    </row>
    <row r="186" spans="1:8" ht="15" customHeight="1">
      <c r="A186" s="310"/>
      <c r="B186" s="310"/>
      <c r="C186" s="348" t="s">
        <v>1476</v>
      </c>
      <c r="D186" s="360">
        <v>3</v>
      </c>
      <c r="E186" s="349" t="s">
        <v>21</v>
      </c>
      <c r="F186" s="350">
        <v>40</v>
      </c>
      <c r="G186" s="318">
        <f t="shared" si="12"/>
        <v>120</v>
      </c>
    </row>
    <row r="187" spans="1:8" ht="15" customHeight="1">
      <c r="A187" s="310"/>
      <c r="B187" s="310"/>
      <c r="C187" s="348" t="s">
        <v>1477</v>
      </c>
      <c r="D187" s="360">
        <v>5</v>
      </c>
      <c r="E187" s="349" t="s">
        <v>524</v>
      </c>
      <c r="F187" s="350">
        <v>50</v>
      </c>
      <c r="G187" s="318">
        <f t="shared" si="12"/>
        <v>250</v>
      </c>
    </row>
    <row r="188" spans="1:8" ht="15" customHeight="1">
      <c r="A188" s="310"/>
      <c r="B188" s="310"/>
      <c r="C188" s="348" t="s">
        <v>1478</v>
      </c>
      <c r="D188" s="360">
        <v>2</v>
      </c>
      <c r="E188" s="349" t="s">
        <v>398</v>
      </c>
      <c r="F188" s="350">
        <v>1100</v>
      </c>
      <c r="G188" s="318">
        <f t="shared" si="12"/>
        <v>2200</v>
      </c>
    </row>
    <row r="189" spans="1:8" ht="15" customHeight="1">
      <c r="A189" s="310"/>
      <c r="B189" s="310"/>
      <c r="C189" s="348" t="s">
        <v>1479</v>
      </c>
      <c r="D189" s="360">
        <v>2</v>
      </c>
      <c r="E189" s="349" t="s">
        <v>21</v>
      </c>
      <c r="F189" s="350">
        <v>150</v>
      </c>
      <c r="G189" s="319">
        <f t="shared" si="12"/>
        <v>300</v>
      </c>
    </row>
    <row r="190" spans="1:8" ht="15" customHeight="1">
      <c r="A190" s="310"/>
      <c r="B190" s="310"/>
      <c r="C190" s="308"/>
      <c r="D190" s="311"/>
      <c r="E190" s="311"/>
      <c r="F190" s="320" t="s">
        <v>1211</v>
      </c>
      <c r="G190" s="307">
        <f>SUM(G170:G189)</f>
        <v>19415</v>
      </c>
      <c r="H190" s="299">
        <f>G190*5</f>
        <v>97075</v>
      </c>
    </row>
    <row r="191" spans="1:8" ht="15" customHeight="1">
      <c r="A191" s="310"/>
      <c r="B191" s="310"/>
      <c r="C191" s="308"/>
      <c r="D191" s="311"/>
      <c r="E191" s="311"/>
    </row>
    <row r="192" spans="1:8" ht="15" customHeight="1">
      <c r="A192" s="310"/>
      <c r="B192" s="310"/>
      <c r="C192" s="308"/>
      <c r="D192" s="311"/>
      <c r="E192" s="311"/>
      <c r="F192" s="320" t="s">
        <v>1212</v>
      </c>
      <c r="G192" s="312">
        <f>G190+G166</f>
        <v>27850</v>
      </c>
    </row>
    <row r="193" spans="1:8" ht="15" customHeight="1">
      <c r="F193" s="320" t="s">
        <v>1213</v>
      </c>
      <c r="G193" s="312">
        <f>G192/D158</f>
        <v>27850</v>
      </c>
    </row>
    <row r="194" spans="1:8" ht="15" customHeight="1">
      <c r="F194" s="320"/>
      <c r="G194" s="312"/>
    </row>
    <row r="195" spans="1:8" ht="15" customHeight="1">
      <c r="A195" s="307" t="s">
        <v>1480</v>
      </c>
      <c r="B195" s="1109" t="s">
        <v>308</v>
      </c>
      <c r="C195" s="313" t="s">
        <v>1188</v>
      </c>
      <c r="D195" s="314">
        <v>4</v>
      </c>
      <c r="E195" s="311" t="s">
        <v>169</v>
      </c>
      <c r="F195" s="312"/>
      <c r="G195" s="312"/>
    </row>
    <row r="196" spans="1:8" ht="15" customHeight="1">
      <c r="A196" s="310"/>
      <c r="B196" s="1109"/>
      <c r="C196" s="322"/>
      <c r="D196" s="329"/>
      <c r="E196" s="329"/>
      <c r="F196" s="312"/>
      <c r="G196" s="312"/>
    </row>
    <row r="197" spans="1:8" ht="15" customHeight="1">
      <c r="A197" s="310"/>
      <c r="B197" s="337"/>
      <c r="C197" s="322"/>
      <c r="D197" s="329"/>
      <c r="E197" s="329"/>
      <c r="F197" s="312"/>
      <c r="G197" s="312"/>
    </row>
    <row r="198" spans="1:8" ht="15" customHeight="1">
      <c r="A198" s="310" t="s">
        <v>1341</v>
      </c>
      <c r="B198" s="310"/>
      <c r="C198" s="308"/>
      <c r="D198" s="311"/>
      <c r="E198" s="311"/>
      <c r="F198" s="312"/>
      <c r="G198" s="312"/>
    </row>
    <row r="199" spans="1:8" ht="26.25" customHeight="1">
      <c r="A199" s="310"/>
      <c r="B199" s="310"/>
      <c r="C199" s="308"/>
      <c r="D199" s="311" t="s">
        <v>1409</v>
      </c>
      <c r="E199" s="311" t="s">
        <v>1410</v>
      </c>
      <c r="F199" s="312" t="s">
        <v>1411</v>
      </c>
      <c r="G199" s="312" t="s">
        <v>1217</v>
      </c>
    </row>
    <row r="200" spans="1:8" ht="15" customHeight="1">
      <c r="A200" s="310"/>
      <c r="B200" s="310"/>
      <c r="C200" s="315" t="s">
        <v>1412</v>
      </c>
      <c r="D200" s="316">
        <v>1</v>
      </c>
      <c r="E200" s="316">
        <v>5</v>
      </c>
      <c r="F200" s="317">
        <v>615</v>
      </c>
      <c r="G200" s="318">
        <f>F200*E200*D200</f>
        <v>3075</v>
      </c>
    </row>
    <row r="201" spans="1:8" ht="15" customHeight="1">
      <c r="A201" s="310"/>
      <c r="B201" s="310"/>
      <c r="C201" s="315" t="s">
        <v>1413</v>
      </c>
      <c r="D201" s="316">
        <v>1</v>
      </c>
      <c r="E201" s="316">
        <f>E200</f>
        <v>5</v>
      </c>
      <c r="F201" s="317">
        <v>390</v>
      </c>
      <c r="G201" s="318">
        <f>F201*E201*D201</f>
        <v>1950</v>
      </c>
    </row>
    <row r="202" spans="1:8" ht="15" customHeight="1">
      <c r="A202" s="310"/>
      <c r="B202" s="310"/>
      <c r="C202" s="315" t="s">
        <v>1415</v>
      </c>
      <c r="D202" s="316">
        <v>2</v>
      </c>
      <c r="E202" s="316">
        <f>E201</f>
        <v>5</v>
      </c>
      <c r="F202" s="317">
        <v>341</v>
      </c>
      <c r="G202" s="319">
        <f>F202*E202*D202</f>
        <v>3410</v>
      </c>
    </row>
    <row r="203" spans="1:8" ht="15" customHeight="1">
      <c r="A203" s="310"/>
      <c r="B203" s="310"/>
      <c r="C203" s="308"/>
      <c r="D203" s="311"/>
      <c r="E203" s="311"/>
      <c r="F203" s="320" t="s">
        <v>1211</v>
      </c>
      <c r="G203" s="312">
        <f>SUM(G200:G202)</f>
        <v>8435</v>
      </c>
      <c r="H203" s="299">
        <f>G203/G213</f>
        <v>0.42601010101010101</v>
      </c>
    </row>
    <row r="204" spans="1:8" ht="15" customHeight="1">
      <c r="A204" s="310" t="s">
        <v>1215</v>
      </c>
    </row>
    <row r="205" spans="1:8" ht="15" customHeight="1">
      <c r="A205" s="310"/>
      <c r="B205" s="310"/>
      <c r="C205" s="322"/>
      <c r="D205" s="311" t="s">
        <v>173</v>
      </c>
      <c r="E205" s="311" t="s">
        <v>297</v>
      </c>
      <c r="F205" s="320" t="s">
        <v>1216</v>
      </c>
      <c r="G205" s="312" t="s">
        <v>1217</v>
      </c>
    </row>
    <row r="206" spans="1:8" ht="15" customHeight="1">
      <c r="A206" s="310"/>
      <c r="B206" s="310"/>
      <c r="C206" s="330"/>
      <c r="D206" s="352"/>
      <c r="E206" s="352"/>
      <c r="F206" s="320"/>
      <c r="G206" s="312"/>
    </row>
    <row r="207" spans="1:8" ht="27.95" customHeight="1">
      <c r="A207" s="310"/>
      <c r="B207" s="310"/>
      <c r="C207" s="1110" t="s">
        <v>1481</v>
      </c>
      <c r="D207" s="1107">
        <v>2</v>
      </c>
      <c r="E207" s="1108" t="s">
        <v>404</v>
      </c>
      <c r="F207" s="1104">
        <v>7000</v>
      </c>
      <c r="G207" s="1105">
        <f>F207*D207</f>
        <v>14000</v>
      </c>
    </row>
    <row r="208" spans="1:8" ht="27.95" customHeight="1">
      <c r="A208" s="310"/>
      <c r="B208" s="310"/>
      <c r="C208" s="1110"/>
      <c r="D208" s="1107"/>
      <c r="E208" s="1108"/>
      <c r="F208" s="1104"/>
      <c r="G208" s="1105"/>
    </row>
    <row r="209" spans="1:10" ht="27.95" customHeight="1">
      <c r="A209" s="310"/>
      <c r="B209" s="310"/>
      <c r="C209" s="1110" t="s">
        <v>1482</v>
      </c>
      <c r="D209" s="1107">
        <v>2</v>
      </c>
      <c r="E209" s="1108" t="s">
        <v>404</v>
      </c>
      <c r="F209" s="1104">
        <v>1300</v>
      </c>
      <c r="G209" s="1105">
        <f>F209*D209</f>
        <v>2600</v>
      </c>
    </row>
    <row r="210" spans="1:10" ht="27.95" customHeight="1">
      <c r="A210" s="310"/>
      <c r="B210" s="310"/>
      <c r="C210" s="1110"/>
      <c r="D210" s="1107"/>
      <c r="E210" s="1108"/>
      <c r="F210" s="1104"/>
      <c r="G210" s="1105"/>
    </row>
    <row r="211" spans="1:10" ht="27.95" customHeight="1">
      <c r="A211" s="310"/>
      <c r="B211" s="310"/>
      <c r="C211" s="1110" t="s">
        <v>1484</v>
      </c>
      <c r="D211" s="1107">
        <v>2</v>
      </c>
      <c r="E211" s="1108" t="s">
        <v>404</v>
      </c>
      <c r="F211" s="1104">
        <v>1600</v>
      </c>
      <c r="G211" s="1105">
        <f>F211*D211</f>
        <v>3200</v>
      </c>
    </row>
    <row r="212" spans="1:10" ht="15" customHeight="1">
      <c r="A212" s="310"/>
      <c r="B212" s="310"/>
      <c r="C212" s="1110"/>
      <c r="D212" s="1107"/>
      <c r="E212" s="1108"/>
      <c r="F212" s="1104"/>
      <c r="G212" s="1106"/>
      <c r="H212" s="299">
        <f>D212*5</f>
        <v>0</v>
      </c>
    </row>
    <row r="213" spans="1:10" ht="15" customHeight="1">
      <c r="A213" s="310"/>
      <c r="B213" s="310"/>
      <c r="C213" s="308"/>
      <c r="D213" s="311"/>
      <c r="E213" s="311"/>
      <c r="F213" s="320" t="s">
        <v>1211</v>
      </c>
      <c r="G213" s="307">
        <f>SUM(G207:G212)</f>
        <v>19800</v>
      </c>
    </row>
    <row r="214" spans="1:10" ht="15" customHeight="1">
      <c r="A214" s="310"/>
      <c r="B214" s="310"/>
      <c r="C214" s="308"/>
      <c r="D214" s="311"/>
      <c r="E214" s="311"/>
    </row>
    <row r="215" spans="1:10" ht="15" customHeight="1">
      <c r="A215" s="310"/>
      <c r="B215" s="310"/>
      <c r="C215" s="308"/>
      <c r="D215" s="311"/>
      <c r="E215" s="311"/>
      <c r="F215" s="320" t="s">
        <v>1212</v>
      </c>
      <c r="G215" s="312">
        <f>G213+G203</f>
        <v>28235</v>
      </c>
    </row>
    <row r="216" spans="1:10" ht="15" customHeight="1">
      <c r="F216" s="320" t="s">
        <v>1213</v>
      </c>
      <c r="G216" s="312">
        <f>G215/D195</f>
        <v>7058.75</v>
      </c>
    </row>
    <row r="217" spans="1:10" ht="15" customHeight="1">
      <c r="F217" s="320"/>
      <c r="G217" s="312"/>
      <c r="J217" s="321"/>
    </row>
    <row r="218" spans="1:10" ht="15" customHeight="1">
      <c r="A218" s="307" t="s">
        <v>1485</v>
      </c>
      <c r="B218" s="1109" t="s">
        <v>827</v>
      </c>
      <c r="C218" s="313" t="s">
        <v>1188</v>
      </c>
      <c r="D218" s="314">
        <v>1</v>
      </c>
      <c r="E218" s="311" t="s">
        <v>1282</v>
      </c>
      <c r="F218" s="312"/>
      <c r="G218" s="312"/>
    </row>
    <row r="219" spans="1:10" ht="15" customHeight="1">
      <c r="A219" s="310"/>
      <c r="B219" s="1109"/>
      <c r="C219" s="322"/>
      <c r="D219" s="329"/>
      <c r="E219" s="329"/>
      <c r="F219" s="312"/>
      <c r="G219" s="312"/>
    </row>
    <row r="220" spans="1:10" ht="15" customHeight="1">
      <c r="A220" s="310"/>
      <c r="B220" s="337"/>
      <c r="C220" s="322"/>
      <c r="D220" s="329"/>
      <c r="E220" s="329"/>
      <c r="F220" s="312"/>
      <c r="G220" s="312"/>
    </row>
    <row r="221" spans="1:10" ht="15" customHeight="1">
      <c r="A221" s="310" t="s">
        <v>1341</v>
      </c>
      <c r="B221" s="310"/>
      <c r="C221" s="308"/>
      <c r="D221" s="311"/>
      <c r="E221" s="311"/>
      <c r="F221" s="312"/>
      <c r="G221" s="312"/>
    </row>
    <row r="222" spans="1:10" ht="26.25" customHeight="1">
      <c r="A222" s="310"/>
      <c r="B222" s="310"/>
      <c r="C222" s="308"/>
      <c r="D222" s="311" t="s">
        <v>1409</v>
      </c>
      <c r="E222" s="311" t="s">
        <v>1410</v>
      </c>
      <c r="F222" s="312" t="s">
        <v>1411</v>
      </c>
      <c r="G222" s="312" t="s">
        <v>1217</v>
      </c>
    </row>
    <row r="223" spans="1:10" ht="15" customHeight="1">
      <c r="A223" s="310"/>
      <c r="B223" s="310"/>
      <c r="C223" s="315" t="s">
        <v>1412</v>
      </c>
      <c r="D223" s="316">
        <v>1</v>
      </c>
      <c r="E223" s="316">
        <v>3</v>
      </c>
      <c r="F223" s="317">
        <v>615</v>
      </c>
      <c r="G223" s="318">
        <f>F223*E223*D223</f>
        <v>1845</v>
      </c>
    </row>
    <row r="224" spans="1:10" ht="15" customHeight="1">
      <c r="A224" s="310"/>
      <c r="B224" s="310"/>
      <c r="C224" s="315" t="s">
        <v>1486</v>
      </c>
      <c r="D224" s="316">
        <v>1</v>
      </c>
      <c r="E224" s="316">
        <f>E223</f>
        <v>3</v>
      </c>
      <c r="F224" s="317">
        <v>390</v>
      </c>
      <c r="G224" s="319">
        <f>F224*E224*D224</f>
        <v>1170</v>
      </c>
    </row>
    <row r="225" spans="1:8" ht="15" customHeight="1">
      <c r="A225" s="310"/>
      <c r="B225" s="310"/>
      <c r="C225" s="308"/>
      <c r="D225" s="311"/>
      <c r="E225" s="311"/>
      <c r="F225" s="320" t="s">
        <v>1211</v>
      </c>
      <c r="G225" s="312">
        <f>SUM(G223:G224)</f>
        <v>3015</v>
      </c>
      <c r="H225" s="299">
        <f>G225/G248</f>
        <v>0.18796758104738154</v>
      </c>
    </row>
    <row r="226" spans="1:8" ht="15" customHeight="1">
      <c r="A226" s="310" t="s">
        <v>1215</v>
      </c>
    </row>
    <row r="227" spans="1:8" ht="15" customHeight="1">
      <c r="A227" s="310"/>
      <c r="B227" s="310"/>
      <c r="C227" s="322"/>
      <c r="D227" s="311" t="s">
        <v>173</v>
      </c>
      <c r="E227" s="311" t="s">
        <v>297</v>
      </c>
      <c r="F227" s="320" t="s">
        <v>1216</v>
      </c>
      <c r="G227" s="312" t="s">
        <v>1217</v>
      </c>
    </row>
    <row r="228" spans="1:8" ht="15" customHeight="1">
      <c r="A228" s="310"/>
      <c r="B228" s="310"/>
      <c r="C228" s="308"/>
      <c r="D228" s="311"/>
      <c r="E228" s="311"/>
      <c r="F228" s="320"/>
      <c r="G228" s="312"/>
    </row>
    <row r="229" spans="1:8" ht="15" customHeight="1">
      <c r="A229" s="310"/>
      <c r="B229" s="310"/>
      <c r="C229" s="323" t="s">
        <v>1487</v>
      </c>
      <c r="D229" s="324">
        <v>1</v>
      </c>
      <c r="E229" s="325" t="s">
        <v>591</v>
      </c>
      <c r="F229" s="326">
        <v>2200</v>
      </c>
      <c r="G229" s="318">
        <f t="shared" ref="G229:G233" si="13">F229*D229</f>
        <v>2200</v>
      </c>
    </row>
    <row r="230" spans="1:8" ht="15" customHeight="1">
      <c r="A230" s="310"/>
      <c r="B230" s="310"/>
      <c r="C230" s="323" t="s">
        <v>1488</v>
      </c>
      <c r="D230" s="324">
        <v>1</v>
      </c>
      <c r="E230" s="325" t="s">
        <v>591</v>
      </c>
      <c r="F230" s="326">
        <v>3200</v>
      </c>
      <c r="G230" s="318">
        <f t="shared" si="13"/>
        <v>3200</v>
      </c>
    </row>
    <row r="231" spans="1:8" ht="15" customHeight="1">
      <c r="A231" s="310"/>
      <c r="B231" s="310"/>
      <c r="C231" s="323" t="s">
        <v>1489</v>
      </c>
      <c r="D231" s="324">
        <v>10</v>
      </c>
      <c r="E231" s="325" t="s">
        <v>1490</v>
      </c>
      <c r="F231" s="326">
        <v>70</v>
      </c>
      <c r="G231" s="318">
        <f t="shared" si="13"/>
        <v>700</v>
      </c>
    </row>
    <row r="232" spans="1:8" ht="15" customHeight="1">
      <c r="A232" s="310"/>
      <c r="B232" s="310"/>
      <c r="C232" s="323" t="s">
        <v>1491</v>
      </c>
      <c r="D232" s="324">
        <v>2</v>
      </c>
      <c r="E232" s="325" t="s">
        <v>469</v>
      </c>
      <c r="F232" s="326">
        <v>800</v>
      </c>
      <c r="G232" s="318">
        <f t="shared" si="13"/>
        <v>1600</v>
      </c>
    </row>
    <row r="233" spans="1:8" ht="15" customHeight="1">
      <c r="A233" s="310"/>
      <c r="B233" s="310"/>
      <c r="C233" s="323" t="s">
        <v>1492</v>
      </c>
      <c r="D233" s="324">
        <v>5</v>
      </c>
      <c r="E233" s="325" t="s">
        <v>350</v>
      </c>
      <c r="F233" s="326">
        <v>78</v>
      </c>
      <c r="G233" s="318">
        <f t="shared" si="13"/>
        <v>390</v>
      </c>
    </row>
    <row r="234" spans="1:8" ht="15" customHeight="1">
      <c r="A234" s="310"/>
      <c r="B234" s="310"/>
      <c r="C234" s="323" t="s">
        <v>1493</v>
      </c>
      <c r="D234" s="324">
        <v>5</v>
      </c>
      <c r="E234" s="325" t="s">
        <v>21</v>
      </c>
      <c r="F234" s="326">
        <v>55</v>
      </c>
      <c r="G234" s="318">
        <f>F234*D234</f>
        <v>275</v>
      </c>
    </row>
    <row r="235" spans="1:8" ht="15" customHeight="1">
      <c r="A235" s="310"/>
      <c r="B235" s="310"/>
      <c r="C235" s="323" t="s">
        <v>1494</v>
      </c>
      <c r="D235" s="324">
        <v>5</v>
      </c>
      <c r="E235" s="325" t="s">
        <v>21</v>
      </c>
      <c r="F235" s="326">
        <v>55</v>
      </c>
      <c r="G235" s="318">
        <f t="shared" ref="G235:G247" si="14">F235*D235</f>
        <v>275</v>
      </c>
    </row>
    <row r="236" spans="1:8" ht="15" customHeight="1">
      <c r="A236" s="310"/>
      <c r="B236" s="310"/>
      <c r="C236" s="323" t="s">
        <v>1495</v>
      </c>
      <c r="D236" s="324">
        <v>3</v>
      </c>
      <c r="E236" s="325" t="s">
        <v>21</v>
      </c>
      <c r="F236" s="326">
        <v>150</v>
      </c>
      <c r="G236" s="318">
        <f t="shared" si="14"/>
        <v>450</v>
      </c>
    </row>
    <row r="237" spans="1:8" ht="15" customHeight="1">
      <c r="A237" s="310"/>
      <c r="B237" s="310"/>
      <c r="C237" s="323" t="s">
        <v>1496</v>
      </c>
      <c r="D237" s="324">
        <v>3</v>
      </c>
      <c r="E237" s="325" t="s">
        <v>21</v>
      </c>
      <c r="F237" s="326">
        <v>220</v>
      </c>
      <c r="G237" s="318">
        <f t="shared" si="14"/>
        <v>660</v>
      </c>
    </row>
    <row r="238" spans="1:8" ht="15" customHeight="1">
      <c r="A238" s="310"/>
      <c r="B238" s="310"/>
      <c r="C238" s="323" t="s">
        <v>1497</v>
      </c>
      <c r="D238" s="324">
        <v>2</v>
      </c>
      <c r="E238" s="325" t="s">
        <v>21</v>
      </c>
      <c r="F238" s="326">
        <v>200</v>
      </c>
      <c r="G238" s="318">
        <f t="shared" si="14"/>
        <v>400</v>
      </c>
    </row>
    <row r="239" spans="1:8" ht="15" customHeight="1">
      <c r="A239" s="310"/>
      <c r="B239" s="310"/>
      <c r="C239" s="323" t="s">
        <v>1498</v>
      </c>
      <c r="D239" s="324">
        <v>2</v>
      </c>
      <c r="E239" s="325" t="s">
        <v>21</v>
      </c>
      <c r="F239" s="326">
        <v>180</v>
      </c>
      <c r="G239" s="318">
        <f t="shared" si="14"/>
        <v>360</v>
      </c>
    </row>
    <row r="240" spans="1:8" ht="15" customHeight="1">
      <c r="A240" s="310"/>
      <c r="B240" s="310"/>
      <c r="C240" s="323" t="s">
        <v>1499</v>
      </c>
      <c r="D240" s="324">
        <v>10</v>
      </c>
      <c r="E240" s="325" t="s">
        <v>21</v>
      </c>
      <c r="F240" s="326">
        <v>150</v>
      </c>
      <c r="G240" s="318">
        <f t="shared" si="14"/>
        <v>1500</v>
      </c>
    </row>
    <row r="241" spans="1:11" ht="15" customHeight="1">
      <c r="A241" s="310"/>
      <c r="B241" s="310"/>
      <c r="C241" s="323" t="s">
        <v>1500</v>
      </c>
      <c r="D241" s="324">
        <v>10</v>
      </c>
      <c r="E241" s="325" t="s">
        <v>21</v>
      </c>
      <c r="F241" s="326">
        <v>55</v>
      </c>
      <c r="G241" s="318">
        <f t="shared" si="14"/>
        <v>550</v>
      </c>
    </row>
    <row r="242" spans="1:11" ht="15" customHeight="1">
      <c r="A242" s="310"/>
      <c r="B242" s="310"/>
      <c r="C242" s="323" t="s">
        <v>1501</v>
      </c>
      <c r="D242" s="324">
        <v>10</v>
      </c>
      <c r="E242" s="325" t="s">
        <v>21</v>
      </c>
      <c r="F242" s="326">
        <v>40</v>
      </c>
      <c r="G242" s="318">
        <f t="shared" si="14"/>
        <v>400</v>
      </c>
    </row>
    <row r="243" spans="1:11" ht="15" customHeight="1">
      <c r="A243" s="310"/>
      <c r="B243" s="310"/>
      <c r="C243" s="323" t="s">
        <v>1502</v>
      </c>
      <c r="D243" s="324">
        <v>6</v>
      </c>
      <c r="E243" s="325" t="s">
        <v>398</v>
      </c>
      <c r="F243" s="326">
        <v>355</v>
      </c>
      <c r="G243" s="318">
        <f t="shared" si="14"/>
        <v>2130</v>
      </c>
    </row>
    <row r="244" spans="1:11" ht="15" customHeight="1">
      <c r="A244" s="310"/>
      <c r="B244" s="310"/>
      <c r="C244" s="323" t="s">
        <v>1503</v>
      </c>
      <c r="D244" s="324">
        <v>3</v>
      </c>
      <c r="E244" s="325" t="s">
        <v>398</v>
      </c>
      <c r="F244" s="326">
        <v>270</v>
      </c>
      <c r="G244" s="318">
        <f t="shared" si="14"/>
        <v>810</v>
      </c>
    </row>
    <row r="245" spans="1:11" ht="15" customHeight="1">
      <c r="A245" s="310"/>
      <c r="B245" s="310"/>
      <c r="C245" s="323" t="s">
        <v>1504</v>
      </c>
      <c r="D245" s="324">
        <v>1</v>
      </c>
      <c r="E245" s="325" t="s">
        <v>398</v>
      </c>
      <c r="F245" s="326">
        <v>45</v>
      </c>
      <c r="G245" s="318">
        <f t="shared" si="14"/>
        <v>45</v>
      </c>
    </row>
    <row r="246" spans="1:11" ht="15" customHeight="1">
      <c r="A246" s="310"/>
      <c r="B246" s="310"/>
      <c r="C246" s="323" t="s">
        <v>925</v>
      </c>
      <c r="D246" s="324">
        <v>1</v>
      </c>
      <c r="E246" s="325" t="s">
        <v>398</v>
      </c>
      <c r="F246" s="326">
        <v>35</v>
      </c>
      <c r="G246" s="318">
        <f t="shared" si="14"/>
        <v>35</v>
      </c>
    </row>
    <row r="247" spans="1:11" ht="15" customHeight="1">
      <c r="A247" s="310"/>
      <c r="B247" s="310"/>
      <c r="C247" s="323" t="s">
        <v>1505</v>
      </c>
      <c r="D247" s="324">
        <v>2</v>
      </c>
      <c r="E247" s="325" t="s">
        <v>398</v>
      </c>
      <c r="F247" s="326">
        <v>30</v>
      </c>
      <c r="G247" s="319">
        <f t="shared" si="14"/>
        <v>60</v>
      </c>
    </row>
    <row r="248" spans="1:11" ht="15" customHeight="1">
      <c r="A248" s="310"/>
      <c r="B248" s="310"/>
      <c r="C248" s="308"/>
      <c r="D248" s="311"/>
      <c r="E248" s="311"/>
      <c r="F248" s="320" t="s">
        <v>1211</v>
      </c>
      <c r="G248" s="307">
        <f>SUM(G229:G247)</f>
        <v>16040</v>
      </c>
      <c r="H248" s="299">
        <f>G248*5</f>
        <v>80200</v>
      </c>
    </row>
    <row r="249" spans="1:11" ht="15" customHeight="1">
      <c r="A249" s="310"/>
      <c r="B249" s="310"/>
      <c r="C249" s="308"/>
      <c r="D249" s="311"/>
      <c r="E249" s="311"/>
    </row>
    <row r="250" spans="1:11" ht="15" customHeight="1">
      <c r="A250" s="310"/>
      <c r="B250" s="310"/>
      <c r="C250" s="308"/>
      <c r="D250" s="311"/>
      <c r="E250" s="311"/>
      <c r="F250" s="320" t="s">
        <v>1212</v>
      </c>
      <c r="G250" s="312">
        <f>G248+G225</f>
        <v>19055</v>
      </c>
    </row>
    <row r="251" spans="1:11" ht="15" customHeight="1">
      <c r="F251" s="320" t="s">
        <v>1213</v>
      </c>
      <c r="G251" s="312">
        <f>G250/D218</f>
        <v>19055</v>
      </c>
    </row>
    <row r="252" spans="1:11" ht="15" customHeight="1">
      <c r="A252" s="310"/>
      <c r="B252" s="310"/>
      <c r="C252" s="308"/>
      <c r="D252" s="311"/>
      <c r="E252" s="311"/>
      <c r="F252" s="320"/>
      <c r="G252" s="354"/>
      <c r="J252" s="357">
        <f>G294/G293</f>
        <v>0.45156841476134307</v>
      </c>
      <c r="K252" s="299">
        <f>G293*0.45</f>
        <v>124003.80135000001</v>
      </c>
    </row>
    <row r="253" spans="1:11" ht="15" customHeight="1">
      <c r="A253" s="307" t="s">
        <v>1506</v>
      </c>
      <c r="B253" s="355" t="s">
        <v>1028</v>
      </c>
      <c r="C253" s="313" t="s">
        <v>1188</v>
      </c>
      <c r="D253" s="314">
        <v>1</v>
      </c>
      <c r="E253" s="311" t="s">
        <v>809</v>
      </c>
      <c r="F253" s="312"/>
      <c r="G253" s="312"/>
    </row>
    <row r="254" spans="1:11" ht="15" customHeight="1">
      <c r="A254" s="310"/>
      <c r="B254" s="355"/>
      <c r="C254" s="322"/>
      <c r="D254" s="329"/>
      <c r="E254" s="329"/>
      <c r="F254" s="312"/>
      <c r="G254" s="312"/>
    </row>
    <row r="255" spans="1:11" ht="15" customHeight="1">
      <c r="A255" s="310" t="s">
        <v>1341</v>
      </c>
      <c r="B255" s="310"/>
      <c r="C255" s="308"/>
      <c r="D255" s="311"/>
      <c r="E255" s="311"/>
      <c r="F255" s="312"/>
      <c r="G255" s="312"/>
    </row>
    <row r="256" spans="1:11" ht="26.25" customHeight="1">
      <c r="A256" s="310"/>
      <c r="B256" s="310"/>
      <c r="C256" s="308"/>
      <c r="D256" s="311" t="s">
        <v>1409</v>
      </c>
      <c r="E256" s="311" t="s">
        <v>1410</v>
      </c>
      <c r="F256" s="312" t="s">
        <v>1411</v>
      </c>
      <c r="G256" s="312" t="s">
        <v>1217</v>
      </c>
    </row>
    <row r="257" spans="1:11" ht="15" customHeight="1">
      <c r="A257" s="310"/>
      <c r="B257" s="310"/>
      <c r="C257" s="315" t="s">
        <v>1413</v>
      </c>
      <c r="D257" s="316">
        <v>1</v>
      </c>
      <c r="E257" s="316">
        <v>1.2</v>
      </c>
      <c r="F257" s="317">
        <v>414</v>
      </c>
      <c r="G257" s="318">
        <f>F257*E257*D257</f>
        <v>496.79999999999995</v>
      </c>
    </row>
    <row r="258" spans="1:11" ht="15" customHeight="1">
      <c r="A258" s="310"/>
      <c r="B258" s="310"/>
      <c r="C258" s="315" t="s">
        <v>1415</v>
      </c>
      <c r="D258" s="316">
        <v>1</v>
      </c>
      <c r="E258" s="316">
        <f>E257</f>
        <v>1.2</v>
      </c>
      <c r="F258" s="317">
        <v>341</v>
      </c>
      <c r="G258" s="319">
        <f>F258*E258*D258</f>
        <v>409.2</v>
      </c>
    </row>
    <row r="259" spans="1:11" ht="15" customHeight="1">
      <c r="A259" s="310"/>
      <c r="B259" s="310"/>
      <c r="C259" s="308"/>
      <c r="D259" s="311"/>
      <c r="E259" s="311"/>
      <c r="F259" s="320" t="s">
        <v>1211</v>
      </c>
      <c r="G259" s="312">
        <f>SUM(G257:G258)</f>
        <v>906</v>
      </c>
      <c r="H259" s="299">
        <f>G259/G264</f>
        <v>0.45300000000000001</v>
      </c>
    </row>
    <row r="260" spans="1:11" ht="15" customHeight="1">
      <c r="A260" s="310" t="s">
        <v>1215</v>
      </c>
    </row>
    <row r="261" spans="1:11" ht="15" customHeight="1">
      <c r="A261" s="310"/>
      <c r="B261" s="310"/>
      <c r="C261" s="322"/>
      <c r="D261" s="311" t="s">
        <v>173</v>
      </c>
      <c r="E261" s="311" t="s">
        <v>297</v>
      </c>
      <c r="F261" s="320" t="s">
        <v>1216</v>
      </c>
      <c r="G261" s="312" t="s">
        <v>1217</v>
      </c>
    </row>
    <row r="262" spans="1:11" ht="15" customHeight="1">
      <c r="A262" s="310"/>
      <c r="B262" s="310"/>
      <c r="C262" s="308"/>
      <c r="D262" s="311"/>
      <c r="E262" s="311"/>
      <c r="F262" s="320"/>
      <c r="G262" s="312"/>
    </row>
    <row r="263" spans="1:11" ht="15" customHeight="1">
      <c r="A263" s="310"/>
      <c r="B263" s="310"/>
      <c r="C263" s="323" t="s">
        <v>1507</v>
      </c>
      <c r="D263" s="324">
        <v>1</v>
      </c>
      <c r="E263" s="325" t="s">
        <v>1508</v>
      </c>
      <c r="F263" s="326">
        <v>2000</v>
      </c>
      <c r="G263" s="319">
        <f>F263*D263</f>
        <v>2000</v>
      </c>
    </row>
    <row r="264" spans="1:11" ht="15" customHeight="1">
      <c r="A264" s="310"/>
      <c r="B264" s="310"/>
      <c r="C264" s="308"/>
      <c r="D264" s="311"/>
      <c r="E264" s="311"/>
      <c r="F264" s="320" t="s">
        <v>1211</v>
      </c>
      <c r="G264" s="307">
        <f>SUM(G263:G263)</f>
        <v>2000</v>
      </c>
    </row>
    <row r="265" spans="1:11" ht="15" customHeight="1">
      <c r="A265" s="310"/>
      <c r="B265" s="310"/>
      <c r="C265" s="308"/>
      <c r="D265" s="311"/>
      <c r="E265" s="311"/>
    </row>
    <row r="266" spans="1:11" ht="15" customHeight="1">
      <c r="A266" s="310"/>
      <c r="B266" s="310"/>
      <c r="C266" s="308"/>
      <c r="D266" s="311"/>
      <c r="E266" s="311"/>
      <c r="F266" s="320" t="s">
        <v>1212</v>
      </c>
      <c r="G266" s="312">
        <f>G264+G259</f>
        <v>2906</v>
      </c>
    </row>
    <row r="267" spans="1:11" ht="15" customHeight="1">
      <c r="F267" s="320" t="s">
        <v>1213</v>
      </c>
      <c r="G267" s="312">
        <f>G266/D253</f>
        <v>2906</v>
      </c>
      <c r="J267" s="321" t="s">
        <v>1509</v>
      </c>
      <c r="K267" s="299" t="s">
        <v>1217</v>
      </c>
    </row>
    <row r="268" spans="1:11" ht="15" customHeight="1">
      <c r="F268" s="320"/>
      <c r="G268" s="312"/>
      <c r="J268" s="357">
        <f>G294/G293</f>
        <v>0.45156841476134307</v>
      </c>
    </row>
    <row r="269" spans="1:11" ht="15" customHeight="1">
      <c r="A269" s="307" t="s">
        <v>1510</v>
      </c>
      <c r="B269" s="1109" t="s">
        <v>1511</v>
      </c>
      <c r="C269" s="313" t="s">
        <v>1188</v>
      </c>
      <c r="D269" s="314">
        <v>99</v>
      </c>
      <c r="E269" s="311" t="s">
        <v>112</v>
      </c>
      <c r="F269" s="312"/>
      <c r="G269" s="312"/>
    </row>
    <row r="270" spans="1:11" ht="15" customHeight="1">
      <c r="A270" s="310"/>
      <c r="B270" s="1109"/>
      <c r="C270" s="322"/>
      <c r="D270" s="329"/>
      <c r="E270" s="329"/>
      <c r="F270" s="312"/>
      <c r="G270" s="312"/>
    </row>
    <row r="271" spans="1:11" ht="15" customHeight="1">
      <c r="A271" s="310"/>
      <c r="B271" s="337"/>
      <c r="C271" s="322"/>
      <c r="D271" s="329"/>
      <c r="E271" s="329"/>
      <c r="F271" s="312"/>
      <c r="G271" s="312"/>
    </row>
    <row r="272" spans="1:11" ht="15" customHeight="1">
      <c r="A272" s="310" t="s">
        <v>1341</v>
      </c>
      <c r="B272" s="310"/>
      <c r="C272" s="308"/>
      <c r="D272" s="311"/>
      <c r="E272" s="311"/>
      <c r="F272" s="312"/>
      <c r="G272" s="312"/>
    </row>
    <row r="273" spans="1:8" ht="26.25" customHeight="1">
      <c r="A273" s="310"/>
      <c r="B273" s="310"/>
      <c r="C273" s="308"/>
      <c r="D273" s="311" t="s">
        <v>1409</v>
      </c>
      <c r="E273" s="311" t="s">
        <v>1410</v>
      </c>
      <c r="F273" s="312" t="s">
        <v>1411</v>
      </c>
      <c r="G273" s="312" t="s">
        <v>1217</v>
      </c>
    </row>
    <row r="274" spans="1:8" ht="15" customHeight="1">
      <c r="A274" s="310"/>
      <c r="B274" s="310"/>
      <c r="C274" s="361" t="s">
        <v>1412</v>
      </c>
      <c r="D274" s="362">
        <v>1</v>
      </c>
      <c r="E274" s="362">
        <v>6.5</v>
      </c>
      <c r="F274" s="363">
        <v>615</v>
      </c>
      <c r="G274" s="318">
        <f>F274*E274*D274</f>
        <v>3997.5</v>
      </c>
    </row>
    <row r="275" spans="1:8" ht="15" customHeight="1">
      <c r="A275" s="310"/>
      <c r="B275" s="310"/>
      <c r="C275" s="361" t="s">
        <v>1512</v>
      </c>
      <c r="D275" s="362">
        <v>2</v>
      </c>
      <c r="E275" s="362">
        <f>E274</f>
        <v>6.5</v>
      </c>
      <c r="F275" s="363">
        <v>390</v>
      </c>
      <c r="G275" s="318">
        <f>F275*E275*D275</f>
        <v>5070</v>
      </c>
    </row>
    <row r="276" spans="1:8" ht="15" customHeight="1">
      <c r="A276" s="310"/>
      <c r="B276" s="310"/>
      <c r="C276" s="361" t="s">
        <v>1415</v>
      </c>
      <c r="D276" s="362">
        <v>3</v>
      </c>
      <c r="E276" s="362">
        <f>E275</f>
        <v>6.5</v>
      </c>
      <c r="F276" s="363">
        <v>341</v>
      </c>
      <c r="G276" s="319">
        <f>F276*E276*D276</f>
        <v>6649.5</v>
      </c>
    </row>
    <row r="277" spans="1:8" ht="15" customHeight="1">
      <c r="A277" s="310"/>
      <c r="B277" s="310"/>
      <c r="C277" s="308"/>
      <c r="D277" s="311"/>
      <c r="E277" s="311"/>
      <c r="F277" s="320" t="s">
        <v>1211</v>
      </c>
      <c r="G277" s="312">
        <f>SUM(G274:G276)</f>
        <v>15717</v>
      </c>
      <c r="H277" s="299">
        <f>G277/G287</f>
        <v>0.42825613079019076</v>
      </c>
    </row>
    <row r="278" spans="1:8" ht="15" customHeight="1">
      <c r="A278" s="310" t="s">
        <v>1215</v>
      </c>
    </row>
    <row r="279" spans="1:8" ht="15" customHeight="1">
      <c r="A279" s="310"/>
      <c r="B279" s="310"/>
      <c r="C279" s="322"/>
      <c r="D279" s="311" t="s">
        <v>173</v>
      </c>
      <c r="E279" s="311" t="s">
        <v>297</v>
      </c>
      <c r="F279" s="320" t="s">
        <v>1216</v>
      </c>
      <c r="G279" s="312" t="s">
        <v>1217</v>
      </c>
    </row>
    <row r="280" spans="1:8" ht="15" customHeight="1">
      <c r="A280" s="310"/>
      <c r="B280" s="310"/>
      <c r="C280" s="308"/>
      <c r="D280" s="311"/>
      <c r="E280" s="311"/>
      <c r="F280" s="320"/>
      <c r="G280" s="312"/>
    </row>
    <row r="281" spans="1:8" ht="15" customHeight="1">
      <c r="A281" s="310"/>
      <c r="B281" s="310"/>
      <c r="C281" s="364" t="s">
        <v>1513</v>
      </c>
      <c r="D281" s="365">
        <v>40</v>
      </c>
      <c r="E281" s="366" t="s">
        <v>605</v>
      </c>
      <c r="F281" s="367">
        <v>600</v>
      </c>
      <c r="G281" s="318">
        <f t="shared" ref="G281:G286" si="15">F281*D281</f>
        <v>24000</v>
      </c>
    </row>
    <row r="282" spans="1:8" ht="15" customHeight="1">
      <c r="A282" s="310"/>
      <c r="B282" s="310"/>
      <c r="C282" s="364" t="s">
        <v>1514</v>
      </c>
      <c r="D282" s="365">
        <v>35</v>
      </c>
      <c r="E282" s="366" t="s">
        <v>350</v>
      </c>
      <c r="F282" s="367">
        <v>130</v>
      </c>
      <c r="G282" s="318">
        <f t="shared" si="15"/>
        <v>4550</v>
      </c>
    </row>
    <row r="283" spans="1:8" ht="15" customHeight="1">
      <c r="A283" s="310"/>
      <c r="B283" s="310"/>
      <c r="C283" s="364" t="s">
        <v>1515</v>
      </c>
      <c r="D283" s="365">
        <v>34</v>
      </c>
      <c r="E283" s="366" t="s">
        <v>350</v>
      </c>
      <c r="F283" s="367">
        <v>150</v>
      </c>
      <c r="G283" s="318">
        <f t="shared" si="15"/>
        <v>5100</v>
      </c>
    </row>
    <row r="284" spans="1:8" ht="15" customHeight="1">
      <c r="A284" s="310"/>
      <c r="B284" s="310"/>
      <c r="C284" s="364" t="s">
        <v>1516</v>
      </c>
      <c r="D284" s="365">
        <v>250</v>
      </c>
      <c r="E284" s="366" t="s">
        <v>21</v>
      </c>
      <c r="F284" s="367">
        <v>7</v>
      </c>
      <c r="G284" s="318">
        <f t="shared" si="15"/>
        <v>1750</v>
      </c>
    </row>
    <row r="285" spans="1:8" ht="15" customHeight="1">
      <c r="A285" s="310"/>
      <c r="B285" s="310"/>
      <c r="C285" s="364" t="s">
        <v>1517</v>
      </c>
      <c r="D285" s="365">
        <v>2</v>
      </c>
      <c r="E285" s="366" t="s">
        <v>591</v>
      </c>
      <c r="F285" s="367">
        <v>500</v>
      </c>
      <c r="G285" s="318">
        <f t="shared" si="15"/>
        <v>1000</v>
      </c>
    </row>
    <row r="286" spans="1:8" ht="15" customHeight="1">
      <c r="A286" s="310"/>
      <c r="B286" s="310"/>
      <c r="C286" s="364" t="s">
        <v>1518</v>
      </c>
      <c r="D286" s="365">
        <v>2</v>
      </c>
      <c r="E286" s="366" t="s">
        <v>238</v>
      </c>
      <c r="F286" s="367">
        <v>150</v>
      </c>
      <c r="G286" s="319">
        <f t="shared" si="15"/>
        <v>300</v>
      </c>
    </row>
    <row r="287" spans="1:8" ht="15" customHeight="1">
      <c r="A287" s="310"/>
      <c r="B287" s="310"/>
      <c r="C287" s="308"/>
      <c r="D287" s="311"/>
      <c r="E287" s="311"/>
      <c r="F287" s="320" t="s">
        <v>1211</v>
      </c>
      <c r="G287" s="307">
        <f>SUM(G281:G286)</f>
        <v>36700</v>
      </c>
      <c r="H287" s="299">
        <f>G287*5</f>
        <v>183500</v>
      </c>
    </row>
    <row r="288" spans="1:8" ht="15" customHeight="1">
      <c r="A288" s="310"/>
      <c r="B288" s="310"/>
      <c r="C288" s="308"/>
      <c r="D288" s="311"/>
      <c r="E288" s="311"/>
    </row>
    <row r="289" spans="1:10" ht="15" customHeight="1">
      <c r="A289" s="310"/>
      <c r="B289" s="310"/>
      <c r="C289" s="308"/>
      <c r="D289" s="311"/>
      <c r="E289" s="311"/>
      <c r="F289" s="320" t="s">
        <v>1212</v>
      </c>
      <c r="G289" s="312">
        <f>G287+G277</f>
        <v>52417</v>
      </c>
    </row>
    <row r="290" spans="1:10" ht="15" customHeight="1">
      <c r="F290" s="320" t="s">
        <v>1213</v>
      </c>
      <c r="G290" s="312">
        <f>G289/D269</f>
        <v>529.46464646464642</v>
      </c>
    </row>
    <row r="291" spans="1:10" ht="15" customHeight="1">
      <c r="F291" s="320"/>
      <c r="G291" s="312"/>
    </row>
    <row r="292" spans="1:10" ht="15" customHeight="1">
      <c r="A292" s="310"/>
      <c r="B292" s="310"/>
      <c r="C292" s="308"/>
      <c r="D292" s="311"/>
      <c r="E292" s="311"/>
    </row>
    <row r="293" spans="1:10" ht="15" customHeight="1">
      <c r="A293" s="310"/>
      <c r="B293" s="310"/>
      <c r="C293" s="308"/>
      <c r="D293" s="311"/>
      <c r="E293" s="311"/>
      <c r="F293" s="356" t="s">
        <v>1289</v>
      </c>
      <c r="G293" s="312">
        <f>SUM(G287,G264,G248,G213,G190,G153,G122,G97,G76,G50,G30)</f>
        <v>275564.00300000003</v>
      </c>
    </row>
    <row r="294" spans="1:10" ht="15" customHeight="1">
      <c r="F294" s="356" t="s">
        <v>1290</v>
      </c>
      <c r="G294" s="312">
        <f>SUM(G23,G42,G62,G89,G110,G136,G166,G203,G225,G259,G277)</f>
        <v>124436</v>
      </c>
      <c r="H294" s="299">
        <f>K252-G294</f>
        <v>-432.19864999999118</v>
      </c>
      <c r="J294" s="299" t="e">
        <f>SUM(#REF!,G99,G78,G32,#REF!)</f>
        <v>#REF!</v>
      </c>
    </row>
    <row r="295" spans="1:10" ht="15" customHeight="1">
      <c r="F295" s="354" t="s">
        <v>1292</v>
      </c>
      <c r="G295" s="307">
        <f>G293+G294</f>
        <v>400000.00300000003</v>
      </c>
      <c r="H295" s="299">
        <f>B8-G295</f>
        <v>-3.0000000260770321E-3</v>
      </c>
      <c r="I295" s="299">
        <f>G293+G294</f>
        <v>400000.00300000003</v>
      </c>
    </row>
    <row r="296" spans="1:10" ht="15" customHeight="1">
      <c r="B296" s="358"/>
      <c r="J296" s="299" t="s">
        <v>1525</v>
      </c>
    </row>
    <row r="297" spans="1:10" ht="15" customHeight="1">
      <c r="B297" s="359"/>
      <c r="F297" s="300"/>
      <c r="G297" s="300"/>
    </row>
    <row r="298" spans="1:10" ht="15" customHeight="1">
      <c r="H298" s="299" t="e">
        <f>SUM(#REF!,G289,G266,G250,G215,G192,G155,G124,G99,G78,G52,G32,)</f>
        <v>#REF!</v>
      </c>
    </row>
    <row r="299" spans="1:10" ht="15" customHeight="1">
      <c r="A299" s="299" t="s">
        <v>1526</v>
      </c>
      <c r="C299" s="315" t="s">
        <v>1527</v>
      </c>
      <c r="D299" s="300" t="s">
        <v>1528</v>
      </c>
    </row>
    <row r="300" spans="1:10" ht="15" customHeight="1">
      <c r="D300" s="300"/>
    </row>
    <row r="301" spans="1:10" ht="15" customHeight="1">
      <c r="D301" s="300"/>
    </row>
    <row r="302" spans="1:10" ht="15" customHeight="1">
      <c r="B302" s="307" t="s">
        <v>1364</v>
      </c>
      <c r="C302" s="771" t="s">
        <v>1671</v>
      </c>
      <c r="D302" s="771"/>
      <c r="E302" s="770" t="s">
        <v>1365</v>
      </c>
    </row>
    <row r="303" spans="1:10" ht="15" customHeight="1">
      <c r="B303" s="299" t="s">
        <v>1529</v>
      </c>
      <c r="C303" s="368" t="s">
        <v>1367</v>
      </c>
      <c r="E303" s="299" t="s">
        <v>1368</v>
      </c>
    </row>
    <row r="308" spans="1:4" ht="15" customHeight="1">
      <c r="A308" s="300" t="s">
        <v>1530</v>
      </c>
      <c r="C308" s="369" t="s">
        <v>1531</v>
      </c>
    </row>
    <row r="312" spans="1:4" ht="15" customHeight="1">
      <c r="B312" s="307" t="s">
        <v>1532</v>
      </c>
      <c r="D312" s="307" t="s">
        <v>1371</v>
      </c>
    </row>
    <row r="313" spans="1:4" ht="15" customHeight="1">
      <c r="B313" s="299" t="s">
        <v>1373</v>
      </c>
      <c r="D313" s="299" t="s">
        <v>1374</v>
      </c>
    </row>
    <row r="315" spans="1:4" ht="15" customHeight="1">
      <c r="C315" s="368"/>
    </row>
  </sheetData>
  <mergeCells count="28">
    <mergeCell ref="A1:G1"/>
    <mergeCell ref="A2:G2"/>
    <mergeCell ref="A3:G3"/>
    <mergeCell ref="A4:G4"/>
    <mergeCell ref="A10:G10"/>
    <mergeCell ref="B6:C7"/>
    <mergeCell ref="B128:B129"/>
    <mergeCell ref="B195:B196"/>
    <mergeCell ref="C207:C208"/>
    <mergeCell ref="B81:B82"/>
    <mergeCell ref="B102:B103"/>
    <mergeCell ref="B158:B159"/>
    <mergeCell ref="C209:C210"/>
    <mergeCell ref="D209:D210"/>
    <mergeCell ref="E209:E210"/>
    <mergeCell ref="F209:F210"/>
    <mergeCell ref="G209:G210"/>
    <mergeCell ref="F211:F212"/>
    <mergeCell ref="G211:G212"/>
    <mergeCell ref="D207:D208"/>
    <mergeCell ref="E207:E208"/>
    <mergeCell ref="F207:F208"/>
    <mergeCell ref="G207:G208"/>
    <mergeCell ref="B218:B219"/>
    <mergeCell ref="B269:B270"/>
    <mergeCell ref="C211:C212"/>
    <mergeCell ref="D211:D212"/>
    <mergeCell ref="E211:E212"/>
  </mergeCells>
  <pageMargins left="0.21" right="0.17" top="0.63" bottom="0.24" header="0.51" footer="0.12"/>
  <pageSetup paperSize="14" scale="70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P372"/>
  <sheetViews>
    <sheetView topLeftCell="A202" zoomScale="85" zoomScaleNormal="85" workbookViewId="0">
      <selection activeCell="C318" sqref="C318"/>
    </sheetView>
  </sheetViews>
  <sheetFormatPr defaultColWidth="9.140625" defaultRowHeight="15" customHeight="1"/>
  <cols>
    <col min="1" max="1" width="16.85546875" style="299" customWidth="1"/>
    <col min="2" max="2" width="30.5703125" style="299" customWidth="1"/>
    <col min="3" max="3" width="41.28515625" style="315" customWidth="1"/>
    <col min="4" max="4" width="16.42578125" style="299" customWidth="1"/>
    <col min="5" max="5" width="14.5703125" style="299" customWidth="1"/>
    <col min="6" max="7" width="13.85546875" style="299" customWidth="1"/>
    <col min="8" max="8" width="13.140625" style="299" customWidth="1"/>
    <col min="9" max="9" width="11.85546875" style="299" customWidth="1"/>
    <col min="10" max="10" width="14" style="299" customWidth="1"/>
    <col min="11" max="11" width="11.85546875" style="299" customWidth="1"/>
    <col min="12" max="12" width="9.5703125" style="299" customWidth="1"/>
    <col min="13" max="14" width="9.28515625" style="299" customWidth="1"/>
    <col min="15" max="16384" width="9.140625" style="299"/>
  </cols>
  <sheetData>
    <row r="1" spans="1:16" ht="15" customHeight="1">
      <c r="A1" s="1111" t="s">
        <v>1174</v>
      </c>
      <c r="B1" s="1111"/>
      <c r="C1" s="1111"/>
      <c r="D1" s="1111"/>
      <c r="E1" s="1111"/>
      <c r="F1" s="1111"/>
      <c r="G1" s="1111"/>
      <c r="H1" s="302"/>
      <c r="I1" s="302"/>
      <c r="J1" s="302"/>
      <c r="K1" s="302"/>
      <c r="L1" s="302"/>
      <c r="M1" s="302"/>
      <c r="N1" s="302"/>
      <c r="O1" s="302"/>
      <c r="P1" s="302"/>
    </row>
    <row r="2" spans="1:16" ht="15" customHeight="1">
      <c r="A2" s="1111" t="s">
        <v>1175</v>
      </c>
      <c r="B2" s="1111"/>
      <c r="C2" s="1111"/>
      <c r="D2" s="1111"/>
      <c r="E2" s="1111"/>
      <c r="F2" s="1111"/>
      <c r="G2" s="1111"/>
      <c r="H2" s="303">
        <f>J270</f>
        <v>0.46808423456300308</v>
      </c>
      <c r="I2" s="302"/>
      <c r="J2" s="302"/>
      <c r="K2" s="302"/>
      <c r="L2" s="302"/>
      <c r="M2" s="302"/>
      <c r="N2" s="302"/>
      <c r="O2" s="302"/>
      <c r="P2" s="302"/>
    </row>
    <row r="3" spans="1:16" ht="15" customHeight="1">
      <c r="A3" s="1111" t="s">
        <v>1176</v>
      </c>
      <c r="B3" s="1111"/>
      <c r="C3" s="1111"/>
      <c r="D3" s="1111"/>
      <c r="E3" s="1111"/>
      <c r="F3" s="1111"/>
      <c r="G3" s="1111"/>
      <c r="H3" s="304">
        <f>H352</f>
        <v>-5719.7619999999879</v>
      </c>
      <c r="I3" s="302"/>
      <c r="J3" s="302"/>
      <c r="K3" s="302"/>
      <c r="L3" s="302"/>
      <c r="M3" s="302"/>
      <c r="N3" s="302"/>
      <c r="O3" s="302"/>
      <c r="P3" s="302"/>
    </row>
    <row r="4" spans="1:16" ht="15" customHeight="1">
      <c r="A4" s="1111" t="s">
        <v>1304</v>
      </c>
      <c r="B4" s="1111"/>
      <c r="C4" s="1111"/>
      <c r="D4" s="1111"/>
      <c r="E4" s="1111"/>
      <c r="F4" s="1111"/>
      <c r="G4" s="1111"/>
      <c r="H4" s="302"/>
      <c r="I4" s="302"/>
      <c r="J4" s="302"/>
      <c r="K4" s="302"/>
      <c r="L4" s="302"/>
      <c r="M4" s="302"/>
      <c r="N4" s="302"/>
      <c r="O4" s="302"/>
      <c r="P4" s="302"/>
    </row>
    <row r="5" spans="1:16" ht="15" customHeight="1">
      <c r="A5" s="301"/>
      <c r="B5" s="301"/>
      <c r="C5" s="301"/>
      <c r="D5" s="301"/>
      <c r="E5" s="301"/>
      <c r="F5" s="301"/>
      <c r="G5" s="301"/>
      <c r="H5" s="302"/>
      <c r="I5" s="302"/>
      <c r="J5" s="302"/>
      <c r="K5" s="302"/>
      <c r="L5" s="302"/>
      <c r="M5" s="302"/>
      <c r="N5" s="302"/>
      <c r="O5" s="302"/>
      <c r="P5" s="302"/>
    </row>
    <row r="6" spans="1:16" ht="15" customHeight="1">
      <c r="A6" s="305" t="s">
        <v>1178</v>
      </c>
      <c r="B6" s="1113" t="s">
        <v>1667</v>
      </c>
      <c r="C6" s="1113"/>
    </row>
    <row r="7" spans="1:16" ht="15" customHeight="1">
      <c r="A7" s="305" t="s">
        <v>1180</v>
      </c>
      <c r="B7" s="1113"/>
      <c r="C7" s="1113"/>
    </row>
    <row r="8" spans="1:16" ht="15" customHeight="1">
      <c r="A8" s="305" t="s">
        <v>1182</v>
      </c>
      <c r="B8" s="306">
        <v>400000</v>
      </c>
    </row>
    <row r="9" spans="1:16" ht="15" customHeight="1">
      <c r="A9" s="307"/>
      <c r="B9" s="307"/>
      <c r="C9" s="308"/>
    </row>
    <row r="10" spans="1:16" ht="22.5" customHeight="1">
      <c r="A10" s="1112" t="s">
        <v>1183</v>
      </c>
      <c r="B10" s="1112"/>
      <c r="C10" s="1112"/>
      <c r="D10" s="1112"/>
      <c r="E10" s="1112"/>
      <c r="F10" s="1112"/>
      <c r="G10" s="1112"/>
    </row>
    <row r="11" spans="1:16" ht="13.5" customHeight="1">
      <c r="A11" s="309"/>
      <c r="B11" s="309"/>
      <c r="C11" s="309"/>
      <c r="D11" s="309"/>
      <c r="E11" s="309"/>
      <c r="F11" s="309"/>
      <c r="G11" s="309"/>
    </row>
    <row r="12" spans="1:16" ht="15" customHeight="1">
      <c r="A12" s="307" t="s">
        <v>1184</v>
      </c>
      <c r="B12" s="310" t="s">
        <v>1185</v>
      </c>
      <c r="C12" s="308"/>
      <c r="D12" s="311"/>
      <c r="E12" s="311"/>
      <c r="F12" s="312"/>
      <c r="G12" s="312"/>
    </row>
    <row r="13" spans="1:16" ht="15" customHeight="1">
      <c r="A13" s="310"/>
      <c r="B13" s="310"/>
      <c r="C13" s="308"/>
      <c r="D13" s="311"/>
      <c r="E13" s="311"/>
      <c r="F13" s="312"/>
      <c r="G13" s="312"/>
    </row>
    <row r="14" spans="1:16" ht="15" customHeight="1">
      <c r="A14" s="310"/>
      <c r="B14" s="310"/>
      <c r="C14" s="308"/>
      <c r="D14" s="311"/>
      <c r="E14" s="311"/>
      <c r="F14" s="312"/>
      <c r="G14" s="312"/>
    </row>
    <row r="15" spans="1:16" ht="15" customHeight="1">
      <c r="A15" s="307" t="s">
        <v>1404</v>
      </c>
      <c r="B15" s="310" t="s">
        <v>232</v>
      </c>
      <c r="C15" s="313" t="s">
        <v>1188</v>
      </c>
      <c r="D15" s="314">
        <f>N16+N18+N20</f>
        <v>2.444</v>
      </c>
      <c r="E15" s="311" t="s">
        <v>23</v>
      </c>
      <c r="F15" s="312"/>
      <c r="G15" s="312"/>
      <c r="H15" s="299">
        <v>0.4</v>
      </c>
      <c r="J15" s="299" t="s">
        <v>1405</v>
      </c>
      <c r="K15" s="299" t="s">
        <v>1406</v>
      </c>
      <c r="L15" s="299" t="s">
        <v>1407</v>
      </c>
      <c r="N15" s="299" t="s">
        <v>1408</v>
      </c>
    </row>
    <row r="16" spans="1:16" ht="15" customHeight="1">
      <c r="A16" s="310"/>
      <c r="B16" s="310"/>
      <c r="C16" s="308"/>
      <c r="D16" s="311"/>
      <c r="E16" s="311"/>
      <c r="F16" s="312"/>
      <c r="G16" s="312"/>
      <c r="H16" s="299">
        <v>0.4</v>
      </c>
      <c r="J16" s="299">
        <v>0.6</v>
      </c>
      <c r="K16" s="299">
        <v>0.6</v>
      </c>
      <c r="L16" s="299">
        <v>0.1</v>
      </c>
      <c r="M16" s="299">
        <v>4</v>
      </c>
      <c r="N16" s="299">
        <f t="shared" ref="N16:N20" si="0">J16*K16*L16*M16</f>
        <v>0.14399999999999999</v>
      </c>
    </row>
    <row r="17" spans="1:14" ht="15" customHeight="1">
      <c r="A17" s="310" t="s">
        <v>1341</v>
      </c>
      <c r="B17" s="310"/>
      <c r="C17" s="308"/>
      <c r="D17" s="311"/>
      <c r="E17" s="311"/>
      <c r="F17" s="312"/>
      <c r="G17" s="312"/>
      <c r="J17" s="299" t="s">
        <v>1405</v>
      </c>
      <c r="K17" s="299" t="s">
        <v>1406</v>
      </c>
      <c r="L17" s="299" t="s">
        <v>1407</v>
      </c>
      <c r="N17" s="299" t="s">
        <v>1408</v>
      </c>
    </row>
    <row r="18" spans="1:14" ht="26.25" customHeight="1">
      <c r="A18" s="310"/>
      <c r="B18" s="310"/>
      <c r="C18" s="308"/>
      <c r="D18" s="311" t="s">
        <v>1409</v>
      </c>
      <c r="E18" s="311" t="s">
        <v>1410</v>
      </c>
      <c r="F18" s="312" t="s">
        <v>1411</v>
      </c>
      <c r="G18" s="312" t="s">
        <v>1217</v>
      </c>
      <c r="J18" s="299">
        <v>0.25</v>
      </c>
      <c r="K18" s="299">
        <v>0.25</v>
      </c>
      <c r="L18" s="299">
        <v>2</v>
      </c>
      <c r="M18" s="299">
        <v>4</v>
      </c>
      <c r="N18" s="299">
        <f t="shared" si="0"/>
        <v>0.5</v>
      </c>
    </row>
    <row r="19" spans="1:14" ht="15" customHeight="1">
      <c r="A19" s="310"/>
      <c r="B19" s="310"/>
      <c r="C19" s="315" t="s">
        <v>1412</v>
      </c>
      <c r="D19" s="316">
        <v>1</v>
      </c>
      <c r="E19" s="316">
        <v>6</v>
      </c>
      <c r="F19" s="317">
        <v>718</v>
      </c>
      <c r="G19" s="318">
        <f>F19*E19*D19</f>
        <v>4308</v>
      </c>
      <c r="J19" s="299" t="s">
        <v>1405</v>
      </c>
      <c r="K19" s="299" t="s">
        <v>1406</v>
      </c>
      <c r="L19" s="299" t="s">
        <v>1407</v>
      </c>
      <c r="N19" s="299" t="s">
        <v>1408</v>
      </c>
    </row>
    <row r="20" spans="1:14" ht="15" customHeight="1">
      <c r="A20" s="310"/>
      <c r="B20" s="310"/>
      <c r="C20" s="315" t="s">
        <v>1413</v>
      </c>
      <c r="D20" s="316">
        <v>1</v>
      </c>
      <c r="E20" s="316">
        <f>E19</f>
        <v>6</v>
      </c>
      <c r="F20" s="317">
        <v>528.79999999999995</v>
      </c>
      <c r="G20" s="318">
        <f>F20*E20*D20</f>
        <v>3172.7999999999997</v>
      </c>
      <c r="J20" s="299">
        <v>3</v>
      </c>
      <c r="K20" s="299">
        <v>6</v>
      </c>
      <c r="L20" s="299">
        <v>0.1</v>
      </c>
      <c r="M20" s="299">
        <v>1</v>
      </c>
      <c r="N20" s="299">
        <f t="shared" si="0"/>
        <v>1.8</v>
      </c>
    </row>
    <row r="21" spans="1:14" ht="15" customHeight="1">
      <c r="A21" s="310"/>
      <c r="B21" s="310"/>
      <c r="C21" s="315" t="s">
        <v>1414</v>
      </c>
      <c r="D21" s="316">
        <v>2</v>
      </c>
      <c r="E21" s="316">
        <f>E20</f>
        <v>6</v>
      </c>
      <c r="F21" s="317">
        <v>490.72</v>
      </c>
      <c r="G21" s="318">
        <f>F21*E21*D21</f>
        <v>5888.64</v>
      </c>
    </row>
    <row r="22" spans="1:14" ht="15" customHeight="1">
      <c r="A22" s="310"/>
      <c r="B22" s="310"/>
      <c r="C22" s="315" t="s">
        <v>1415</v>
      </c>
      <c r="D22" s="316">
        <v>2</v>
      </c>
      <c r="E22" s="316">
        <f>E21</f>
        <v>6</v>
      </c>
      <c r="F22" s="317">
        <v>442.5</v>
      </c>
      <c r="G22" s="319">
        <f>F22*E22*D22</f>
        <v>5310</v>
      </c>
    </row>
    <row r="23" spans="1:14" ht="15" customHeight="1">
      <c r="A23" s="310"/>
      <c r="B23" s="310"/>
      <c r="C23" s="308"/>
      <c r="D23" s="311"/>
      <c r="E23" s="311"/>
      <c r="F23" s="320" t="s">
        <v>1211</v>
      </c>
      <c r="G23" s="312">
        <f>SUM(G19:G22)</f>
        <v>18679.439999999999</v>
      </c>
      <c r="H23" s="321">
        <f>G23/G32</f>
        <v>0.4744654737278457</v>
      </c>
    </row>
    <row r="24" spans="1:14" ht="15" customHeight="1">
      <c r="A24" s="310" t="s">
        <v>1215</v>
      </c>
      <c r="H24" s="299">
        <v>1</v>
      </c>
    </row>
    <row r="25" spans="1:14" ht="15" customHeight="1">
      <c r="A25" s="310"/>
      <c r="B25" s="310"/>
      <c r="C25" s="322"/>
      <c r="D25" s="311" t="s">
        <v>173</v>
      </c>
      <c r="E25" s="311" t="s">
        <v>297</v>
      </c>
      <c r="F25" s="320" t="s">
        <v>1216</v>
      </c>
      <c r="G25" s="312" t="s">
        <v>1217</v>
      </c>
      <c r="H25" s="299" t="e">
        <f>#REF!</f>
        <v>#REF!</v>
      </c>
    </row>
    <row r="26" spans="1:14" ht="15" customHeight="1">
      <c r="A26" s="310"/>
      <c r="B26" s="310"/>
      <c r="C26" s="308"/>
      <c r="D26" s="311"/>
      <c r="E26" s="311"/>
      <c r="F26" s="320"/>
      <c r="G26" s="312"/>
      <c r="H26" s="299" t="e">
        <f>H15*H16*H24*H25</f>
        <v>#REF!</v>
      </c>
    </row>
    <row r="27" spans="1:14" ht="15" customHeight="1">
      <c r="A27" s="310"/>
      <c r="B27" s="310"/>
      <c r="C27" s="323" t="s">
        <v>1416</v>
      </c>
      <c r="D27" s="324">
        <f>ROUNDUP(D$15*9.5,0)</f>
        <v>24</v>
      </c>
      <c r="E27" s="325" t="s">
        <v>336</v>
      </c>
      <c r="F27" s="326">
        <v>310</v>
      </c>
      <c r="G27" s="318">
        <f t="shared" ref="G27:G29" si="1">F27*D27</f>
        <v>7440</v>
      </c>
    </row>
    <row r="28" spans="1:14" ht="15" customHeight="1">
      <c r="A28" s="310"/>
      <c r="B28" s="310"/>
      <c r="C28" s="323" t="s">
        <v>346</v>
      </c>
      <c r="D28" s="324">
        <v>10</v>
      </c>
      <c r="E28" s="325" t="s">
        <v>23</v>
      </c>
      <c r="F28" s="326">
        <v>600</v>
      </c>
      <c r="G28" s="318">
        <f t="shared" si="1"/>
        <v>6000</v>
      </c>
    </row>
    <row r="29" spans="1:14" ht="15" customHeight="1">
      <c r="A29" s="310"/>
      <c r="B29" s="310"/>
      <c r="C29" s="327" t="s">
        <v>1417</v>
      </c>
      <c r="D29" s="324">
        <v>5</v>
      </c>
      <c r="E29" s="325" t="s">
        <v>23</v>
      </c>
      <c r="F29" s="326">
        <v>1450</v>
      </c>
      <c r="G29" s="328">
        <f t="shared" si="1"/>
        <v>7250</v>
      </c>
    </row>
    <row r="30" spans="1:14" ht="15" customHeight="1">
      <c r="A30" s="310"/>
      <c r="B30" s="310"/>
      <c r="C30" s="308"/>
      <c r="D30" s="311"/>
      <c r="E30" s="311"/>
      <c r="F30" s="320" t="s">
        <v>1211</v>
      </c>
      <c r="G30" s="307">
        <f>SUM(G27:G29)</f>
        <v>20690</v>
      </c>
    </row>
    <row r="31" spans="1:14" ht="15" customHeight="1">
      <c r="A31" s="310"/>
      <c r="B31" s="310"/>
      <c r="C31" s="308"/>
      <c r="D31" s="311"/>
      <c r="E31" s="311"/>
    </row>
    <row r="32" spans="1:14" ht="15" customHeight="1">
      <c r="A32" s="310"/>
      <c r="B32" s="310"/>
      <c r="C32" s="308"/>
      <c r="D32" s="311"/>
      <c r="E32" s="311"/>
      <c r="F32" s="320" t="s">
        <v>1212</v>
      </c>
      <c r="G32" s="312">
        <f>G30+G23</f>
        <v>39369.440000000002</v>
      </c>
    </row>
    <row r="33" spans="1:12" ht="15" customHeight="1">
      <c r="A33" s="310"/>
      <c r="B33" s="310"/>
      <c r="C33" s="308"/>
      <c r="D33" s="311"/>
      <c r="E33" s="311"/>
      <c r="F33" s="320" t="s">
        <v>1213</v>
      </c>
      <c r="G33" s="312">
        <f>G32/D15</f>
        <v>16108.608837970542</v>
      </c>
    </row>
    <row r="34" spans="1:12" ht="15" customHeight="1">
      <c r="A34" s="310"/>
      <c r="B34" s="310"/>
      <c r="C34" s="308"/>
      <c r="D34" s="311"/>
      <c r="E34" s="311"/>
    </row>
    <row r="35" spans="1:12" ht="15" customHeight="1">
      <c r="A35" s="307" t="s">
        <v>1418</v>
      </c>
      <c r="B35" s="310" t="s">
        <v>298</v>
      </c>
      <c r="C35" s="313" t="s">
        <v>1188</v>
      </c>
      <c r="D35" s="311">
        <f>SUM(L37,L40,L44,)*0.616</f>
        <v>1456.84</v>
      </c>
      <c r="E35" s="311" t="s">
        <v>238</v>
      </c>
      <c r="F35" s="312"/>
      <c r="G35" s="312"/>
      <c r="H35" s="299">
        <v>0.4</v>
      </c>
      <c r="J35" s="299" t="s">
        <v>1419</v>
      </c>
    </row>
    <row r="36" spans="1:12" ht="15" customHeight="1">
      <c r="A36" s="310"/>
      <c r="B36" s="310"/>
      <c r="C36" s="308"/>
      <c r="D36" s="311"/>
      <c r="E36" s="311"/>
      <c r="F36" s="312"/>
      <c r="G36" s="312"/>
      <c r="H36" s="299">
        <v>0.4</v>
      </c>
      <c r="J36" s="299" t="s">
        <v>1420</v>
      </c>
      <c r="K36" s="299" t="s">
        <v>195</v>
      </c>
      <c r="L36" s="299" t="s">
        <v>1421</v>
      </c>
    </row>
    <row r="37" spans="1:12" ht="15" customHeight="1">
      <c r="A37" s="310" t="s">
        <v>1341</v>
      </c>
      <c r="B37" s="310"/>
      <c r="C37" s="308"/>
      <c r="D37" s="311"/>
      <c r="E37" s="311"/>
      <c r="F37" s="312"/>
      <c r="G37" s="312"/>
      <c r="J37" s="299">
        <v>3</v>
      </c>
      <c r="K37" s="299">
        <f>110/0.4</f>
        <v>275</v>
      </c>
      <c r="L37" s="299">
        <f>J37*K37</f>
        <v>825</v>
      </c>
    </row>
    <row r="38" spans="1:12" ht="26.25" customHeight="1">
      <c r="A38" s="310"/>
      <c r="B38" s="310"/>
      <c r="C38" s="308"/>
      <c r="D38" s="311" t="s">
        <v>1409</v>
      </c>
      <c r="E38" s="311" t="s">
        <v>1410</v>
      </c>
      <c r="F38" s="312" t="s">
        <v>1411</v>
      </c>
      <c r="G38" s="312" t="s">
        <v>1217</v>
      </c>
    </row>
    <row r="39" spans="1:12" ht="15" customHeight="1">
      <c r="A39" s="310"/>
      <c r="B39" s="310"/>
      <c r="C39" s="315" t="s">
        <v>1412</v>
      </c>
      <c r="D39" s="316">
        <v>1</v>
      </c>
      <c r="E39" s="316">
        <v>4</v>
      </c>
      <c r="F39" s="317">
        <v>718</v>
      </c>
      <c r="G39" s="318">
        <f t="shared" ref="G39:G41" si="2">F39*E39*D39</f>
        <v>2872</v>
      </c>
      <c r="J39" s="299" t="s">
        <v>1422</v>
      </c>
    </row>
    <row r="40" spans="1:12" ht="15" customHeight="1">
      <c r="A40" s="310"/>
      <c r="B40" s="310"/>
      <c r="C40" s="315" t="s">
        <v>1423</v>
      </c>
      <c r="D40" s="316">
        <v>1</v>
      </c>
      <c r="E40" s="316">
        <f>E39</f>
        <v>4</v>
      </c>
      <c r="F40" s="317">
        <v>490.72</v>
      </c>
      <c r="G40" s="318">
        <f t="shared" si="2"/>
        <v>1962.88</v>
      </c>
      <c r="J40" s="299">
        <v>110</v>
      </c>
      <c r="K40" s="299">
        <v>10</v>
      </c>
      <c r="L40" s="299">
        <f>J40*K40</f>
        <v>1100</v>
      </c>
    </row>
    <row r="41" spans="1:12" ht="15" customHeight="1">
      <c r="A41" s="310"/>
      <c r="B41" s="310"/>
      <c r="C41" s="315" t="s">
        <v>1415</v>
      </c>
      <c r="D41" s="316">
        <v>2</v>
      </c>
      <c r="E41" s="316">
        <f t="shared" ref="E41" si="3">E40</f>
        <v>4</v>
      </c>
      <c r="F41" s="317">
        <v>442.5</v>
      </c>
      <c r="G41" s="319">
        <f t="shared" si="2"/>
        <v>3540</v>
      </c>
    </row>
    <row r="42" spans="1:12" ht="15" customHeight="1">
      <c r="A42" s="310"/>
      <c r="B42" s="310"/>
      <c r="C42" s="308"/>
      <c r="D42" s="311"/>
      <c r="E42" s="311"/>
      <c r="F42" s="320" t="s">
        <v>1211</v>
      </c>
      <c r="G42" s="312">
        <f>SUM(G39:G41)</f>
        <v>8374.880000000001</v>
      </c>
      <c r="H42" s="321">
        <f>G42/G52</f>
        <v>0.45404903691430903</v>
      </c>
      <c r="J42" s="299" t="s">
        <v>1424</v>
      </c>
    </row>
    <row r="43" spans="1:12" ht="15" customHeight="1">
      <c r="A43" s="310" t="s">
        <v>1215</v>
      </c>
      <c r="H43" s="299">
        <v>1</v>
      </c>
      <c r="J43" s="299" t="s">
        <v>1420</v>
      </c>
      <c r="K43" s="299" t="s">
        <v>195</v>
      </c>
      <c r="L43" s="299" t="s">
        <v>1421</v>
      </c>
    </row>
    <row r="44" spans="1:12" ht="15" customHeight="1">
      <c r="A44" s="310"/>
      <c r="B44" s="310"/>
      <c r="C44" s="322"/>
      <c r="D44" s="311" t="s">
        <v>173</v>
      </c>
      <c r="E44" s="311" t="s">
        <v>297</v>
      </c>
      <c r="F44" s="320" t="s">
        <v>1216</v>
      </c>
      <c r="G44" s="312" t="s">
        <v>1217</v>
      </c>
      <c r="H44" s="299" t="e">
        <f>#REF!</f>
        <v>#REF!</v>
      </c>
      <c r="J44" s="299">
        <v>4</v>
      </c>
      <c r="K44" s="299">
        <v>110</v>
      </c>
      <c r="L44" s="299">
        <f>J44*K44</f>
        <v>440</v>
      </c>
    </row>
    <row r="45" spans="1:12" ht="15" customHeight="1">
      <c r="A45" s="310"/>
      <c r="B45" s="310"/>
      <c r="C45" s="308"/>
      <c r="D45" s="311"/>
      <c r="E45" s="311"/>
      <c r="F45" s="320"/>
      <c r="G45" s="312"/>
      <c r="H45" s="299" t="e">
        <f>H35*H36*H43*H44</f>
        <v>#REF!</v>
      </c>
    </row>
    <row r="46" spans="1:12" ht="15" customHeight="1">
      <c r="A46" s="310"/>
      <c r="B46" s="310"/>
      <c r="C46" s="323" t="s">
        <v>1425</v>
      </c>
      <c r="D46" s="324">
        <v>20</v>
      </c>
      <c r="E46" s="325" t="s">
        <v>350</v>
      </c>
      <c r="F46" s="326">
        <v>210</v>
      </c>
      <c r="G46" s="318">
        <f t="shared" ref="G46:G49" si="4">F46*D46</f>
        <v>4200</v>
      </c>
    </row>
    <row r="47" spans="1:12" ht="15" customHeight="1">
      <c r="A47" s="310"/>
      <c r="B47" s="310"/>
      <c r="C47" s="323" t="s">
        <v>1426</v>
      </c>
      <c r="D47" s="324">
        <v>12</v>
      </c>
      <c r="E47" s="325" t="s">
        <v>350</v>
      </c>
      <c r="F47" s="326">
        <v>310</v>
      </c>
      <c r="G47" s="318">
        <f t="shared" si="4"/>
        <v>3720</v>
      </c>
    </row>
    <row r="48" spans="1:12" ht="15" customHeight="1">
      <c r="A48" s="310"/>
      <c r="B48" s="310"/>
      <c r="C48" s="323" t="s">
        <v>1427</v>
      </c>
      <c r="D48" s="324">
        <v>10</v>
      </c>
      <c r="E48" s="325" t="s">
        <v>21</v>
      </c>
      <c r="F48" s="326">
        <v>110</v>
      </c>
      <c r="G48" s="318">
        <f t="shared" si="4"/>
        <v>1100</v>
      </c>
    </row>
    <row r="49" spans="1:11" ht="15" customHeight="1">
      <c r="A49" s="310"/>
      <c r="B49" s="310"/>
      <c r="C49" s="327" t="s">
        <v>1428</v>
      </c>
      <c r="D49" s="324">
        <v>5</v>
      </c>
      <c r="E49" s="325" t="s">
        <v>21</v>
      </c>
      <c r="F49" s="326">
        <v>210</v>
      </c>
      <c r="G49" s="328">
        <f t="shared" si="4"/>
        <v>1050</v>
      </c>
    </row>
    <row r="50" spans="1:11" ht="15" customHeight="1">
      <c r="A50" s="310"/>
      <c r="B50" s="310"/>
      <c r="C50" s="308"/>
      <c r="D50" s="311"/>
      <c r="E50" s="311"/>
      <c r="F50" s="320" t="s">
        <v>1211</v>
      </c>
      <c r="G50" s="307">
        <f>SUM(G46:G49)</f>
        <v>10070</v>
      </c>
      <c r="K50" s="299">
        <f>4*0.3+2</f>
        <v>3.2</v>
      </c>
    </row>
    <row r="51" spans="1:11" ht="15" customHeight="1">
      <c r="A51" s="310"/>
      <c r="B51" s="310"/>
      <c r="C51" s="308"/>
      <c r="D51" s="311"/>
      <c r="E51" s="311"/>
    </row>
    <row r="52" spans="1:11" ht="15" customHeight="1">
      <c r="A52" s="310"/>
      <c r="B52" s="310"/>
      <c r="C52" s="308"/>
      <c r="D52" s="311"/>
      <c r="E52" s="311"/>
      <c r="F52" s="320" t="s">
        <v>1212</v>
      </c>
      <c r="G52" s="312">
        <f>G50+G42</f>
        <v>18444.88</v>
      </c>
    </row>
    <row r="53" spans="1:11" ht="15" customHeight="1">
      <c r="A53" s="310"/>
      <c r="B53" s="310"/>
      <c r="C53" s="308"/>
      <c r="D53" s="311"/>
      <c r="E53" s="311"/>
      <c r="F53" s="320" t="s">
        <v>1213</v>
      </c>
      <c r="G53" s="312">
        <f>G52/D35</f>
        <v>12.660882457922629</v>
      </c>
    </row>
    <row r="54" spans="1:11" ht="15" customHeight="1">
      <c r="A54" s="310"/>
      <c r="B54" s="310"/>
      <c r="C54" s="308"/>
      <c r="D54" s="311"/>
      <c r="E54" s="311"/>
    </row>
    <row r="55" spans="1:11" ht="15" customHeight="1">
      <c r="A55" s="307" t="s">
        <v>1429</v>
      </c>
      <c r="B55" s="310" t="s">
        <v>167</v>
      </c>
      <c r="C55" s="313" t="s">
        <v>1188</v>
      </c>
      <c r="D55" s="314">
        <v>1</v>
      </c>
      <c r="E55" s="311" t="s">
        <v>307</v>
      </c>
      <c r="F55" s="312"/>
      <c r="G55" s="312"/>
    </row>
    <row r="56" spans="1:11" ht="15" customHeight="1">
      <c r="A56" s="310"/>
      <c r="B56" s="310"/>
      <c r="C56" s="322"/>
      <c r="D56" s="329"/>
      <c r="E56" s="329"/>
      <c r="F56" s="312"/>
      <c r="G56" s="312"/>
    </row>
    <row r="57" spans="1:11" ht="15" customHeight="1">
      <c r="A57" s="310" t="s">
        <v>1341</v>
      </c>
      <c r="B57" s="310"/>
      <c r="C57" s="308"/>
      <c r="D57" s="311"/>
      <c r="E57" s="311"/>
      <c r="F57" s="312"/>
      <c r="G57" s="312"/>
    </row>
    <row r="58" spans="1:11" ht="26.25" customHeight="1">
      <c r="A58" s="310"/>
      <c r="B58" s="310"/>
      <c r="C58" s="308"/>
      <c r="D58" s="311" t="s">
        <v>1409</v>
      </c>
      <c r="E58" s="311" t="s">
        <v>1410</v>
      </c>
      <c r="F58" s="312" t="s">
        <v>1411</v>
      </c>
      <c r="G58" s="312" t="s">
        <v>1217</v>
      </c>
    </row>
    <row r="59" spans="1:11" ht="15" customHeight="1">
      <c r="A59" s="310"/>
      <c r="B59" s="310"/>
      <c r="C59" s="315" t="s">
        <v>1412</v>
      </c>
      <c r="D59" s="316">
        <v>1</v>
      </c>
      <c r="E59" s="316">
        <v>2</v>
      </c>
      <c r="F59" s="317">
        <v>718</v>
      </c>
      <c r="G59" s="318">
        <f>F59*E59*D59</f>
        <v>1436</v>
      </c>
    </row>
    <row r="60" spans="1:11" ht="15" customHeight="1">
      <c r="A60" s="310"/>
      <c r="B60" s="310"/>
      <c r="C60" s="315" t="s">
        <v>1413</v>
      </c>
      <c r="D60" s="316">
        <v>1</v>
      </c>
      <c r="E60" s="316">
        <f>E59</f>
        <v>2</v>
      </c>
      <c r="F60" s="317">
        <v>490.72</v>
      </c>
      <c r="G60" s="318">
        <f>F60*E60*D60</f>
        <v>981.44</v>
      </c>
    </row>
    <row r="61" spans="1:11" ht="15" customHeight="1">
      <c r="A61" s="310"/>
      <c r="B61" s="310"/>
      <c r="C61" s="315" t="s">
        <v>1415</v>
      </c>
      <c r="D61" s="316">
        <v>1</v>
      </c>
      <c r="E61" s="316">
        <f>E60</f>
        <v>2</v>
      </c>
      <c r="F61" s="317">
        <v>341</v>
      </c>
      <c r="G61" s="319">
        <f>F61*E61*D61</f>
        <v>682</v>
      </c>
    </row>
    <row r="62" spans="1:11" ht="15" customHeight="1">
      <c r="A62" s="310"/>
      <c r="B62" s="310"/>
      <c r="C62" s="308"/>
      <c r="D62" s="311"/>
      <c r="E62" s="311"/>
      <c r="F62" s="320" t="s">
        <v>1211</v>
      </c>
      <c r="G62" s="312">
        <f>SUM(G59:G61)</f>
        <v>3099.44</v>
      </c>
      <c r="H62" s="299">
        <f>G62/G76</f>
        <v>0.24101395940684922</v>
      </c>
      <c r="J62" s="299">
        <v>1</v>
      </c>
    </row>
    <row r="63" spans="1:11" ht="15" customHeight="1">
      <c r="A63" s="310"/>
      <c r="B63" s="310"/>
      <c r="C63" s="308"/>
      <c r="D63" s="311"/>
      <c r="E63" s="311"/>
      <c r="F63" s="312"/>
      <c r="G63" s="312"/>
    </row>
    <row r="64" spans="1:11" ht="15" customHeight="1">
      <c r="A64" s="310" t="s">
        <v>1215</v>
      </c>
    </row>
    <row r="65" spans="1:10" ht="15" customHeight="1">
      <c r="A65" s="310"/>
      <c r="B65" s="310"/>
      <c r="C65" s="322"/>
      <c r="D65" s="311" t="s">
        <v>173</v>
      </c>
      <c r="E65" s="311" t="s">
        <v>297</v>
      </c>
      <c r="F65" s="320" t="s">
        <v>1216</v>
      </c>
      <c r="G65" s="312" t="s">
        <v>1217</v>
      </c>
    </row>
    <row r="66" spans="1:10" ht="15" customHeight="1">
      <c r="A66" s="310"/>
      <c r="B66" s="310"/>
      <c r="C66" s="330"/>
      <c r="D66" s="311"/>
      <c r="E66" s="311"/>
      <c r="F66" s="320"/>
      <c r="G66" s="312"/>
    </row>
    <row r="67" spans="1:10" ht="15" customHeight="1">
      <c r="A67" s="310"/>
      <c r="B67" s="310"/>
      <c r="C67" s="331" t="s">
        <v>1430</v>
      </c>
      <c r="D67" s="324">
        <f>20*6</f>
        <v>120</v>
      </c>
      <c r="E67" s="324" t="s">
        <v>585</v>
      </c>
      <c r="F67" s="324">
        <v>38</v>
      </c>
      <c r="G67" s="318">
        <f>D67*F67</f>
        <v>4560</v>
      </c>
      <c r="J67" s="299">
        <f>D67*5</f>
        <v>600</v>
      </c>
    </row>
    <row r="68" spans="1:10" ht="15" customHeight="1">
      <c r="A68" s="310"/>
      <c r="B68" s="310"/>
      <c r="C68" s="331" t="s">
        <v>1431</v>
      </c>
      <c r="D68" s="324">
        <f>20*4</f>
        <v>80</v>
      </c>
      <c r="E68" s="324" t="s">
        <v>585</v>
      </c>
      <c r="F68" s="324">
        <v>38</v>
      </c>
      <c r="G68" s="318">
        <f>D68*F68</f>
        <v>3040</v>
      </c>
      <c r="J68" s="299">
        <f t="shared" ref="J68:J75" si="5">D68*5</f>
        <v>400</v>
      </c>
    </row>
    <row r="69" spans="1:10" ht="15" customHeight="1">
      <c r="A69" s="310"/>
      <c r="B69" s="310"/>
      <c r="C69" s="332" t="s">
        <v>1432</v>
      </c>
      <c r="D69" s="324">
        <v>4</v>
      </c>
      <c r="E69" s="324" t="s">
        <v>1221</v>
      </c>
      <c r="F69" s="324">
        <v>714</v>
      </c>
      <c r="G69" s="318">
        <f>D69*F69</f>
        <v>2856</v>
      </c>
      <c r="J69" s="299">
        <f t="shared" si="5"/>
        <v>20</v>
      </c>
    </row>
    <row r="70" spans="1:10" ht="15" customHeight="1">
      <c r="A70" s="310"/>
      <c r="B70" s="310"/>
      <c r="C70" s="331" t="s">
        <v>1433</v>
      </c>
      <c r="D70" s="333">
        <v>4</v>
      </c>
      <c r="E70" s="329" t="s">
        <v>469</v>
      </c>
      <c r="F70" s="334">
        <v>68</v>
      </c>
      <c r="G70" s="318">
        <f t="shared" ref="G70:G75" si="6">D70*F70</f>
        <v>272</v>
      </c>
      <c r="J70" s="299">
        <f t="shared" si="5"/>
        <v>20</v>
      </c>
    </row>
    <row r="71" spans="1:10" ht="15" customHeight="1">
      <c r="A71" s="310"/>
      <c r="B71" s="310"/>
      <c r="C71" s="331" t="s">
        <v>1223</v>
      </c>
      <c r="D71" s="333">
        <v>5</v>
      </c>
      <c r="E71" s="329" t="s">
        <v>238</v>
      </c>
      <c r="F71" s="334">
        <v>94</v>
      </c>
      <c r="G71" s="318">
        <f t="shared" si="6"/>
        <v>470</v>
      </c>
      <c r="J71" s="299">
        <f t="shared" si="5"/>
        <v>25</v>
      </c>
    </row>
    <row r="72" spans="1:10" ht="15" customHeight="1">
      <c r="A72" s="310"/>
      <c r="B72" s="310"/>
      <c r="C72" s="331" t="s">
        <v>1434</v>
      </c>
      <c r="D72" s="333">
        <v>5</v>
      </c>
      <c r="E72" s="329" t="s">
        <v>238</v>
      </c>
      <c r="F72" s="335">
        <v>94</v>
      </c>
      <c r="G72" s="318">
        <f t="shared" si="6"/>
        <v>470</v>
      </c>
      <c r="J72" s="299">
        <f t="shared" si="5"/>
        <v>25</v>
      </c>
    </row>
    <row r="73" spans="1:10" ht="15" customHeight="1">
      <c r="A73" s="310"/>
      <c r="B73" s="310"/>
      <c r="C73" s="331" t="s">
        <v>1427</v>
      </c>
      <c r="D73" s="333">
        <v>3.1181999999999999</v>
      </c>
      <c r="E73" s="329" t="s">
        <v>238</v>
      </c>
      <c r="F73" s="335">
        <v>110</v>
      </c>
      <c r="G73" s="318">
        <f t="shared" si="6"/>
        <v>343.00200000000001</v>
      </c>
      <c r="H73" s="299">
        <f>H352</f>
        <v>-5719.7619999999879</v>
      </c>
      <c r="J73" s="299">
        <f t="shared" si="5"/>
        <v>15.590999999999999</v>
      </c>
    </row>
    <row r="74" spans="1:10" ht="15" customHeight="1">
      <c r="A74" s="310"/>
      <c r="B74" s="310"/>
      <c r="C74" s="331" t="s">
        <v>1225</v>
      </c>
      <c r="D74" s="333">
        <v>3</v>
      </c>
      <c r="E74" s="329" t="s">
        <v>238</v>
      </c>
      <c r="F74" s="334">
        <v>94</v>
      </c>
      <c r="G74" s="336">
        <f t="shared" si="6"/>
        <v>282</v>
      </c>
      <c r="J74" s="299">
        <f t="shared" si="5"/>
        <v>15</v>
      </c>
    </row>
    <row r="75" spans="1:10" ht="15" customHeight="1">
      <c r="A75" s="310"/>
      <c r="B75" s="310"/>
      <c r="C75" s="331" t="s">
        <v>1435</v>
      </c>
      <c r="D75" s="333">
        <v>3</v>
      </c>
      <c r="E75" s="329" t="s">
        <v>16</v>
      </c>
      <c r="F75" s="334">
        <v>189</v>
      </c>
      <c r="G75" s="319">
        <f t="shared" si="6"/>
        <v>567</v>
      </c>
      <c r="J75" s="299">
        <f t="shared" si="5"/>
        <v>15</v>
      </c>
    </row>
    <row r="76" spans="1:10" ht="15" customHeight="1">
      <c r="A76" s="310"/>
      <c r="B76" s="310"/>
      <c r="C76" s="331"/>
      <c r="D76" s="311"/>
      <c r="E76" s="311"/>
      <c r="F76" s="320" t="s">
        <v>1211</v>
      </c>
      <c r="G76" s="307">
        <f>SUM(G67:G75)</f>
        <v>12860.002</v>
      </c>
      <c r="H76" s="299">
        <f>G76*5</f>
        <v>64300.01</v>
      </c>
    </row>
    <row r="77" spans="1:10" ht="15" customHeight="1">
      <c r="A77" s="310"/>
      <c r="B77" s="310"/>
      <c r="C77" s="308"/>
      <c r="D77" s="311"/>
      <c r="E77" s="311"/>
      <c r="F77" s="320"/>
      <c r="G77" s="312"/>
    </row>
    <row r="78" spans="1:10" ht="15" customHeight="1">
      <c r="A78" s="310"/>
      <c r="B78" s="310"/>
      <c r="C78" s="308"/>
      <c r="D78" s="311"/>
      <c r="E78" s="311"/>
      <c r="F78" s="320" t="s">
        <v>1212</v>
      </c>
      <c r="G78" s="312">
        <f>G76+G62</f>
        <v>15959.442000000001</v>
      </c>
    </row>
    <row r="79" spans="1:10" ht="15" customHeight="1">
      <c r="A79" s="310"/>
      <c r="B79" s="310"/>
      <c r="C79" s="308"/>
      <c r="D79" s="311"/>
      <c r="E79" s="311"/>
      <c r="F79" s="320" t="s">
        <v>1213</v>
      </c>
      <c r="G79" s="312">
        <f>G78/D55</f>
        <v>15959.442000000001</v>
      </c>
    </row>
    <row r="81" spans="1:12" ht="15" customHeight="1">
      <c r="A81" s="307" t="s">
        <v>1436</v>
      </c>
      <c r="B81" s="1109" t="s">
        <v>1437</v>
      </c>
      <c r="C81" s="313" t="s">
        <v>1188</v>
      </c>
      <c r="D81" s="314">
        <v>24</v>
      </c>
      <c r="E81" s="311" t="s">
        <v>112</v>
      </c>
      <c r="F81" s="312"/>
      <c r="G81" s="312"/>
    </row>
    <row r="82" spans="1:12" ht="15" customHeight="1">
      <c r="A82" s="310"/>
      <c r="B82" s="1109"/>
      <c r="C82" s="322"/>
      <c r="D82" s="329"/>
      <c r="E82" s="329"/>
      <c r="F82" s="312"/>
      <c r="G82" s="312"/>
    </row>
    <row r="83" spans="1:12" ht="15" customHeight="1">
      <c r="A83" s="310"/>
      <c r="B83" s="337"/>
      <c r="C83" s="322"/>
      <c r="D83" s="329"/>
      <c r="E83" s="329"/>
      <c r="F83" s="312"/>
      <c r="G83" s="312"/>
    </row>
    <row r="84" spans="1:12" ht="15" customHeight="1">
      <c r="A84" s="310" t="s">
        <v>1341</v>
      </c>
      <c r="B84" s="310"/>
      <c r="C84" s="308"/>
      <c r="D84" s="311"/>
      <c r="E84" s="311"/>
      <c r="F84" s="312"/>
      <c r="G84" s="312"/>
    </row>
    <row r="85" spans="1:12" ht="26.25" customHeight="1">
      <c r="A85" s="310"/>
      <c r="B85" s="310"/>
      <c r="C85" s="308"/>
      <c r="D85" s="311" t="s">
        <v>1409</v>
      </c>
      <c r="E85" s="311" t="s">
        <v>1410</v>
      </c>
      <c r="F85" s="312" t="s">
        <v>1411</v>
      </c>
      <c r="G85" s="312" t="s">
        <v>1217</v>
      </c>
    </row>
    <row r="86" spans="1:12" ht="15" customHeight="1">
      <c r="A86" s="310"/>
      <c r="B86" s="310"/>
      <c r="C86" s="315" t="s">
        <v>1412</v>
      </c>
      <c r="D86" s="316">
        <v>1</v>
      </c>
      <c r="E86" s="316">
        <v>7</v>
      </c>
      <c r="F86" s="317">
        <v>615</v>
      </c>
      <c r="G86" s="318">
        <f>F86*E86*D86</f>
        <v>4305</v>
      </c>
    </row>
    <row r="87" spans="1:12" ht="15" customHeight="1">
      <c r="A87" s="310"/>
      <c r="B87" s="310"/>
      <c r="C87" s="315" t="s">
        <v>1414</v>
      </c>
      <c r="D87" s="316">
        <v>2</v>
      </c>
      <c r="E87" s="316">
        <f>E86</f>
        <v>7</v>
      </c>
      <c r="F87" s="317">
        <v>390</v>
      </c>
      <c r="G87" s="318">
        <f>F87*E87*D87</f>
        <v>5460</v>
      </c>
    </row>
    <row r="88" spans="1:12" ht="15" customHeight="1">
      <c r="A88" s="310"/>
      <c r="B88" s="310"/>
      <c r="C88" s="315" t="s">
        <v>1415</v>
      </c>
      <c r="D88" s="316">
        <v>3</v>
      </c>
      <c r="E88" s="316">
        <f>E87</f>
        <v>7</v>
      </c>
      <c r="F88" s="317">
        <v>341</v>
      </c>
      <c r="G88" s="319">
        <f>F88*E88*D88</f>
        <v>7161</v>
      </c>
    </row>
    <row r="89" spans="1:12" ht="15" customHeight="1">
      <c r="A89" s="310"/>
      <c r="B89" s="310"/>
      <c r="C89" s="308"/>
      <c r="D89" s="311"/>
      <c r="E89" s="311"/>
      <c r="F89" s="320" t="s">
        <v>1211</v>
      </c>
      <c r="G89" s="312">
        <f>SUM(G86:G88)</f>
        <v>16926</v>
      </c>
      <c r="H89" s="299">
        <f>G89/G97</f>
        <v>0.46245901639344261</v>
      </c>
    </row>
    <row r="90" spans="1:12" ht="15" customHeight="1">
      <c r="A90" s="310" t="s">
        <v>1215</v>
      </c>
    </row>
    <row r="91" spans="1:12" ht="15" customHeight="1">
      <c r="A91" s="310"/>
      <c r="B91" s="310"/>
      <c r="C91" s="322"/>
      <c r="D91" s="311" t="s">
        <v>173</v>
      </c>
      <c r="E91" s="311" t="s">
        <v>297</v>
      </c>
      <c r="F91" s="320" t="s">
        <v>1216</v>
      </c>
      <c r="G91" s="312" t="s">
        <v>1217</v>
      </c>
    </row>
    <row r="92" spans="1:12" ht="15" customHeight="1">
      <c r="A92" s="310"/>
      <c r="B92" s="310"/>
      <c r="C92" s="308"/>
      <c r="D92" s="311"/>
      <c r="E92" s="311"/>
      <c r="F92" s="320"/>
      <c r="G92" s="312"/>
    </row>
    <row r="93" spans="1:12" ht="15" customHeight="1">
      <c r="A93" s="310"/>
      <c r="B93" s="310"/>
      <c r="C93" s="323" t="s">
        <v>364</v>
      </c>
      <c r="D93" s="324">
        <f>D81*12.5</f>
        <v>300</v>
      </c>
      <c r="E93" s="325" t="s">
        <v>21</v>
      </c>
      <c r="F93" s="326">
        <v>13</v>
      </c>
      <c r="G93" s="318">
        <f>F93*D93</f>
        <v>3900</v>
      </c>
      <c r="J93" s="299">
        <f t="shared" ref="J93" si="7">D93*5</f>
        <v>1500</v>
      </c>
    </row>
    <row r="94" spans="1:12" ht="15" customHeight="1">
      <c r="A94" s="310"/>
      <c r="B94" s="310"/>
      <c r="C94" s="323" t="s">
        <v>1425</v>
      </c>
      <c r="D94" s="324">
        <v>20</v>
      </c>
      <c r="E94" s="325" t="s">
        <v>350</v>
      </c>
      <c r="F94" s="326">
        <v>210</v>
      </c>
      <c r="G94" s="318">
        <f t="shared" ref="G94:G96" si="8">F94*D94</f>
        <v>4200</v>
      </c>
      <c r="J94" s="299">
        <f>52+145</f>
        <v>197</v>
      </c>
      <c r="K94" s="299">
        <v>5</v>
      </c>
      <c r="L94" s="299">
        <f>K94*J94</f>
        <v>985</v>
      </c>
    </row>
    <row r="95" spans="1:12" ht="15" customHeight="1">
      <c r="A95" s="310"/>
      <c r="B95" s="310"/>
      <c r="C95" s="323" t="s">
        <v>1416</v>
      </c>
      <c r="D95" s="324">
        <v>90</v>
      </c>
      <c r="E95" s="325" t="s">
        <v>336</v>
      </c>
      <c r="F95" s="326">
        <v>310</v>
      </c>
      <c r="G95" s="336">
        <f t="shared" si="8"/>
        <v>27900</v>
      </c>
    </row>
    <row r="96" spans="1:12" ht="15" customHeight="1">
      <c r="A96" s="310"/>
      <c r="B96" s="310"/>
      <c r="C96" s="323" t="s">
        <v>346</v>
      </c>
      <c r="D96" s="324">
        <f>ROUNDUP(D81*(0.08+0.02),0)-2</f>
        <v>1</v>
      </c>
      <c r="E96" s="325" t="s">
        <v>23</v>
      </c>
      <c r="F96" s="326">
        <v>600</v>
      </c>
      <c r="G96" s="319">
        <f t="shared" si="8"/>
        <v>600</v>
      </c>
    </row>
    <row r="97" spans="1:11" ht="15" customHeight="1">
      <c r="A97" s="310"/>
      <c r="B97" s="310"/>
      <c r="C97" s="308"/>
      <c r="D97" s="311"/>
      <c r="E97" s="311"/>
      <c r="F97" s="320" t="s">
        <v>1211</v>
      </c>
      <c r="G97" s="307">
        <f>SUM(G93:G96)</f>
        <v>36600</v>
      </c>
      <c r="J97" s="299">
        <f>40*5</f>
        <v>200</v>
      </c>
    </row>
    <row r="98" spans="1:11" ht="15" customHeight="1">
      <c r="A98" s="310"/>
      <c r="B98" s="310"/>
      <c r="C98" s="308"/>
      <c r="D98" s="311"/>
      <c r="E98" s="311"/>
    </row>
    <row r="99" spans="1:11" ht="15" customHeight="1">
      <c r="A99" s="310"/>
      <c r="B99" s="310"/>
      <c r="C99" s="308"/>
      <c r="D99" s="311"/>
      <c r="E99" s="311"/>
      <c r="F99" s="320" t="s">
        <v>1212</v>
      </c>
      <c r="G99" s="312">
        <f>G97+G89</f>
        <v>53526</v>
      </c>
      <c r="K99" s="299">
        <f>14*5</f>
        <v>70</v>
      </c>
    </row>
    <row r="100" spans="1:11" ht="15" customHeight="1">
      <c r="F100" s="320" t="s">
        <v>1213</v>
      </c>
      <c r="G100" s="312">
        <f>G99/D81</f>
        <v>2230.25</v>
      </c>
    </row>
    <row r="102" spans="1:11" ht="15" customHeight="1">
      <c r="A102" s="307" t="s">
        <v>1438</v>
      </c>
      <c r="B102" s="1109" t="s">
        <v>303</v>
      </c>
      <c r="C102" s="313" t="s">
        <v>1188</v>
      </c>
      <c r="D102" s="314">
        <f>6*3</f>
        <v>18</v>
      </c>
      <c r="E102" s="311" t="s">
        <v>112</v>
      </c>
      <c r="F102" s="312"/>
      <c r="G102" s="312"/>
    </row>
    <row r="103" spans="1:11" ht="15" customHeight="1">
      <c r="A103" s="310"/>
      <c r="B103" s="1109"/>
      <c r="C103" s="322"/>
      <c r="D103" s="329"/>
      <c r="E103" s="329"/>
      <c r="F103" s="312"/>
      <c r="G103" s="312"/>
    </row>
    <row r="104" spans="1:11" ht="15" customHeight="1">
      <c r="A104" s="310"/>
      <c r="B104" s="337"/>
      <c r="C104" s="322"/>
      <c r="D104" s="329"/>
      <c r="E104" s="329"/>
      <c r="F104" s="312"/>
      <c r="G104" s="312"/>
    </row>
    <row r="105" spans="1:11" ht="15" customHeight="1">
      <c r="A105" s="310" t="s">
        <v>1341</v>
      </c>
      <c r="B105" s="310"/>
      <c r="C105" s="308"/>
      <c r="D105" s="311"/>
      <c r="E105" s="311"/>
      <c r="F105" s="312"/>
      <c r="G105" s="312"/>
    </row>
    <row r="106" spans="1:11" ht="26.25" customHeight="1">
      <c r="A106" s="310"/>
      <c r="B106" s="310"/>
      <c r="C106" s="308"/>
      <c r="D106" s="311" t="s">
        <v>1409</v>
      </c>
      <c r="E106" s="311" t="s">
        <v>1410</v>
      </c>
      <c r="F106" s="312" t="s">
        <v>1411</v>
      </c>
      <c r="G106" s="312" t="s">
        <v>1217</v>
      </c>
    </row>
    <row r="107" spans="1:11" ht="15" customHeight="1">
      <c r="A107" s="310"/>
      <c r="B107" s="310"/>
      <c r="C107" s="315" t="s">
        <v>1412</v>
      </c>
      <c r="D107" s="316">
        <v>1</v>
      </c>
      <c r="E107" s="316">
        <v>5</v>
      </c>
      <c r="F107" s="317">
        <v>615</v>
      </c>
      <c r="G107" s="318">
        <f>F107*E107*D107</f>
        <v>3075</v>
      </c>
    </row>
    <row r="108" spans="1:11" ht="15" customHeight="1">
      <c r="A108" s="310"/>
      <c r="B108" s="310"/>
      <c r="C108" s="315" t="s">
        <v>1439</v>
      </c>
      <c r="D108" s="316">
        <v>1</v>
      </c>
      <c r="E108" s="316">
        <f>E107</f>
        <v>5</v>
      </c>
      <c r="F108" s="317">
        <v>390</v>
      </c>
      <c r="G108" s="318">
        <f>F108*E108*D108</f>
        <v>1950</v>
      </c>
    </row>
    <row r="109" spans="1:11" ht="15" customHeight="1">
      <c r="A109" s="310"/>
      <c r="B109" s="310"/>
      <c r="C109" s="315" t="s">
        <v>1415</v>
      </c>
      <c r="D109" s="316">
        <v>3</v>
      </c>
      <c r="E109" s="316">
        <f>E108</f>
        <v>5</v>
      </c>
      <c r="F109" s="317">
        <v>341</v>
      </c>
      <c r="G109" s="319">
        <f>F109*E109*D109</f>
        <v>5115</v>
      </c>
    </row>
    <row r="110" spans="1:11" ht="15" customHeight="1">
      <c r="A110" s="310"/>
      <c r="B110" s="310"/>
      <c r="C110" s="308"/>
      <c r="D110" s="311"/>
      <c r="E110" s="311"/>
      <c r="F110" s="320" t="s">
        <v>1211</v>
      </c>
      <c r="G110" s="312">
        <f>SUM(G107:G109)</f>
        <v>10140</v>
      </c>
      <c r="H110" s="299">
        <f>G110/G122</f>
        <v>0.41797197032151689</v>
      </c>
    </row>
    <row r="111" spans="1:11" ht="15" customHeight="1">
      <c r="A111" s="310" t="s">
        <v>1215</v>
      </c>
    </row>
    <row r="112" spans="1:11" ht="15" customHeight="1">
      <c r="A112" s="310"/>
      <c r="B112" s="310"/>
      <c r="C112" s="322"/>
      <c r="D112" s="311" t="s">
        <v>173</v>
      </c>
      <c r="E112" s="311" t="s">
        <v>297</v>
      </c>
      <c r="F112" s="320" t="s">
        <v>1216</v>
      </c>
      <c r="G112" s="312" t="s">
        <v>1217</v>
      </c>
    </row>
    <row r="113" spans="1:10" ht="15" customHeight="1">
      <c r="A113" s="310"/>
      <c r="B113" s="310"/>
      <c r="C113" s="308"/>
      <c r="D113" s="311"/>
      <c r="E113" s="311"/>
      <c r="F113" s="320"/>
      <c r="G113" s="312"/>
      <c r="J113" s="299">
        <f t="shared" ref="J113:J120" si="9">D113*5</f>
        <v>0</v>
      </c>
    </row>
    <row r="114" spans="1:10" ht="15" customHeight="1">
      <c r="A114" s="310"/>
      <c r="B114" s="310"/>
      <c r="C114" s="323" t="s">
        <v>1440</v>
      </c>
      <c r="D114" s="324">
        <f>D102</f>
        <v>18</v>
      </c>
      <c r="E114" s="325" t="s">
        <v>112</v>
      </c>
      <c r="F114" s="326">
        <v>520</v>
      </c>
      <c r="G114" s="318">
        <f>F114*D114</f>
        <v>9360</v>
      </c>
      <c r="J114" s="299">
        <f t="shared" si="9"/>
        <v>90</v>
      </c>
    </row>
    <row r="115" spans="1:10" ht="15" customHeight="1">
      <c r="A115" s="310"/>
      <c r="B115" s="310"/>
      <c r="C115" s="338" t="s">
        <v>1441</v>
      </c>
      <c r="D115" s="324">
        <v>200</v>
      </c>
      <c r="E115" s="325" t="s">
        <v>21</v>
      </c>
      <c r="F115" s="326">
        <v>3</v>
      </c>
      <c r="G115" s="318">
        <f t="shared" ref="G115:G120" si="10">F115*D115</f>
        <v>600</v>
      </c>
      <c r="J115" s="299">
        <f t="shared" si="9"/>
        <v>1000</v>
      </c>
    </row>
    <row r="116" spans="1:10" ht="15" customHeight="1">
      <c r="A116" s="310"/>
      <c r="B116" s="310"/>
      <c r="C116" s="338" t="s">
        <v>1442</v>
      </c>
      <c r="D116" s="324">
        <v>7</v>
      </c>
      <c r="E116" s="325" t="s">
        <v>350</v>
      </c>
      <c r="F116" s="326">
        <v>650</v>
      </c>
      <c r="G116" s="318">
        <f t="shared" si="10"/>
        <v>4550</v>
      </c>
      <c r="J116" s="299">
        <f t="shared" si="9"/>
        <v>35</v>
      </c>
    </row>
    <row r="117" spans="1:10" ht="15" customHeight="1">
      <c r="A117" s="310"/>
      <c r="B117" s="310"/>
      <c r="C117" s="338" t="s">
        <v>1443</v>
      </c>
      <c r="D117" s="324">
        <v>12</v>
      </c>
      <c r="E117" s="325" t="s">
        <v>350</v>
      </c>
      <c r="F117" s="326">
        <v>550</v>
      </c>
      <c r="G117" s="318">
        <f t="shared" si="10"/>
        <v>6600</v>
      </c>
      <c r="J117" s="299">
        <f t="shared" si="9"/>
        <v>60</v>
      </c>
    </row>
    <row r="118" spans="1:10" ht="15" customHeight="1">
      <c r="A118" s="310"/>
      <c r="B118" s="310"/>
      <c r="C118" s="338" t="s">
        <v>1444</v>
      </c>
      <c r="D118" s="324">
        <v>5</v>
      </c>
      <c r="E118" s="325" t="s">
        <v>21</v>
      </c>
      <c r="F118" s="326">
        <v>120</v>
      </c>
      <c r="G118" s="318">
        <f t="shared" si="10"/>
        <v>600</v>
      </c>
      <c r="J118" s="299">
        <f t="shared" si="9"/>
        <v>25</v>
      </c>
    </row>
    <row r="119" spans="1:10" ht="15" customHeight="1">
      <c r="A119" s="310"/>
      <c r="B119" s="310"/>
      <c r="C119" s="338" t="s">
        <v>1445</v>
      </c>
      <c r="D119" s="324">
        <v>5</v>
      </c>
      <c r="E119" s="325" t="s">
        <v>21</v>
      </c>
      <c r="F119" s="326">
        <v>110</v>
      </c>
      <c r="G119" s="318">
        <f t="shared" si="10"/>
        <v>550</v>
      </c>
      <c r="J119" s="299">
        <f t="shared" si="9"/>
        <v>25</v>
      </c>
    </row>
    <row r="120" spans="1:10" ht="15" customHeight="1">
      <c r="A120" s="310"/>
      <c r="B120" s="310"/>
      <c r="C120" s="338" t="s">
        <v>696</v>
      </c>
      <c r="D120" s="324">
        <v>5</v>
      </c>
      <c r="E120" s="325" t="s">
        <v>238</v>
      </c>
      <c r="F120" s="326">
        <v>190</v>
      </c>
      <c r="G120" s="318">
        <f t="shared" si="10"/>
        <v>950</v>
      </c>
      <c r="J120" s="299">
        <f t="shared" si="9"/>
        <v>25</v>
      </c>
    </row>
    <row r="121" spans="1:10" ht="15" customHeight="1">
      <c r="A121" s="310"/>
      <c r="B121" s="310"/>
      <c r="C121" s="327" t="s">
        <v>1428</v>
      </c>
      <c r="D121" s="324">
        <v>5</v>
      </c>
      <c r="E121" s="325" t="s">
        <v>21</v>
      </c>
      <c r="F121" s="326">
        <v>210</v>
      </c>
      <c r="G121" s="319">
        <f>F121*D121</f>
        <v>1050</v>
      </c>
      <c r="J121" s="299">
        <f>D121*5</f>
        <v>25</v>
      </c>
    </row>
    <row r="122" spans="1:10" ht="15" customHeight="1">
      <c r="A122" s="310"/>
      <c r="B122" s="310"/>
      <c r="C122" s="308"/>
      <c r="D122" s="311"/>
      <c r="E122" s="311"/>
      <c r="F122" s="320" t="s">
        <v>1211</v>
      </c>
      <c r="G122" s="307">
        <f>SUM(G114:G121)</f>
        <v>24260</v>
      </c>
    </row>
    <row r="123" spans="1:10" ht="15" customHeight="1">
      <c r="A123" s="310"/>
      <c r="B123" s="310"/>
      <c r="C123" s="308"/>
      <c r="D123" s="311"/>
      <c r="E123" s="311"/>
    </row>
    <row r="124" spans="1:10" ht="15" customHeight="1">
      <c r="A124" s="310"/>
      <c r="B124" s="310"/>
      <c r="C124" s="308"/>
      <c r="D124" s="311"/>
      <c r="E124" s="311"/>
      <c r="F124" s="320" t="s">
        <v>1212</v>
      </c>
      <c r="G124" s="312">
        <f>G122+G110</f>
        <v>34400</v>
      </c>
    </row>
    <row r="125" spans="1:10" ht="15" customHeight="1">
      <c r="F125" s="320" t="s">
        <v>1213</v>
      </c>
      <c r="G125" s="312">
        <f>G124/D102</f>
        <v>1911.1111111111111</v>
      </c>
    </row>
    <row r="128" spans="1:10" ht="15" customHeight="1">
      <c r="A128" s="307" t="s">
        <v>1446</v>
      </c>
      <c r="B128" s="1109" t="s">
        <v>157</v>
      </c>
      <c r="C128" s="313" t="s">
        <v>1188</v>
      </c>
      <c r="D128" s="314">
        <f>72+99</f>
        <v>171</v>
      </c>
      <c r="E128" s="311" t="s">
        <v>112</v>
      </c>
      <c r="F128" s="312"/>
      <c r="G128" s="312"/>
    </row>
    <row r="129" spans="1:8" ht="15" customHeight="1">
      <c r="A129" s="310"/>
      <c r="B129" s="1109"/>
      <c r="C129" s="322"/>
      <c r="D129" s="329"/>
      <c r="E129" s="329"/>
      <c r="F129" s="312"/>
      <c r="G129" s="312"/>
    </row>
    <row r="130" spans="1:8" ht="15" customHeight="1">
      <c r="A130" s="310"/>
      <c r="B130" s="337"/>
      <c r="C130" s="322"/>
      <c r="D130" s="329"/>
      <c r="E130" s="329"/>
      <c r="F130" s="312"/>
      <c r="G130" s="312"/>
    </row>
    <row r="131" spans="1:8" ht="15" customHeight="1">
      <c r="A131" s="310" t="s">
        <v>1341</v>
      </c>
      <c r="B131" s="310"/>
      <c r="C131" s="308"/>
      <c r="D131" s="311"/>
      <c r="E131" s="311"/>
      <c r="F131" s="312"/>
      <c r="G131" s="312"/>
    </row>
    <row r="132" spans="1:8" ht="26.25" customHeight="1">
      <c r="A132" s="310"/>
      <c r="B132" s="310"/>
      <c r="C132" s="308"/>
      <c r="D132" s="311" t="s">
        <v>1409</v>
      </c>
      <c r="E132" s="311" t="s">
        <v>1410</v>
      </c>
      <c r="F132" s="312" t="s">
        <v>1411</v>
      </c>
      <c r="G132" s="312" t="s">
        <v>1217</v>
      </c>
    </row>
    <row r="133" spans="1:8" ht="15" customHeight="1">
      <c r="A133" s="310"/>
      <c r="B133" s="310"/>
      <c r="C133" s="315" t="s">
        <v>1412</v>
      </c>
      <c r="D133" s="316">
        <v>1</v>
      </c>
      <c r="E133" s="316">
        <v>5</v>
      </c>
      <c r="F133" s="317">
        <v>615</v>
      </c>
      <c r="G133" s="318">
        <f>F133*E133*D133</f>
        <v>3075</v>
      </c>
    </row>
    <row r="134" spans="1:8" ht="15" customHeight="1">
      <c r="A134" s="310"/>
      <c r="B134" s="310"/>
      <c r="C134" s="315" t="s">
        <v>1447</v>
      </c>
      <c r="D134" s="316">
        <v>2</v>
      </c>
      <c r="E134" s="316">
        <f>E133</f>
        <v>5</v>
      </c>
      <c r="F134" s="317">
        <v>390</v>
      </c>
      <c r="G134" s="318">
        <f>F134*E134*D134</f>
        <v>3900</v>
      </c>
    </row>
    <row r="135" spans="1:8" ht="15" customHeight="1">
      <c r="A135" s="310"/>
      <c r="B135" s="310"/>
      <c r="C135" s="315" t="s">
        <v>1415</v>
      </c>
      <c r="D135" s="316">
        <v>4</v>
      </c>
      <c r="E135" s="316">
        <f>E134</f>
        <v>5</v>
      </c>
      <c r="F135" s="317">
        <v>341</v>
      </c>
      <c r="G135" s="319">
        <f>F135*E135*D135</f>
        <v>6820</v>
      </c>
    </row>
    <row r="136" spans="1:8" ht="15" customHeight="1">
      <c r="A136" s="310"/>
      <c r="B136" s="310"/>
      <c r="C136" s="308"/>
      <c r="D136" s="311"/>
      <c r="E136" s="311"/>
      <c r="F136" s="320" t="s">
        <v>1211</v>
      </c>
      <c r="G136" s="312">
        <f>SUM(G133:G135)</f>
        <v>13795</v>
      </c>
      <c r="H136" s="299">
        <f>G136/G153</f>
        <v>0.36070074519545037</v>
      </c>
    </row>
    <row r="137" spans="1:8" ht="15" customHeight="1">
      <c r="A137" s="310" t="s">
        <v>1215</v>
      </c>
    </row>
    <row r="138" spans="1:8" ht="15" customHeight="1">
      <c r="A138" s="310"/>
      <c r="B138" s="310"/>
      <c r="C138" s="322"/>
      <c r="D138" s="311" t="s">
        <v>173</v>
      </c>
      <c r="E138" s="311" t="s">
        <v>297</v>
      </c>
      <c r="F138" s="320" t="s">
        <v>1216</v>
      </c>
      <c r="G138" s="312" t="s">
        <v>1217</v>
      </c>
    </row>
    <row r="139" spans="1:8" ht="15" customHeight="1">
      <c r="A139" s="310"/>
      <c r="B139" s="310"/>
      <c r="C139" s="308"/>
      <c r="D139" s="311"/>
      <c r="E139" s="311"/>
      <c r="F139" s="320"/>
      <c r="G139" s="312"/>
    </row>
    <row r="140" spans="1:8" ht="15" customHeight="1">
      <c r="A140" s="310"/>
      <c r="B140" s="310"/>
      <c r="C140" s="339" t="s">
        <v>772</v>
      </c>
      <c r="D140" s="340">
        <v>5</v>
      </c>
      <c r="E140" s="341" t="s">
        <v>336</v>
      </c>
      <c r="F140" s="342">
        <v>615</v>
      </c>
      <c r="G140" s="318">
        <f t="shared" ref="G140:G152" si="11">F140*D140</f>
        <v>3075</v>
      </c>
    </row>
    <row r="141" spans="1:8" ht="15" customHeight="1">
      <c r="A141" s="310"/>
      <c r="B141" s="310"/>
      <c r="C141" s="339" t="s">
        <v>1448</v>
      </c>
      <c r="D141" s="340">
        <v>5</v>
      </c>
      <c r="E141" s="341" t="s">
        <v>367</v>
      </c>
      <c r="F141" s="342">
        <v>850</v>
      </c>
      <c r="G141" s="318">
        <f t="shared" si="11"/>
        <v>4250</v>
      </c>
    </row>
    <row r="142" spans="1:8" ht="15" customHeight="1">
      <c r="A142" s="310"/>
      <c r="B142" s="310"/>
      <c r="C142" s="339" t="s">
        <v>1449</v>
      </c>
      <c r="D142" s="340">
        <v>10</v>
      </c>
      <c r="E142" s="341" t="s">
        <v>367</v>
      </c>
      <c r="F142" s="342">
        <v>800</v>
      </c>
      <c r="G142" s="318">
        <f t="shared" si="11"/>
        <v>8000</v>
      </c>
    </row>
    <row r="143" spans="1:8" ht="15" customHeight="1">
      <c r="A143" s="310"/>
      <c r="B143" s="310"/>
      <c r="C143" s="339" t="s">
        <v>1450</v>
      </c>
      <c r="D143" s="340">
        <v>14</v>
      </c>
      <c r="E143" s="341" t="s">
        <v>367</v>
      </c>
      <c r="F143" s="342">
        <v>810</v>
      </c>
      <c r="G143" s="318">
        <f t="shared" si="11"/>
        <v>11340</v>
      </c>
    </row>
    <row r="144" spans="1:8" ht="15" customHeight="1">
      <c r="A144" s="310"/>
      <c r="B144" s="310"/>
      <c r="C144" s="343" t="s">
        <v>1451</v>
      </c>
      <c r="D144" s="340">
        <v>8</v>
      </c>
      <c r="E144" s="341" t="s">
        <v>691</v>
      </c>
      <c r="F144" s="344">
        <v>350</v>
      </c>
      <c r="G144" s="318">
        <f t="shared" si="11"/>
        <v>2800</v>
      </c>
    </row>
    <row r="145" spans="1:8" ht="15" customHeight="1">
      <c r="A145" s="310"/>
      <c r="B145" s="310"/>
      <c r="C145" s="345" t="s">
        <v>1452</v>
      </c>
      <c r="D145" s="340">
        <v>7</v>
      </c>
      <c r="E145" s="341" t="s">
        <v>367</v>
      </c>
      <c r="F145" s="346">
        <v>650</v>
      </c>
      <c r="G145" s="318">
        <f t="shared" si="11"/>
        <v>4550</v>
      </c>
    </row>
    <row r="146" spans="1:8" ht="15" customHeight="1">
      <c r="A146" s="310"/>
      <c r="B146" s="310"/>
      <c r="C146" s="347" t="s">
        <v>1453</v>
      </c>
      <c r="D146" s="340">
        <v>8</v>
      </c>
      <c r="E146" s="341" t="s">
        <v>398</v>
      </c>
      <c r="F146" s="342">
        <v>250</v>
      </c>
      <c r="G146" s="318">
        <f t="shared" si="11"/>
        <v>2000</v>
      </c>
    </row>
    <row r="147" spans="1:8" ht="15" customHeight="1">
      <c r="A147" s="310"/>
      <c r="B147" s="310"/>
      <c r="C147" s="343" t="s">
        <v>1454</v>
      </c>
      <c r="D147" s="340">
        <v>8</v>
      </c>
      <c r="E147" s="341" t="s">
        <v>21</v>
      </c>
      <c r="F147" s="344">
        <v>35</v>
      </c>
      <c r="G147" s="318">
        <f t="shared" si="11"/>
        <v>280</v>
      </c>
    </row>
    <row r="148" spans="1:8" ht="15" customHeight="1">
      <c r="A148" s="310"/>
      <c r="B148" s="310"/>
      <c r="C148" s="343" t="s">
        <v>1455</v>
      </c>
      <c r="D148" s="340">
        <v>5</v>
      </c>
      <c r="E148" s="341" t="s">
        <v>21</v>
      </c>
      <c r="F148" s="344">
        <v>45</v>
      </c>
      <c r="G148" s="318">
        <f t="shared" si="11"/>
        <v>225</v>
      </c>
    </row>
    <row r="149" spans="1:8" ht="15" customHeight="1">
      <c r="A149" s="310"/>
      <c r="B149" s="310"/>
      <c r="C149" s="343" t="s">
        <v>1456</v>
      </c>
      <c r="D149" s="340">
        <v>5</v>
      </c>
      <c r="E149" s="341" t="s">
        <v>21</v>
      </c>
      <c r="F149" s="344">
        <v>95</v>
      </c>
      <c r="G149" s="318">
        <f t="shared" si="11"/>
        <v>475</v>
      </c>
    </row>
    <row r="150" spans="1:8" ht="15" customHeight="1">
      <c r="A150" s="310"/>
      <c r="B150" s="310"/>
      <c r="C150" s="343" t="s">
        <v>1457</v>
      </c>
      <c r="D150" s="340">
        <v>5</v>
      </c>
      <c r="E150" s="341" t="s">
        <v>21</v>
      </c>
      <c r="F150" s="344">
        <v>135</v>
      </c>
      <c r="G150" s="318">
        <f t="shared" si="11"/>
        <v>675</v>
      </c>
    </row>
    <row r="151" spans="1:8" ht="15" customHeight="1">
      <c r="A151" s="310"/>
      <c r="B151" s="310"/>
      <c r="C151" s="347" t="s">
        <v>1458</v>
      </c>
      <c r="D151" s="340">
        <v>5</v>
      </c>
      <c r="E151" s="341" t="s">
        <v>21</v>
      </c>
      <c r="F151" s="342">
        <v>65</v>
      </c>
      <c r="G151" s="318">
        <f t="shared" si="11"/>
        <v>325</v>
      </c>
    </row>
    <row r="152" spans="1:8" ht="15" customHeight="1">
      <c r="A152" s="310"/>
      <c r="B152" s="310"/>
      <c r="C152" s="348" t="s">
        <v>1459</v>
      </c>
      <c r="D152" s="340">
        <v>10</v>
      </c>
      <c r="E152" s="349" t="s">
        <v>612</v>
      </c>
      <c r="F152" s="350">
        <v>25</v>
      </c>
      <c r="G152" s="319">
        <f t="shared" si="11"/>
        <v>250</v>
      </c>
    </row>
    <row r="153" spans="1:8" ht="15" customHeight="1">
      <c r="A153" s="310"/>
      <c r="B153" s="310"/>
      <c r="C153" s="308"/>
      <c r="D153" s="311"/>
      <c r="E153" s="311"/>
      <c r="F153" s="320" t="s">
        <v>1211</v>
      </c>
      <c r="G153" s="307">
        <f>SUM(G140:G152)</f>
        <v>38245</v>
      </c>
      <c r="H153" s="299">
        <f>G153*5</f>
        <v>191225</v>
      </c>
    </row>
    <row r="154" spans="1:8" ht="15" customHeight="1">
      <c r="A154" s="310"/>
      <c r="B154" s="310"/>
      <c r="C154" s="308"/>
      <c r="D154" s="311"/>
      <c r="E154" s="311"/>
    </row>
    <row r="155" spans="1:8" ht="15" customHeight="1">
      <c r="A155" s="310"/>
      <c r="B155" s="310"/>
      <c r="C155" s="308"/>
      <c r="D155" s="311"/>
      <c r="E155" s="311"/>
      <c r="F155" s="320" t="s">
        <v>1212</v>
      </c>
      <c r="G155" s="312">
        <f>G153+G136</f>
        <v>52040</v>
      </c>
    </row>
    <row r="156" spans="1:8" ht="15" customHeight="1">
      <c r="F156" s="320" t="s">
        <v>1213</v>
      </c>
      <c r="G156" s="312">
        <f>G155/D128</f>
        <v>304.32748538011697</v>
      </c>
    </row>
    <row r="158" spans="1:8" ht="15" customHeight="1">
      <c r="A158" s="307" t="s">
        <v>1460</v>
      </c>
      <c r="B158" s="1109" t="s">
        <v>1461</v>
      </c>
      <c r="C158" s="313" t="s">
        <v>1188</v>
      </c>
      <c r="D158" s="314">
        <v>1</v>
      </c>
      <c r="E158" s="311" t="s">
        <v>1282</v>
      </c>
      <c r="F158" s="312"/>
      <c r="G158" s="312"/>
    </row>
    <row r="159" spans="1:8" ht="15" customHeight="1">
      <c r="A159" s="310"/>
      <c r="B159" s="1109"/>
      <c r="C159" s="322"/>
      <c r="D159" s="329"/>
      <c r="E159" s="329"/>
      <c r="F159" s="312"/>
      <c r="G159" s="312"/>
    </row>
    <row r="160" spans="1:8" ht="15" customHeight="1">
      <c r="A160" s="310"/>
      <c r="B160" s="337"/>
      <c r="C160" s="322"/>
      <c r="D160" s="329"/>
      <c r="E160" s="329"/>
      <c r="F160" s="312"/>
      <c r="G160" s="312"/>
    </row>
    <row r="161" spans="1:8" ht="15" customHeight="1">
      <c r="A161" s="310" t="s">
        <v>1341</v>
      </c>
      <c r="B161" s="310"/>
      <c r="C161" s="308"/>
      <c r="D161" s="311"/>
      <c r="E161" s="311"/>
      <c r="F161" s="312"/>
      <c r="G161" s="312"/>
    </row>
    <row r="162" spans="1:8" ht="26.25" customHeight="1">
      <c r="A162" s="310"/>
      <c r="B162" s="310"/>
      <c r="C162" s="308"/>
      <c r="D162" s="311" t="s">
        <v>1409</v>
      </c>
      <c r="E162" s="311" t="s">
        <v>1410</v>
      </c>
      <c r="F162" s="312" t="s">
        <v>1411</v>
      </c>
      <c r="G162" s="312" t="s">
        <v>1217</v>
      </c>
    </row>
    <row r="163" spans="1:8" ht="15" customHeight="1">
      <c r="A163" s="310"/>
      <c r="B163" s="310"/>
      <c r="C163" s="315" t="s">
        <v>1412</v>
      </c>
      <c r="D163" s="316">
        <v>1</v>
      </c>
      <c r="E163" s="316">
        <v>5</v>
      </c>
      <c r="F163" s="317">
        <v>615</v>
      </c>
      <c r="G163" s="318">
        <f>F163*E163*D163</f>
        <v>3075</v>
      </c>
    </row>
    <row r="164" spans="1:8" ht="15" customHeight="1">
      <c r="A164" s="310"/>
      <c r="B164" s="310"/>
      <c r="C164" s="315" t="s">
        <v>1462</v>
      </c>
      <c r="D164" s="316">
        <v>1</v>
      </c>
      <c r="E164" s="316">
        <f>E163</f>
        <v>5</v>
      </c>
      <c r="F164" s="317">
        <v>390</v>
      </c>
      <c r="G164" s="318">
        <f>F164*E164*D164</f>
        <v>1950</v>
      </c>
    </row>
    <row r="165" spans="1:8" ht="15" customHeight="1">
      <c r="A165" s="310"/>
      <c r="B165" s="310"/>
      <c r="C165" s="315" t="s">
        <v>1415</v>
      </c>
      <c r="D165" s="316">
        <v>2</v>
      </c>
      <c r="E165" s="316">
        <f>E164</f>
        <v>5</v>
      </c>
      <c r="F165" s="317">
        <v>341</v>
      </c>
      <c r="G165" s="319">
        <f>F165*E165*D165</f>
        <v>3410</v>
      </c>
    </row>
    <row r="166" spans="1:8" ht="15" customHeight="1">
      <c r="A166" s="310"/>
      <c r="B166" s="310"/>
      <c r="C166" s="308"/>
      <c r="D166" s="311"/>
      <c r="E166" s="311"/>
      <c r="F166" s="320" t="s">
        <v>1211</v>
      </c>
      <c r="G166" s="312">
        <f>SUM(G163:G165)</f>
        <v>8435</v>
      </c>
      <c r="H166" s="299">
        <f>G166/G190</f>
        <v>0.43445789338140611</v>
      </c>
    </row>
    <row r="167" spans="1:8" ht="15" customHeight="1">
      <c r="A167" s="310" t="s">
        <v>1215</v>
      </c>
    </row>
    <row r="168" spans="1:8" ht="15" customHeight="1">
      <c r="A168" s="310"/>
      <c r="B168" s="310"/>
      <c r="C168" s="322"/>
      <c r="D168" s="311" t="s">
        <v>173</v>
      </c>
      <c r="E168" s="311" t="s">
        <v>297</v>
      </c>
      <c r="F168" s="320" t="s">
        <v>1216</v>
      </c>
      <c r="G168" s="312" t="s">
        <v>1217</v>
      </c>
    </row>
    <row r="169" spans="1:8" ht="15" customHeight="1">
      <c r="A169" s="310"/>
      <c r="B169" s="310"/>
      <c r="C169" s="308"/>
      <c r="D169" s="311"/>
      <c r="E169" s="311"/>
      <c r="F169" s="320"/>
      <c r="G169" s="312"/>
    </row>
    <row r="170" spans="1:8" ht="15" customHeight="1">
      <c r="A170" s="310"/>
      <c r="B170" s="310"/>
      <c r="C170" s="351" t="s">
        <v>1463</v>
      </c>
      <c r="D170" s="353">
        <v>30</v>
      </c>
      <c r="E170" s="341" t="s">
        <v>21</v>
      </c>
      <c r="F170" s="342">
        <v>210</v>
      </c>
      <c r="G170" s="318">
        <f>F170*D170</f>
        <v>6300</v>
      </c>
    </row>
    <row r="171" spans="1:8" ht="15" customHeight="1">
      <c r="A171" s="310"/>
      <c r="B171" s="310"/>
      <c r="C171" s="351" t="s">
        <v>1464</v>
      </c>
      <c r="D171" s="353">
        <f>6*3/0.4*0.4</f>
        <v>18</v>
      </c>
      <c r="E171" s="341" t="s">
        <v>21</v>
      </c>
      <c r="F171" s="342">
        <v>190</v>
      </c>
      <c r="G171" s="318">
        <f>F171*D171</f>
        <v>3420</v>
      </c>
    </row>
    <row r="172" spans="1:8" ht="15" customHeight="1">
      <c r="A172" s="310"/>
      <c r="B172" s="310"/>
      <c r="C172" s="339" t="s">
        <v>1465</v>
      </c>
      <c r="D172" s="360">
        <v>10</v>
      </c>
      <c r="E172" s="341" t="s">
        <v>21</v>
      </c>
      <c r="F172" s="342">
        <v>190</v>
      </c>
      <c r="G172" s="318">
        <f t="shared" ref="G172:G189" si="12">F172*D172</f>
        <v>1900</v>
      </c>
    </row>
    <row r="173" spans="1:8" ht="15" customHeight="1">
      <c r="A173" s="310"/>
      <c r="B173" s="310"/>
      <c r="C173" s="339" t="s">
        <v>560</v>
      </c>
      <c r="D173" s="360">
        <v>5</v>
      </c>
      <c r="E173" s="341" t="s">
        <v>336</v>
      </c>
      <c r="F173" s="342">
        <v>120</v>
      </c>
      <c r="G173" s="318">
        <f t="shared" si="12"/>
        <v>600</v>
      </c>
    </row>
    <row r="174" spans="1:8" ht="15" customHeight="1">
      <c r="A174" s="310"/>
      <c r="B174" s="310"/>
      <c r="C174" s="347" t="s">
        <v>1466</v>
      </c>
      <c r="D174" s="360">
        <v>2</v>
      </c>
      <c r="E174" s="341" t="s">
        <v>575</v>
      </c>
      <c r="F174" s="342">
        <v>800</v>
      </c>
      <c r="G174" s="318">
        <f t="shared" si="12"/>
        <v>1600</v>
      </c>
    </row>
    <row r="175" spans="1:8" ht="15" customHeight="1">
      <c r="A175" s="310"/>
      <c r="B175" s="310"/>
      <c r="C175" s="347" t="s">
        <v>1467</v>
      </c>
      <c r="D175" s="360">
        <v>2</v>
      </c>
      <c r="E175" s="341" t="s">
        <v>575</v>
      </c>
      <c r="F175" s="342">
        <v>280</v>
      </c>
      <c r="G175" s="318">
        <f t="shared" si="12"/>
        <v>560</v>
      </c>
    </row>
    <row r="176" spans="1:8" ht="15" customHeight="1">
      <c r="A176" s="310"/>
      <c r="B176" s="310"/>
      <c r="C176" s="347" t="s">
        <v>1468</v>
      </c>
      <c r="D176" s="360">
        <v>2</v>
      </c>
      <c r="E176" s="341" t="s">
        <v>575</v>
      </c>
      <c r="F176" s="342">
        <v>80</v>
      </c>
      <c r="G176" s="318">
        <f t="shared" si="12"/>
        <v>160</v>
      </c>
    </row>
    <row r="177" spans="1:8" ht="15" customHeight="1">
      <c r="A177" s="310"/>
      <c r="B177" s="310"/>
      <c r="C177" s="343" t="s">
        <v>1469</v>
      </c>
      <c r="D177" s="360">
        <v>3</v>
      </c>
      <c r="E177" s="341" t="s">
        <v>21</v>
      </c>
      <c r="F177" s="344">
        <v>60</v>
      </c>
      <c r="G177" s="318">
        <f t="shared" si="12"/>
        <v>180</v>
      </c>
    </row>
    <row r="178" spans="1:8" ht="15" customHeight="1">
      <c r="A178" s="310"/>
      <c r="B178" s="310"/>
      <c r="C178" s="343" t="s">
        <v>1470</v>
      </c>
      <c r="D178" s="360">
        <v>3</v>
      </c>
      <c r="E178" s="341" t="s">
        <v>21</v>
      </c>
      <c r="F178" s="344">
        <v>50</v>
      </c>
      <c r="G178" s="318">
        <f t="shared" si="12"/>
        <v>150</v>
      </c>
    </row>
    <row r="179" spans="1:8" ht="15" customHeight="1">
      <c r="A179" s="310"/>
      <c r="B179" s="310"/>
      <c r="C179" s="348" t="s">
        <v>1471</v>
      </c>
      <c r="D179" s="360">
        <v>3</v>
      </c>
      <c r="E179" s="349" t="s">
        <v>21</v>
      </c>
      <c r="F179" s="350">
        <v>105</v>
      </c>
      <c r="G179" s="318">
        <f t="shared" si="12"/>
        <v>315</v>
      </c>
    </row>
    <row r="180" spans="1:8" ht="15" customHeight="1">
      <c r="A180" s="310"/>
      <c r="B180" s="310"/>
      <c r="C180" s="348" t="s">
        <v>494</v>
      </c>
      <c r="D180" s="360">
        <v>3</v>
      </c>
      <c r="E180" s="349" t="s">
        <v>21</v>
      </c>
      <c r="F180" s="350">
        <v>60</v>
      </c>
      <c r="G180" s="318">
        <f t="shared" si="12"/>
        <v>180</v>
      </c>
    </row>
    <row r="181" spans="1:8" ht="15" customHeight="1">
      <c r="A181" s="310"/>
      <c r="B181" s="310"/>
      <c r="C181" s="348" t="s">
        <v>1472</v>
      </c>
      <c r="D181" s="360">
        <v>2</v>
      </c>
      <c r="E181" s="349" t="s">
        <v>21</v>
      </c>
      <c r="F181" s="350">
        <v>60</v>
      </c>
      <c r="G181" s="318">
        <f t="shared" si="12"/>
        <v>120</v>
      </c>
    </row>
    <row r="182" spans="1:8" ht="15" customHeight="1">
      <c r="A182" s="310"/>
      <c r="B182" s="310"/>
      <c r="C182" s="348" t="s">
        <v>1473</v>
      </c>
      <c r="D182" s="360">
        <v>3</v>
      </c>
      <c r="E182" s="349" t="s">
        <v>21</v>
      </c>
      <c r="F182" s="350">
        <v>60</v>
      </c>
      <c r="G182" s="318">
        <f t="shared" si="12"/>
        <v>180</v>
      </c>
    </row>
    <row r="183" spans="1:8" ht="15" customHeight="1">
      <c r="A183" s="310"/>
      <c r="B183" s="310"/>
      <c r="C183" s="348" t="s">
        <v>559</v>
      </c>
      <c r="D183" s="360">
        <v>5</v>
      </c>
      <c r="E183" s="349" t="s">
        <v>378</v>
      </c>
      <c r="F183" s="350">
        <v>20</v>
      </c>
      <c r="G183" s="318">
        <f t="shared" si="12"/>
        <v>100</v>
      </c>
    </row>
    <row r="184" spans="1:8" ht="15" customHeight="1">
      <c r="A184" s="310"/>
      <c r="B184" s="310"/>
      <c r="C184" s="348" t="s">
        <v>1474</v>
      </c>
      <c r="D184" s="360">
        <v>2</v>
      </c>
      <c r="E184" s="349" t="s">
        <v>21</v>
      </c>
      <c r="F184" s="350">
        <v>300</v>
      </c>
      <c r="G184" s="318">
        <f t="shared" si="12"/>
        <v>600</v>
      </c>
    </row>
    <row r="185" spans="1:8" ht="15" customHeight="1">
      <c r="A185" s="310"/>
      <c r="B185" s="310"/>
      <c r="C185" s="343" t="s">
        <v>1475</v>
      </c>
      <c r="D185" s="360">
        <v>3</v>
      </c>
      <c r="E185" s="349" t="s">
        <v>21</v>
      </c>
      <c r="F185" s="350">
        <v>60</v>
      </c>
      <c r="G185" s="318">
        <f t="shared" si="12"/>
        <v>180</v>
      </c>
    </row>
    <row r="186" spans="1:8" ht="15" customHeight="1">
      <c r="A186" s="310"/>
      <c r="B186" s="310"/>
      <c r="C186" s="348" t="s">
        <v>1476</v>
      </c>
      <c r="D186" s="360">
        <v>3</v>
      </c>
      <c r="E186" s="349" t="s">
        <v>21</v>
      </c>
      <c r="F186" s="350">
        <v>40</v>
      </c>
      <c r="G186" s="318">
        <f t="shared" si="12"/>
        <v>120</v>
      </c>
    </row>
    <row r="187" spans="1:8" ht="15" customHeight="1">
      <c r="A187" s="310"/>
      <c r="B187" s="310"/>
      <c r="C187" s="348" t="s">
        <v>1477</v>
      </c>
      <c r="D187" s="360">
        <v>5</v>
      </c>
      <c r="E187" s="349" t="s">
        <v>524</v>
      </c>
      <c r="F187" s="350">
        <v>50</v>
      </c>
      <c r="G187" s="318">
        <f t="shared" si="12"/>
        <v>250</v>
      </c>
    </row>
    <row r="188" spans="1:8" ht="15" customHeight="1">
      <c r="A188" s="310"/>
      <c r="B188" s="310"/>
      <c r="C188" s="348" t="s">
        <v>1478</v>
      </c>
      <c r="D188" s="360">
        <v>2</v>
      </c>
      <c r="E188" s="349" t="s">
        <v>398</v>
      </c>
      <c r="F188" s="350">
        <v>1100</v>
      </c>
      <c r="G188" s="318">
        <f t="shared" si="12"/>
        <v>2200</v>
      </c>
    </row>
    <row r="189" spans="1:8" ht="15" customHeight="1">
      <c r="A189" s="310"/>
      <c r="B189" s="310"/>
      <c r="C189" s="348" t="s">
        <v>1479</v>
      </c>
      <c r="D189" s="360">
        <v>2</v>
      </c>
      <c r="E189" s="349" t="s">
        <v>21</v>
      </c>
      <c r="F189" s="350">
        <v>150</v>
      </c>
      <c r="G189" s="319">
        <f t="shared" si="12"/>
        <v>300</v>
      </c>
    </row>
    <row r="190" spans="1:8" ht="15" customHeight="1">
      <c r="A190" s="310"/>
      <c r="B190" s="310"/>
      <c r="C190" s="308"/>
      <c r="D190" s="311"/>
      <c r="E190" s="311"/>
      <c r="F190" s="320" t="s">
        <v>1211</v>
      </c>
      <c r="G190" s="307">
        <f>SUM(G170:G189)</f>
        <v>19415</v>
      </c>
      <c r="H190" s="299">
        <f>G190*5</f>
        <v>97075</v>
      </c>
    </row>
    <row r="191" spans="1:8" ht="15" customHeight="1">
      <c r="A191" s="310"/>
      <c r="B191" s="310"/>
      <c r="C191" s="308"/>
      <c r="D191" s="311"/>
      <c r="E191" s="311"/>
    </row>
    <row r="192" spans="1:8" ht="15" customHeight="1">
      <c r="A192" s="310"/>
      <c r="B192" s="310"/>
      <c r="C192" s="308"/>
      <c r="D192" s="311"/>
      <c r="E192" s="311"/>
      <c r="F192" s="320" t="s">
        <v>1212</v>
      </c>
      <c r="G192" s="312">
        <f>G190+G166</f>
        <v>27850</v>
      </c>
    </row>
    <row r="193" spans="1:8" ht="15" customHeight="1">
      <c r="F193" s="320" t="s">
        <v>1213</v>
      </c>
      <c r="G193" s="312">
        <f>G192/D158</f>
        <v>27850</v>
      </c>
    </row>
    <row r="194" spans="1:8" ht="15" customHeight="1">
      <c r="F194" s="320"/>
      <c r="G194" s="312"/>
    </row>
    <row r="195" spans="1:8" ht="15" customHeight="1">
      <c r="A195" s="307" t="s">
        <v>1480</v>
      </c>
      <c r="B195" s="1109" t="s">
        <v>308</v>
      </c>
      <c r="C195" s="313" t="s">
        <v>1188</v>
      </c>
      <c r="D195" s="314">
        <v>4</v>
      </c>
      <c r="E195" s="311" t="s">
        <v>169</v>
      </c>
      <c r="F195" s="312"/>
      <c r="G195" s="312"/>
    </row>
    <row r="196" spans="1:8" ht="15" customHeight="1">
      <c r="A196" s="310"/>
      <c r="B196" s="1109"/>
      <c r="C196" s="322"/>
      <c r="D196" s="329"/>
      <c r="E196" s="329"/>
      <c r="F196" s="312"/>
      <c r="G196" s="312"/>
    </row>
    <row r="197" spans="1:8" ht="15" customHeight="1">
      <c r="A197" s="310"/>
      <c r="B197" s="337"/>
      <c r="C197" s="322"/>
      <c r="D197" s="329"/>
      <c r="E197" s="329"/>
      <c r="F197" s="312"/>
      <c r="G197" s="312"/>
    </row>
    <row r="198" spans="1:8" ht="15" customHeight="1">
      <c r="A198" s="310" t="s">
        <v>1341</v>
      </c>
      <c r="B198" s="310"/>
      <c r="C198" s="308"/>
      <c r="D198" s="311"/>
      <c r="E198" s="311"/>
      <c r="F198" s="312"/>
      <c r="G198" s="312"/>
    </row>
    <row r="199" spans="1:8" ht="26.25" customHeight="1">
      <c r="A199" s="310"/>
      <c r="B199" s="310"/>
      <c r="C199" s="308"/>
      <c r="D199" s="311" t="s">
        <v>1409</v>
      </c>
      <c r="E199" s="311" t="s">
        <v>1410</v>
      </c>
      <c r="F199" s="312" t="s">
        <v>1411</v>
      </c>
      <c r="G199" s="312" t="s">
        <v>1217</v>
      </c>
    </row>
    <row r="200" spans="1:8" ht="15" customHeight="1">
      <c r="A200" s="310"/>
      <c r="B200" s="310"/>
      <c r="C200" s="315" t="s">
        <v>1412</v>
      </c>
      <c r="D200" s="316">
        <v>1</v>
      </c>
      <c r="E200" s="316">
        <v>6</v>
      </c>
      <c r="F200" s="317">
        <v>615</v>
      </c>
      <c r="G200" s="318">
        <f>F200*E200*D200</f>
        <v>3690</v>
      </c>
    </row>
    <row r="201" spans="1:8" ht="15" customHeight="1">
      <c r="A201" s="310"/>
      <c r="B201" s="310"/>
      <c r="C201" s="315" t="s">
        <v>1413</v>
      </c>
      <c r="D201" s="316">
        <v>1</v>
      </c>
      <c r="E201" s="316">
        <f>E200</f>
        <v>6</v>
      </c>
      <c r="F201" s="317">
        <v>390</v>
      </c>
      <c r="G201" s="318">
        <f>F201*E201*D201</f>
        <v>2340</v>
      </c>
    </row>
    <row r="202" spans="1:8" ht="15" customHeight="1">
      <c r="A202" s="310"/>
      <c r="B202" s="310"/>
      <c r="C202" s="315" t="s">
        <v>1415</v>
      </c>
      <c r="D202" s="316">
        <v>2</v>
      </c>
      <c r="E202" s="316">
        <f>E201</f>
        <v>6</v>
      </c>
      <c r="F202" s="317">
        <v>341</v>
      </c>
      <c r="G202" s="319">
        <f>F202*E202*D202</f>
        <v>4092</v>
      </c>
    </row>
    <row r="203" spans="1:8" ht="15" customHeight="1">
      <c r="A203" s="310"/>
      <c r="B203" s="310"/>
      <c r="C203" s="308"/>
      <c r="D203" s="311"/>
      <c r="E203" s="311"/>
      <c r="F203" s="320" t="s">
        <v>1211</v>
      </c>
      <c r="G203" s="312">
        <f>SUM(G200:G202)</f>
        <v>10122</v>
      </c>
      <c r="H203" s="299">
        <f>G203/G215</f>
        <v>0.29086206896551725</v>
      </c>
    </row>
    <row r="204" spans="1:8" ht="15" customHeight="1">
      <c r="A204" s="310" t="s">
        <v>1215</v>
      </c>
    </row>
    <row r="205" spans="1:8" ht="15" customHeight="1">
      <c r="A205" s="310"/>
      <c r="B205" s="310"/>
      <c r="C205" s="322"/>
      <c r="D205" s="311" t="s">
        <v>173</v>
      </c>
      <c r="E205" s="311" t="s">
        <v>297</v>
      </c>
      <c r="F205" s="320" t="s">
        <v>1216</v>
      </c>
      <c r="G205" s="312" t="s">
        <v>1217</v>
      </c>
    </row>
    <row r="206" spans="1:8" ht="15" customHeight="1">
      <c r="A206" s="310"/>
      <c r="B206" s="310"/>
      <c r="C206" s="330"/>
      <c r="D206" s="352"/>
      <c r="E206" s="352"/>
      <c r="F206" s="320"/>
      <c r="G206" s="312"/>
    </row>
    <row r="207" spans="1:8" ht="27.95" customHeight="1">
      <c r="A207" s="310"/>
      <c r="B207" s="310"/>
      <c r="C207" s="1110" t="s">
        <v>1481</v>
      </c>
      <c r="D207" s="1107">
        <v>2</v>
      </c>
      <c r="E207" s="1108" t="s">
        <v>404</v>
      </c>
      <c r="F207" s="1104">
        <v>7000</v>
      </c>
      <c r="G207" s="1105">
        <f>F207*D207</f>
        <v>14000</v>
      </c>
    </row>
    <row r="208" spans="1:8" ht="27.95" customHeight="1">
      <c r="A208" s="310"/>
      <c r="B208" s="310"/>
      <c r="C208" s="1110"/>
      <c r="D208" s="1107"/>
      <c r="E208" s="1108"/>
      <c r="F208" s="1104"/>
      <c r="G208" s="1105"/>
    </row>
    <row r="209" spans="1:10" ht="27.95" customHeight="1">
      <c r="A209" s="310"/>
      <c r="B209" s="310"/>
      <c r="C209" s="1110" t="s">
        <v>1482</v>
      </c>
      <c r="D209" s="1107">
        <v>2</v>
      </c>
      <c r="E209" s="1108" t="s">
        <v>404</v>
      </c>
      <c r="F209" s="1104">
        <v>1300</v>
      </c>
      <c r="G209" s="1105">
        <f>F209*D209</f>
        <v>2600</v>
      </c>
    </row>
    <row r="210" spans="1:10" ht="27.95" customHeight="1">
      <c r="A210" s="310"/>
      <c r="B210" s="310"/>
      <c r="C210" s="1110"/>
      <c r="D210" s="1107"/>
      <c r="E210" s="1108"/>
      <c r="F210" s="1104"/>
      <c r="G210" s="1105"/>
    </row>
    <row r="211" spans="1:10" ht="27.95" customHeight="1">
      <c r="A211" s="310"/>
      <c r="B211" s="310"/>
      <c r="C211" s="1110" t="s">
        <v>1483</v>
      </c>
      <c r="D211" s="1107">
        <v>2</v>
      </c>
      <c r="E211" s="1108" t="s">
        <v>404</v>
      </c>
      <c r="F211" s="1104">
        <v>7500</v>
      </c>
      <c r="G211" s="1105">
        <f>F211*D211</f>
        <v>15000</v>
      </c>
    </row>
    <row r="212" spans="1:10" ht="27.95" customHeight="1">
      <c r="A212" s="310"/>
      <c r="B212" s="310"/>
      <c r="C212" s="1110"/>
      <c r="D212" s="1107"/>
      <c r="E212" s="1108"/>
      <c r="F212" s="1104"/>
      <c r="G212" s="1105"/>
    </row>
    <row r="213" spans="1:10" ht="27.95" customHeight="1">
      <c r="A213" s="310"/>
      <c r="B213" s="310"/>
      <c r="C213" s="1110" t="s">
        <v>1484</v>
      </c>
      <c r="D213" s="1107">
        <v>2</v>
      </c>
      <c r="E213" s="1108" t="s">
        <v>404</v>
      </c>
      <c r="F213" s="1104">
        <v>1600</v>
      </c>
      <c r="G213" s="1105">
        <f>F213*D213</f>
        <v>3200</v>
      </c>
    </row>
    <row r="214" spans="1:10" ht="15" customHeight="1">
      <c r="A214" s="310"/>
      <c r="B214" s="310"/>
      <c r="C214" s="1110"/>
      <c r="D214" s="1107"/>
      <c r="E214" s="1108"/>
      <c r="F214" s="1104"/>
      <c r="G214" s="1106"/>
      <c r="H214" s="299">
        <f>D214*5</f>
        <v>0</v>
      </c>
    </row>
    <row r="215" spans="1:10" ht="15" customHeight="1">
      <c r="A215" s="310"/>
      <c r="B215" s="310"/>
      <c r="C215" s="308"/>
      <c r="D215" s="311"/>
      <c r="E215" s="311"/>
      <c r="F215" s="320" t="s">
        <v>1211</v>
      </c>
      <c r="G215" s="307">
        <f>SUM(G207:G214)</f>
        <v>34800</v>
      </c>
    </row>
    <row r="216" spans="1:10" ht="15" customHeight="1">
      <c r="A216" s="310"/>
      <c r="B216" s="310"/>
      <c r="C216" s="308"/>
      <c r="D216" s="311"/>
      <c r="E216" s="311"/>
    </row>
    <row r="217" spans="1:10" ht="15" customHeight="1">
      <c r="A217" s="310"/>
      <c r="B217" s="310"/>
      <c r="C217" s="308"/>
      <c r="D217" s="311"/>
      <c r="E217" s="311"/>
      <c r="F217" s="320" t="s">
        <v>1212</v>
      </c>
      <c r="G217" s="312">
        <f>G215+G203</f>
        <v>44922</v>
      </c>
    </row>
    <row r="218" spans="1:10" ht="15" customHeight="1">
      <c r="F218" s="320" t="s">
        <v>1213</v>
      </c>
      <c r="G218" s="312">
        <f>G217/D195</f>
        <v>11230.5</v>
      </c>
    </row>
    <row r="219" spans="1:10" ht="15" customHeight="1">
      <c r="F219" s="320"/>
      <c r="G219" s="312"/>
      <c r="J219" s="321"/>
    </row>
    <row r="220" spans="1:10" ht="15" customHeight="1">
      <c r="A220" s="307" t="s">
        <v>1485</v>
      </c>
      <c r="B220" s="1109" t="s">
        <v>827</v>
      </c>
      <c r="C220" s="313" t="s">
        <v>1188</v>
      </c>
      <c r="D220" s="314">
        <v>1</v>
      </c>
      <c r="E220" s="311" t="s">
        <v>1282</v>
      </c>
      <c r="F220" s="312"/>
      <c r="G220" s="312"/>
    </row>
    <row r="221" spans="1:10" ht="15" customHeight="1">
      <c r="A221" s="310"/>
      <c r="B221" s="1109"/>
      <c r="C221" s="322"/>
      <c r="D221" s="329"/>
      <c r="E221" s="329"/>
      <c r="F221" s="312"/>
      <c r="G221" s="312"/>
    </row>
    <row r="222" spans="1:10" ht="15" customHeight="1">
      <c r="A222" s="310"/>
      <c r="B222" s="337"/>
      <c r="C222" s="322"/>
      <c r="D222" s="329"/>
      <c r="E222" s="329"/>
      <c r="F222" s="312"/>
      <c r="G222" s="312"/>
    </row>
    <row r="223" spans="1:10" ht="15" customHeight="1">
      <c r="A223" s="310" t="s">
        <v>1341</v>
      </c>
      <c r="B223" s="310"/>
      <c r="C223" s="308"/>
      <c r="D223" s="311"/>
      <c r="E223" s="311"/>
      <c r="F223" s="312"/>
      <c r="G223" s="312"/>
    </row>
    <row r="224" spans="1:10" ht="26.25" customHeight="1">
      <c r="A224" s="310"/>
      <c r="B224" s="310"/>
      <c r="C224" s="308"/>
      <c r="D224" s="311" t="s">
        <v>1409</v>
      </c>
      <c r="E224" s="311" t="s">
        <v>1410</v>
      </c>
      <c r="F224" s="312" t="s">
        <v>1411</v>
      </c>
      <c r="G224" s="312" t="s">
        <v>1217</v>
      </c>
    </row>
    <row r="225" spans="1:8" ht="15" customHeight="1">
      <c r="A225" s="310"/>
      <c r="B225" s="310"/>
      <c r="C225" s="315" t="s">
        <v>1412</v>
      </c>
      <c r="D225" s="316">
        <v>1</v>
      </c>
      <c r="E225" s="316">
        <v>3</v>
      </c>
      <c r="F225" s="317">
        <v>615</v>
      </c>
      <c r="G225" s="318">
        <f>F225*E225*D225</f>
        <v>1845</v>
      </c>
    </row>
    <row r="226" spans="1:8" ht="15" customHeight="1">
      <c r="A226" s="310"/>
      <c r="B226" s="310"/>
      <c r="C226" s="315" t="s">
        <v>1486</v>
      </c>
      <c r="D226" s="316">
        <v>1</v>
      </c>
      <c r="E226" s="316">
        <f>E225</f>
        <v>3</v>
      </c>
      <c r="F226" s="317">
        <v>390</v>
      </c>
      <c r="G226" s="319">
        <f>F226*E226*D226</f>
        <v>1170</v>
      </c>
    </row>
    <row r="227" spans="1:8" ht="15" customHeight="1">
      <c r="A227" s="310"/>
      <c r="B227" s="310"/>
      <c r="C227" s="308"/>
      <c r="D227" s="311"/>
      <c r="E227" s="311"/>
      <c r="F227" s="320" t="s">
        <v>1211</v>
      </c>
      <c r="G227" s="312">
        <f>SUM(G225:G226)</f>
        <v>3015</v>
      </c>
      <c r="H227" s="299">
        <f>G227/G250</f>
        <v>0.18796758104738154</v>
      </c>
    </row>
    <row r="228" spans="1:8" ht="15" customHeight="1">
      <c r="A228" s="310" t="s">
        <v>1215</v>
      </c>
    </row>
    <row r="229" spans="1:8" ht="15" customHeight="1">
      <c r="A229" s="310"/>
      <c r="B229" s="310"/>
      <c r="C229" s="322"/>
      <c r="D229" s="311" t="s">
        <v>173</v>
      </c>
      <c r="E229" s="311" t="s">
        <v>297</v>
      </c>
      <c r="F229" s="320" t="s">
        <v>1216</v>
      </c>
      <c r="G229" s="312" t="s">
        <v>1217</v>
      </c>
    </row>
    <row r="230" spans="1:8" ht="15" customHeight="1">
      <c r="A230" s="310"/>
      <c r="B230" s="310"/>
      <c r="C230" s="308"/>
      <c r="D230" s="311"/>
      <c r="E230" s="311"/>
      <c r="F230" s="320"/>
      <c r="G230" s="312"/>
    </row>
    <row r="231" spans="1:8" ht="15" customHeight="1">
      <c r="A231" s="310"/>
      <c r="B231" s="310"/>
      <c r="C231" s="323" t="s">
        <v>1487</v>
      </c>
      <c r="D231" s="324">
        <v>1</v>
      </c>
      <c r="E231" s="325" t="s">
        <v>591</v>
      </c>
      <c r="F231" s="326">
        <v>2200</v>
      </c>
      <c r="G231" s="318">
        <f t="shared" ref="G231:G235" si="13">F231*D231</f>
        <v>2200</v>
      </c>
    </row>
    <row r="232" spans="1:8" ht="15" customHeight="1">
      <c r="A232" s="310"/>
      <c r="B232" s="310"/>
      <c r="C232" s="323" t="s">
        <v>1488</v>
      </c>
      <c r="D232" s="324">
        <v>1</v>
      </c>
      <c r="E232" s="325" t="s">
        <v>591</v>
      </c>
      <c r="F232" s="326">
        <v>3200</v>
      </c>
      <c r="G232" s="318">
        <f t="shared" si="13"/>
        <v>3200</v>
      </c>
    </row>
    <row r="233" spans="1:8" ht="15" customHeight="1">
      <c r="A233" s="310"/>
      <c r="B233" s="310"/>
      <c r="C233" s="323" t="s">
        <v>1489</v>
      </c>
      <c r="D233" s="324">
        <v>10</v>
      </c>
      <c r="E233" s="325" t="s">
        <v>1490</v>
      </c>
      <c r="F233" s="326">
        <v>70</v>
      </c>
      <c r="G233" s="318">
        <f t="shared" si="13"/>
        <v>700</v>
      </c>
    </row>
    <row r="234" spans="1:8" ht="15" customHeight="1">
      <c r="A234" s="310"/>
      <c r="B234" s="310"/>
      <c r="C234" s="323" t="s">
        <v>1491</v>
      </c>
      <c r="D234" s="324">
        <v>2</v>
      </c>
      <c r="E234" s="325" t="s">
        <v>469</v>
      </c>
      <c r="F234" s="326">
        <v>800</v>
      </c>
      <c r="G234" s="318">
        <f t="shared" si="13"/>
        <v>1600</v>
      </c>
    </row>
    <row r="235" spans="1:8" ht="15" customHeight="1">
      <c r="A235" s="310"/>
      <c r="B235" s="310"/>
      <c r="C235" s="323" t="s">
        <v>1492</v>
      </c>
      <c r="D235" s="324">
        <v>5</v>
      </c>
      <c r="E235" s="325" t="s">
        <v>350</v>
      </c>
      <c r="F235" s="326">
        <v>78</v>
      </c>
      <c r="G235" s="318">
        <f t="shared" si="13"/>
        <v>390</v>
      </c>
    </row>
    <row r="236" spans="1:8" ht="15" customHeight="1">
      <c r="A236" s="310"/>
      <c r="B236" s="310"/>
      <c r="C236" s="323" t="s">
        <v>1493</v>
      </c>
      <c r="D236" s="324">
        <v>5</v>
      </c>
      <c r="E236" s="325" t="s">
        <v>21</v>
      </c>
      <c r="F236" s="326">
        <v>55</v>
      </c>
      <c r="G236" s="318">
        <f>F236*D236</f>
        <v>275</v>
      </c>
    </row>
    <row r="237" spans="1:8" ht="15" customHeight="1">
      <c r="A237" s="310"/>
      <c r="B237" s="310"/>
      <c r="C237" s="323" t="s">
        <v>1494</v>
      </c>
      <c r="D237" s="324">
        <v>5</v>
      </c>
      <c r="E237" s="325" t="s">
        <v>21</v>
      </c>
      <c r="F237" s="326">
        <v>55</v>
      </c>
      <c r="G237" s="318">
        <f t="shared" ref="G237:G249" si="14">F237*D237</f>
        <v>275</v>
      </c>
    </row>
    <row r="238" spans="1:8" ht="15" customHeight="1">
      <c r="A238" s="310"/>
      <c r="B238" s="310"/>
      <c r="C238" s="323" t="s">
        <v>1495</v>
      </c>
      <c r="D238" s="324">
        <v>3</v>
      </c>
      <c r="E238" s="325" t="s">
        <v>21</v>
      </c>
      <c r="F238" s="326">
        <v>150</v>
      </c>
      <c r="G238" s="318">
        <f t="shared" si="14"/>
        <v>450</v>
      </c>
    </row>
    <row r="239" spans="1:8" ht="15" customHeight="1">
      <c r="A239" s="310"/>
      <c r="B239" s="310"/>
      <c r="C239" s="323" t="s">
        <v>1496</v>
      </c>
      <c r="D239" s="324">
        <v>3</v>
      </c>
      <c r="E239" s="325" t="s">
        <v>21</v>
      </c>
      <c r="F239" s="326">
        <v>220</v>
      </c>
      <c r="G239" s="318">
        <f t="shared" si="14"/>
        <v>660</v>
      </c>
    </row>
    <row r="240" spans="1:8" ht="15" customHeight="1">
      <c r="A240" s="310"/>
      <c r="B240" s="310"/>
      <c r="C240" s="323" t="s">
        <v>1497</v>
      </c>
      <c r="D240" s="324">
        <v>2</v>
      </c>
      <c r="E240" s="325" t="s">
        <v>21</v>
      </c>
      <c r="F240" s="326">
        <v>200</v>
      </c>
      <c r="G240" s="318">
        <f t="shared" si="14"/>
        <v>400</v>
      </c>
    </row>
    <row r="241" spans="1:11" ht="15" customHeight="1">
      <c r="A241" s="310"/>
      <c r="B241" s="310"/>
      <c r="C241" s="323" t="s">
        <v>1498</v>
      </c>
      <c r="D241" s="324">
        <v>2</v>
      </c>
      <c r="E241" s="325" t="s">
        <v>21</v>
      </c>
      <c r="F241" s="326">
        <v>180</v>
      </c>
      <c r="G241" s="318">
        <f t="shared" si="14"/>
        <v>360</v>
      </c>
    </row>
    <row r="242" spans="1:11" ht="15" customHeight="1">
      <c r="A242" s="310"/>
      <c r="B242" s="310"/>
      <c r="C242" s="323" t="s">
        <v>1499</v>
      </c>
      <c r="D242" s="324">
        <v>10</v>
      </c>
      <c r="E242" s="325" t="s">
        <v>21</v>
      </c>
      <c r="F242" s="326">
        <v>150</v>
      </c>
      <c r="G242" s="318">
        <f t="shared" si="14"/>
        <v>1500</v>
      </c>
    </row>
    <row r="243" spans="1:11" ht="15" customHeight="1">
      <c r="A243" s="310"/>
      <c r="B243" s="310"/>
      <c r="C243" s="323" t="s">
        <v>1500</v>
      </c>
      <c r="D243" s="324">
        <v>10</v>
      </c>
      <c r="E243" s="325" t="s">
        <v>21</v>
      </c>
      <c r="F243" s="326">
        <v>55</v>
      </c>
      <c r="G243" s="318">
        <f t="shared" si="14"/>
        <v>550</v>
      </c>
    </row>
    <row r="244" spans="1:11" ht="15" customHeight="1">
      <c r="A244" s="310"/>
      <c r="B244" s="310"/>
      <c r="C244" s="323" t="s">
        <v>1501</v>
      </c>
      <c r="D244" s="324">
        <v>10</v>
      </c>
      <c r="E244" s="325" t="s">
        <v>21</v>
      </c>
      <c r="F244" s="326">
        <v>40</v>
      </c>
      <c r="G244" s="318">
        <f t="shared" si="14"/>
        <v>400</v>
      </c>
    </row>
    <row r="245" spans="1:11" ht="15" customHeight="1">
      <c r="A245" s="310"/>
      <c r="B245" s="310"/>
      <c r="C245" s="323" t="s">
        <v>1502</v>
      </c>
      <c r="D245" s="324">
        <v>6</v>
      </c>
      <c r="E245" s="325" t="s">
        <v>398</v>
      </c>
      <c r="F245" s="326">
        <v>355</v>
      </c>
      <c r="G245" s="318">
        <f t="shared" si="14"/>
        <v>2130</v>
      </c>
    </row>
    <row r="246" spans="1:11" ht="15" customHeight="1">
      <c r="A246" s="310"/>
      <c r="B246" s="310"/>
      <c r="C246" s="323" t="s">
        <v>1503</v>
      </c>
      <c r="D246" s="324">
        <v>3</v>
      </c>
      <c r="E246" s="325" t="s">
        <v>398</v>
      </c>
      <c r="F246" s="326">
        <v>270</v>
      </c>
      <c r="G246" s="318">
        <f t="shared" si="14"/>
        <v>810</v>
      </c>
    </row>
    <row r="247" spans="1:11" ht="15" customHeight="1">
      <c r="A247" s="310"/>
      <c r="B247" s="310"/>
      <c r="C247" s="323" t="s">
        <v>1504</v>
      </c>
      <c r="D247" s="324">
        <v>1</v>
      </c>
      <c r="E247" s="325" t="s">
        <v>398</v>
      </c>
      <c r="F247" s="326">
        <v>45</v>
      </c>
      <c r="G247" s="318">
        <f t="shared" si="14"/>
        <v>45</v>
      </c>
    </row>
    <row r="248" spans="1:11" ht="15" customHeight="1">
      <c r="A248" s="310"/>
      <c r="B248" s="310"/>
      <c r="C248" s="323" t="s">
        <v>925</v>
      </c>
      <c r="D248" s="324">
        <v>1</v>
      </c>
      <c r="E248" s="325" t="s">
        <v>398</v>
      </c>
      <c r="F248" s="326">
        <v>35</v>
      </c>
      <c r="G248" s="318">
        <f t="shared" si="14"/>
        <v>35</v>
      </c>
    </row>
    <row r="249" spans="1:11" ht="15" customHeight="1">
      <c r="A249" s="310"/>
      <c r="B249" s="310"/>
      <c r="C249" s="323" t="s">
        <v>1505</v>
      </c>
      <c r="D249" s="324">
        <v>2</v>
      </c>
      <c r="E249" s="325" t="s">
        <v>398</v>
      </c>
      <c r="F249" s="326">
        <v>30</v>
      </c>
      <c r="G249" s="319">
        <f t="shared" si="14"/>
        <v>60</v>
      </c>
    </row>
    <row r="250" spans="1:11" ht="15" customHeight="1">
      <c r="A250" s="310"/>
      <c r="B250" s="310"/>
      <c r="C250" s="308"/>
      <c r="D250" s="311"/>
      <c r="E250" s="311"/>
      <c r="F250" s="320" t="s">
        <v>1211</v>
      </c>
      <c r="G250" s="307">
        <f>SUM(G231:G249)</f>
        <v>16040</v>
      </c>
      <c r="H250" s="299">
        <f>G250*5</f>
        <v>80200</v>
      </c>
    </row>
    <row r="251" spans="1:11" ht="15" customHeight="1">
      <c r="A251" s="310"/>
      <c r="B251" s="310"/>
      <c r="C251" s="308"/>
      <c r="D251" s="311"/>
      <c r="E251" s="311"/>
    </row>
    <row r="252" spans="1:11" ht="15" customHeight="1">
      <c r="A252" s="310"/>
      <c r="B252" s="310"/>
      <c r="C252" s="308"/>
      <c r="D252" s="311"/>
      <c r="E252" s="311"/>
      <c r="F252" s="320" t="s">
        <v>1212</v>
      </c>
      <c r="G252" s="312">
        <f>G250+G227</f>
        <v>19055</v>
      </c>
    </row>
    <row r="253" spans="1:11" ht="15" customHeight="1">
      <c r="F253" s="320" t="s">
        <v>1213</v>
      </c>
      <c r="G253" s="312">
        <f>G252/D220</f>
        <v>19055</v>
      </c>
    </row>
    <row r="254" spans="1:11" ht="15" customHeight="1">
      <c r="A254" s="310"/>
      <c r="B254" s="310"/>
      <c r="C254" s="308"/>
      <c r="D254" s="311"/>
      <c r="E254" s="311"/>
      <c r="F254" s="320"/>
      <c r="G254" s="354"/>
      <c r="J254" s="357">
        <f>G351/G350</f>
        <v>0.46808423456300308</v>
      </c>
      <c r="K254" s="299">
        <f>G350*0.45</f>
        <v>124362.0009</v>
      </c>
    </row>
    <row r="255" spans="1:11" ht="15" customHeight="1">
      <c r="A255" s="307" t="s">
        <v>1506</v>
      </c>
      <c r="B255" s="355" t="s">
        <v>1028</v>
      </c>
      <c r="C255" s="313" t="s">
        <v>1188</v>
      </c>
      <c r="D255" s="314">
        <v>1</v>
      </c>
      <c r="E255" s="311" t="s">
        <v>809</v>
      </c>
      <c r="F255" s="312"/>
      <c r="G255" s="312"/>
    </row>
    <row r="256" spans="1:11" ht="15" customHeight="1">
      <c r="A256" s="310"/>
      <c r="B256" s="355"/>
      <c r="C256" s="322"/>
      <c r="D256" s="329"/>
      <c r="E256" s="329"/>
      <c r="F256" s="312"/>
      <c r="G256" s="312"/>
    </row>
    <row r="257" spans="1:11" ht="15" customHeight="1">
      <c r="A257" s="310" t="s">
        <v>1341</v>
      </c>
      <c r="B257" s="310"/>
      <c r="C257" s="308"/>
      <c r="D257" s="311"/>
      <c r="E257" s="311"/>
      <c r="F257" s="312"/>
      <c r="G257" s="312"/>
    </row>
    <row r="258" spans="1:11" ht="26.25" customHeight="1">
      <c r="A258" s="310"/>
      <c r="B258" s="310"/>
      <c r="C258" s="308"/>
      <c r="D258" s="311" t="s">
        <v>1409</v>
      </c>
      <c r="E258" s="311" t="s">
        <v>1410</v>
      </c>
      <c r="F258" s="312" t="s">
        <v>1411</v>
      </c>
      <c r="G258" s="312" t="s">
        <v>1217</v>
      </c>
    </row>
    <row r="259" spans="1:11" ht="15" customHeight="1">
      <c r="A259" s="310"/>
      <c r="B259" s="310"/>
      <c r="C259" s="315" t="s">
        <v>1413</v>
      </c>
      <c r="D259" s="316">
        <v>1</v>
      </c>
      <c r="E259" s="316">
        <v>1.2</v>
      </c>
      <c r="F259" s="317">
        <v>414</v>
      </c>
      <c r="G259" s="318">
        <f>F259*E259*D259</f>
        <v>496.79999999999995</v>
      </c>
    </row>
    <row r="260" spans="1:11" ht="15" customHeight="1">
      <c r="A260" s="310"/>
      <c r="B260" s="310"/>
      <c r="C260" s="315" t="s">
        <v>1415</v>
      </c>
      <c r="D260" s="316">
        <v>1</v>
      </c>
      <c r="E260" s="316">
        <f>E259</f>
        <v>1.2</v>
      </c>
      <c r="F260" s="317">
        <v>341</v>
      </c>
      <c r="G260" s="319">
        <f>F260*E260*D260</f>
        <v>409.2</v>
      </c>
    </row>
    <row r="261" spans="1:11" ht="15" customHeight="1">
      <c r="A261" s="310"/>
      <c r="B261" s="310"/>
      <c r="C261" s="308"/>
      <c r="D261" s="311"/>
      <c r="E261" s="311"/>
      <c r="F261" s="320" t="s">
        <v>1211</v>
      </c>
      <c r="G261" s="312">
        <f>SUM(G259:G260)</f>
        <v>906</v>
      </c>
      <c r="H261" s="299">
        <f>G261/G266</f>
        <v>0.45300000000000001</v>
      </c>
    </row>
    <row r="262" spans="1:11" ht="15" customHeight="1">
      <c r="A262" s="310" t="s">
        <v>1215</v>
      </c>
    </row>
    <row r="263" spans="1:11" ht="15" customHeight="1">
      <c r="A263" s="310"/>
      <c r="B263" s="310"/>
      <c r="C263" s="322"/>
      <c r="D263" s="311" t="s">
        <v>173</v>
      </c>
      <c r="E263" s="311" t="s">
        <v>297</v>
      </c>
      <c r="F263" s="320" t="s">
        <v>1216</v>
      </c>
      <c r="G263" s="312" t="s">
        <v>1217</v>
      </c>
    </row>
    <row r="264" spans="1:11" ht="15" customHeight="1">
      <c r="A264" s="310"/>
      <c r="B264" s="310"/>
      <c r="C264" s="308"/>
      <c r="D264" s="311"/>
      <c r="E264" s="311"/>
      <c r="F264" s="320"/>
      <c r="G264" s="312"/>
    </row>
    <row r="265" spans="1:11" ht="15" customHeight="1">
      <c r="A265" s="310"/>
      <c r="B265" s="310"/>
      <c r="C265" s="323" t="s">
        <v>1507</v>
      </c>
      <c r="D265" s="324">
        <v>1</v>
      </c>
      <c r="E265" s="325" t="s">
        <v>1508</v>
      </c>
      <c r="F265" s="326">
        <v>2000</v>
      </c>
      <c r="G265" s="319">
        <f>F265*D265</f>
        <v>2000</v>
      </c>
    </row>
    <row r="266" spans="1:11" ht="15" customHeight="1">
      <c r="A266" s="310"/>
      <c r="B266" s="310"/>
      <c r="C266" s="308"/>
      <c r="D266" s="311"/>
      <c r="E266" s="311"/>
      <c r="F266" s="320" t="s">
        <v>1211</v>
      </c>
      <c r="G266" s="307">
        <f>SUM(G265:G265)</f>
        <v>2000</v>
      </c>
    </row>
    <row r="267" spans="1:11" ht="15" customHeight="1">
      <c r="A267" s="310"/>
      <c r="B267" s="310"/>
      <c r="C267" s="308"/>
      <c r="D267" s="311"/>
      <c r="E267" s="311"/>
    </row>
    <row r="268" spans="1:11" ht="15" customHeight="1">
      <c r="A268" s="310"/>
      <c r="B268" s="310"/>
      <c r="C268" s="308"/>
      <c r="D268" s="311"/>
      <c r="E268" s="311"/>
      <c r="F268" s="320" t="s">
        <v>1212</v>
      </c>
      <c r="G268" s="312">
        <f>G266+G261</f>
        <v>2906</v>
      </c>
    </row>
    <row r="269" spans="1:11" ht="15" customHeight="1">
      <c r="F269" s="320" t="s">
        <v>1213</v>
      </c>
      <c r="G269" s="312">
        <f>G268/D255</f>
        <v>2906</v>
      </c>
      <c r="J269" s="321" t="s">
        <v>1509</v>
      </c>
      <c r="K269" s="299" t="s">
        <v>1217</v>
      </c>
    </row>
    <row r="270" spans="1:11" ht="15" customHeight="1">
      <c r="F270" s="320"/>
      <c r="G270" s="312"/>
      <c r="J270" s="357">
        <f>G351/G350</f>
        <v>0.46808423456300308</v>
      </c>
    </row>
    <row r="271" spans="1:11" ht="15" customHeight="1">
      <c r="A271" s="307" t="s">
        <v>1510</v>
      </c>
      <c r="B271" s="1109" t="s">
        <v>1511</v>
      </c>
      <c r="C271" s="313" t="s">
        <v>1188</v>
      </c>
      <c r="D271" s="314">
        <v>99</v>
      </c>
      <c r="E271" s="311" t="s">
        <v>112</v>
      </c>
      <c r="F271" s="312"/>
      <c r="G271" s="312"/>
    </row>
    <row r="272" spans="1:11" ht="15" customHeight="1">
      <c r="A272" s="310"/>
      <c r="B272" s="1109"/>
      <c r="C272" s="322"/>
      <c r="D272" s="329"/>
      <c r="E272" s="329"/>
      <c r="F272" s="312"/>
      <c r="G272" s="312"/>
    </row>
    <row r="273" spans="1:8" ht="15" customHeight="1">
      <c r="A273" s="310"/>
      <c r="B273" s="337"/>
      <c r="C273" s="322"/>
      <c r="D273" s="329"/>
      <c r="E273" s="329"/>
      <c r="F273" s="312"/>
      <c r="G273" s="312"/>
    </row>
    <row r="274" spans="1:8" ht="15" customHeight="1">
      <c r="A274" s="310" t="s">
        <v>1341</v>
      </c>
      <c r="B274" s="310"/>
      <c r="C274" s="308"/>
      <c r="D274" s="311"/>
      <c r="E274" s="311"/>
      <c r="F274" s="312"/>
      <c r="G274" s="312"/>
    </row>
    <row r="275" spans="1:8" ht="26.25" customHeight="1">
      <c r="A275" s="310"/>
      <c r="B275" s="310"/>
      <c r="C275" s="308"/>
      <c r="D275" s="311" t="s">
        <v>1409</v>
      </c>
      <c r="E275" s="311" t="s">
        <v>1410</v>
      </c>
      <c r="F275" s="312" t="s">
        <v>1411</v>
      </c>
      <c r="G275" s="312" t="s">
        <v>1217</v>
      </c>
    </row>
    <row r="276" spans="1:8" ht="15" customHeight="1">
      <c r="A276" s="310"/>
      <c r="B276" s="310"/>
      <c r="C276" s="361" t="s">
        <v>1412</v>
      </c>
      <c r="D276" s="362">
        <v>1</v>
      </c>
      <c r="E276" s="362">
        <v>6.5</v>
      </c>
      <c r="F276" s="363">
        <v>615</v>
      </c>
      <c r="G276" s="318">
        <f>F276*E276*D276</f>
        <v>3997.5</v>
      </c>
    </row>
    <row r="277" spans="1:8" ht="15" customHeight="1">
      <c r="A277" s="310"/>
      <c r="B277" s="310"/>
      <c r="C277" s="361" t="s">
        <v>1512</v>
      </c>
      <c r="D277" s="362">
        <v>2</v>
      </c>
      <c r="E277" s="362">
        <f>E276</f>
        <v>6.5</v>
      </c>
      <c r="F277" s="363">
        <v>390</v>
      </c>
      <c r="G277" s="318">
        <f>F277*E277*D277</f>
        <v>5070</v>
      </c>
    </row>
    <row r="278" spans="1:8" ht="15" customHeight="1">
      <c r="A278" s="310"/>
      <c r="B278" s="310"/>
      <c r="C278" s="361" t="s">
        <v>1415</v>
      </c>
      <c r="D278" s="362">
        <v>4</v>
      </c>
      <c r="E278" s="362">
        <f>E277</f>
        <v>6.5</v>
      </c>
      <c r="F278" s="363">
        <v>341</v>
      </c>
      <c r="G278" s="319">
        <f>F278*E278*D278</f>
        <v>8866</v>
      </c>
    </row>
    <row r="279" spans="1:8" ht="15" customHeight="1">
      <c r="A279" s="310"/>
      <c r="B279" s="310"/>
      <c r="C279" s="308"/>
      <c r="D279" s="311"/>
      <c r="E279" s="311"/>
      <c r="F279" s="320" t="s">
        <v>1211</v>
      </c>
      <c r="G279" s="312">
        <f>SUM(G276:G278)</f>
        <v>17933.5</v>
      </c>
      <c r="H279" s="299">
        <f>G279/G289</f>
        <v>0.48865122615803813</v>
      </c>
    </row>
    <row r="280" spans="1:8" ht="15" customHeight="1">
      <c r="A280" s="310" t="s">
        <v>1215</v>
      </c>
    </row>
    <row r="281" spans="1:8" ht="15" customHeight="1">
      <c r="A281" s="310"/>
      <c r="B281" s="310"/>
      <c r="C281" s="322"/>
      <c r="D281" s="311" t="s">
        <v>173</v>
      </c>
      <c r="E281" s="311" t="s">
        <v>297</v>
      </c>
      <c r="F281" s="320" t="s">
        <v>1216</v>
      </c>
      <c r="G281" s="312" t="s">
        <v>1217</v>
      </c>
    </row>
    <row r="282" spans="1:8" ht="15" customHeight="1">
      <c r="A282" s="310"/>
      <c r="B282" s="310"/>
      <c r="C282" s="308"/>
      <c r="D282" s="311"/>
      <c r="E282" s="311"/>
      <c r="F282" s="320"/>
      <c r="G282" s="312"/>
    </row>
    <row r="283" spans="1:8" ht="15" customHeight="1">
      <c r="A283" s="310"/>
      <c r="B283" s="310"/>
      <c r="C283" s="364" t="s">
        <v>1513</v>
      </c>
      <c r="D283" s="365">
        <v>40</v>
      </c>
      <c r="E283" s="366" t="s">
        <v>605</v>
      </c>
      <c r="F283" s="367">
        <v>600</v>
      </c>
      <c r="G283" s="318">
        <f t="shared" ref="G283:G288" si="15">F283*D283</f>
        <v>24000</v>
      </c>
    </row>
    <row r="284" spans="1:8" ht="15" customHeight="1">
      <c r="A284" s="310"/>
      <c r="B284" s="310"/>
      <c r="C284" s="364" t="s">
        <v>1514</v>
      </c>
      <c r="D284" s="365">
        <v>35</v>
      </c>
      <c r="E284" s="366" t="s">
        <v>350</v>
      </c>
      <c r="F284" s="367">
        <v>130</v>
      </c>
      <c r="G284" s="318">
        <f t="shared" si="15"/>
        <v>4550</v>
      </c>
    </row>
    <row r="285" spans="1:8" ht="15" customHeight="1">
      <c r="A285" s="310"/>
      <c r="B285" s="310"/>
      <c r="C285" s="364" t="s">
        <v>1515</v>
      </c>
      <c r="D285" s="365">
        <v>34</v>
      </c>
      <c r="E285" s="366" t="s">
        <v>350</v>
      </c>
      <c r="F285" s="367">
        <v>150</v>
      </c>
      <c r="G285" s="318">
        <f t="shared" si="15"/>
        <v>5100</v>
      </c>
    </row>
    <row r="286" spans="1:8" ht="15" customHeight="1">
      <c r="A286" s="310"/>
      <c r="B286" s="310"/>
      <c r="C286" s="364" t="s">
        <v>1516</v>
      </c>
      <c r="D286" s="365">
        <v>250</v>
      </c>
      <c r="E286" s="366" t="s">
        <v>21</v>
      </c>
      <c r="F286" s="367">
        <v>7</v>
      </c>
      <c r="G286" s="318">
        <f t="shared" si="15"/>
        <v>1750</v>
      </c>
    </row>
    <row r="287" spans="1:8" ht="15" customHeight="1">
      <c r="A287" s="310"/>
      <c r="B287" s="310"/>
      <c r="C287" s="364" t="s">
        <v>1517</v>
      </c>
      <c r="D287" s="365">
        <v>2</v>
      </c>
      <c r="E287" s="366" t="s">
        <v>591</v>
      </c>
      <c r="F287" s="367">
        <v>500</v>
      </c>
      <c r="G287" s="318">
        <f t="shared" si="15"/>
        <v>1000</v>
      </c>
    </row>
    <row r="288" spans="1:8" ht="15" customHeight="1">
      <c r="A288" s="310"/>
      <c r="B288" s="310"/>
      <c r="C288" s="364" t="s">
        <v>1518</v>
      </c>
      <c r="D288" s="365">
        <v>2</v>
      </c>
      <c r="E288" s="366" t="s">
        <v>238</v>
      </c>
      <c r="F288" s="367">
        <v>150</v>
      </c>
      <c r="G288" s="319">
        <f t="shared" si="15"/>
        <v>300</v>
      </c>
    </row>
    <row r="289" spans="1:8" ht="15" customHeight="1">
      <c r="A289" s="310"/>
      <c r="B289" s="310"/>
      <c r="C289" s="308"/>
      <c r="D289" s="311"/>
      <c r="E289" s="311"/>
      <c r="F289" s="320" t="s">
        <v>1211</v>
      </c>
      <c r="G289" s="307">
        <f>SUM(G283:G288)</f>
        <v>36700</v>
      </c>
      <c r="H289" s="299">
        <f>G289*5</f>
        <v>183500</v>
      </c>
    </row>
    <row r="290" spans="1:8" ht="15" customHeight="1">
      <c r="A290" s="310"/>
      <c r="B290" s="310"/>
      <c r="C290" s="308"/>
      <c r="D290" s="311"/>
      <c r="E290" s="311"/>
    </row>
    <row r="291" spans="1:8" ht="15" customHeight="1">
      <c r="A291" s="310"/>
      <c r="B291" s="310"/>
      <c r="C291" s="308"/>
      <c r="D291" s="311"/>
      <c r="E291" s="311"/>
      <c r="F291" s="320" t="s">
        <v>1212</v>
      </c>
      <c r="G291" s="312">
        <f>G289+G279</f>
        <v>54633.5</v>
      </c>
    </row>
    <row r="292" spans="1:8" ht="15" customHeight="1">
      <c r="F292" s="320" t="s">
        <v>1213</v>
      </c>
      <c r="G292" s="312">
        <f>G291/D271</f>
        <v>551.85353535353534</v>
      </c>
    </row>
    <row r="293" spans="1:8" ht="15" customHeight="1">
      <c r="F293" s="320"/>
      <c r="G293" s="312"/>
    </row>
    <row r="294" spans="1:8" ht="15" customHeight="1">
      <c r="F294" s="320"/>
      <c r="G294" s="312"/>
    </row>
    <row r="295" spans="1:8" ht="15" customHeight="1">
      <c r="F295" s="320"/>
      <c r="G295" s="312"/>
    </row>
    <row r="296" spans="1:8" ht="15" customHeight="1">
      <c r="F296" s="320"/>
      <c r="G296" s="312"/>
    </row>
    <row r="297" spans="1:8" ht="15" customHeight="1">
      <c r="F297" s="320"/>
      <c r="G297" s="312"/>
    </row>
    <row r="298" spans="1:8" ht="15" customHeight="1">
      <c r="F298" s="320"/>
      <c r="G298" s="312"/>
    </row>
    <row r="299" spans="1:8" ht="15" customHeight="1">
      <c r="F299" s="320"/>
      <c r="G299" s="312"/>
    </row>
    <row r="300" spans="1:8" ht="15" customHeight="1">
      <c r="F300" s="320"/>
      <c r="G300" s="312"/>
    </row>
    <row r="301" spans="1:8" ht="15" customHeight="1">
      <c r="F301" s="320"/>
      <c r="G301" s="312"/>
    </row>
    <row r="302" spans="1:8" ht="15" customHeight="1">
      <c r="F302" s="320"/>
      <c r="G302" s="312"/>
    </row>
    <row r="303" spans="1:8" ht="15" customHeight="1">
      <c r="F303" s="320"/>
      <c r="G303" s="312"/>
    </row>
    <row r="304" spans="1:8" ht="15" customHeight="1">
      <c r="F304" s="320"/>
      <c r="G304" s="312"/>
    </row>
    <row r="305" spans="6:7" ht="15" customHeight="1">
      <c r="F305" s="320"/>
      <c r="G305" s="312"/>
    </row>
    <row r="306" spans="6:7" ht="15" customHeight="1">
      <c r="F306" s="320"/>
      <c r="G306" s="312"/>
    </row>
    <row r="307" spans="6:7" ht="15" customHeight="1">
      <c r="F307" s="320"/>
      <c r="G307" s="312"/>
    </row>
    <row r="308" spans="6:7" ht="15" customHeight="1">
      <c r="F308" s="320"/>
      <c r="G308" s="312"/>
    </row>
    <row r="309" spans="6:7" ht="15" customHeight="1">
      <c r="F309" s="320"/>
      <c r="G309" s="312"/>
    </row>
    <row r="310" spans="6:7" ht="15" customHeight="1">
      <c r="F310" s="320"/>
      <c r="G310" s="312"/>
    </row>
    <row r="311" spans="6:7" ht="15" customHeight="1">
      <c r="F311" s="320"/>
      <c r="G311" s="312"/>
    </row>
    <row r="312" spans="6:7" ht="15" customHeight="1">
      <c r="F312" s="320"/>
      <c r="G312" s="312"/>
    </row>
    <row r="313" spans="6:7" ht="15" customHeight="1">
      <c r="F313" s="320"/>
      <c r="G313" s="312"/>
    </row>
    <row r="314" spans="6:7" ht="15" customHeight="1">
      <c r="F314" s="320"/>
      <c r="G314" s="312"/>
    </row>
    <row r="315" spans="6:7" ht="15" customHeight="1">
      <c r="F315" s="320"/>
      <c r="G315" s="312"/>
    </row>
    <row r="316" spans="6:7" ht="15" customHeight="1">
      <c r="F316" s="320"/>
      <c r="G316" s="312"/>
    </row>
    <row r="317" spans="6:7" ht="15" customHeight="1">
      <c r="F317" s="320"/>
      <c r="G317" s="312"/>
    </row>
    <row r="318" spans="6:7" ht="15" customHeight="1">
      <c r="F318" s="320"/>
      <c r="G318" s="312"/>
    </row>
    <row r="319" spans="6:7" ht="15" customHeight="1">
      <c r="F319" s="320"/>
      <c r="G319" s="312"/>
    </row>
    <row r="320" spans="6:7" ht="15" customHeight="1">
      <c r="F320" s="320"/>
      <c r="G320" s="312"/>
    </row>
    <row r="321" spans="1:8" ht="15" customHeight="1">
      <c r="F321" s="320"/>
      <c r="G321" s="312"/>
    </row>
    <row r="322" spans="1:8" ht="15" customHeight="1">
      <c r="F322" s="320"/>
      <c r="G322" s="312"/>
    </row>
    <row r="323" spans="1:8" ht="15" customHeight="1">
      <c r="F323" s="320"/>
      <c r="G323" s="312"/>
    </row>
    <row r="324" spans="1:8" ht="15" customHeight="1">
      <c r="F324" s="320"/>
      <c r="G324" s="312"/>
    </row>
    <row r="325" spans="1:8" ht="15" customHeight="1">
      <c r="F325" s="320"/>
      <c r="G325" s="312"/>
    </row>
    <row r="326" spans="1:8" ht="15" customHeight="1">
      <c r="F326" s="320"/>
      <c r="G326" s="312"/>
    </row>
    <row r="327" spans="1:8" ht="15" customHeight="1">
      <c r="A327" s="307" t="s">
        <v>1519</v>
      </c>
      <c r="B327" s="1109" t="s">
        <v>132</v>
      </c>
      <c r="C327" s="313" t="s">
        <v>1188</v>
      </c>
      <c r="D327" s="314">
        <v>1</v>
      </c>
      <c r="E327" s="311" t="s">
        <v>165</v>
      </c>
      <c r="F327" s="312"/>
      <c r="G327" s="312"/>
    </row>
    <row r="328" spans="1:8" ht="15" customHeight="1">
      <c r="A328" s="310"/>
      <c r="B328" s="1109"/>
      <c r="C328" s="322"/>
      <c r="D328" s="329"/>
      <c r="E328" s="329"/>
      <c r="F328" s="312"/>
      <c r="G328" s="312"/>
    </row>
    <row r="329" spans="1:8" ht="15" customHeight="1">
      <c r="A329" s="310"/>
      <c r="B329" s="337"/>
      <c r="C329" s="322"/>
      <c r="D329" s="329"/>
      <c r="E329" s="329"/>
      <c r="F329" s="312"/>
      <c r="G329" s="312"/>
    </row>
    <row r="330" spans="1:8" ht="15" customHeight="1">
      <c r="A330" s="310" t="s">
        <v>1341</v>
      </c>
      <c r="B330" s="310"/>
      <c r="C330" s="308"/>
      <c r="D330" s="311"/>
      <c r="E330" s="311"/>
      <c r="F330" s="312"/>
      <c r="G330" s="312"/>
    </row>
    <row r="331" spans="1:8" ht="26.25" customHeight="1">
      <c r="A331" s="310"/>
      <c r="B331" s="310"/>
      <c r="C331" s="308"/>
      <c r="D331" s="311" t="s">
        <v>1409</v>
      </c>
      <c r="E331" s="311" t="s">
        <v>1410</v>
      </c>
      <c r="F331" s="312" t="s">
        <v>1411</v>
      </c>
      <c r="G331" s="312" t="s">
        <v>1217</v>
      </c>
    </row>
    <row r="332" spans="1:8" ht="15" customHeight="1">
      <c r="A332" s="310"/>
      <c r="B332" s="310"/>
      <c r="C332" s="361" t="s">
        <v>1412</v>
      </c>
      <c r="D332" s="362">
        <v>1</v>
      </c>
      <c r="E332" s="362">
        <v>6.5</v>
      </c>
      <c r="F332" s="363">
        <v>615</v>
      </c>
      <c r="G332" s="318">
        <f t="shared" ref="G332:G334" si="16">F332*E332*D332</f>
        <v>3997.5</v>
      </c>
    </row>
    <row r="333" spans="1:8" ht="15" customHeight="1">
      <c r="A333" s="310"/>
      <c r="B333" s="310"/>
      <c r="C333" s="361" t="s">
        <v>1520</v>
      </c>
      <c r="D333" s="362">
        <v>2</v>
      </c>
      <c r="E333" s="362">
        <f>E332</f>
        <v>6.5</v>
      </c>
      <c r="F333" s="363">
        <v>390</v>
      </c>
      <c r="G333" s="318">
        <f t="shared" si="16"/>
        <v>5070</v>
      </c>
    </row>
    <row r="334" spans="1:8" ht="15" customHeight="1">
      <c r="A334" s="310"/>
      <c r="B334" s="310"/>
      <c r="C334" s="361" t="s">
        <v>1415</v>
      </c>
      <c r="D334" s="362">
        <v>4</v>
      </c>
      <c r="E334" s="362">
        <f>E333</f>
        <v>6.5</v>
      </c>
      <c r="F334" s="363">
        <v>341</v>
      </c>
      <c r="G334" s="319">
        <f t="shared" si="16"/>
        <v>8866</v>
      </c>
    </row>
    <row r="335" spans="1:8" ht="15" customHeight="1">
      <c r="A335" s="310"/>
      <c r="B335" s="310"/>
      <c r="C335" s="308"/>
      <c r="D335" s="311"/>
      <c r="E335" s="311"/>
      <c r="F335" s="320" t="s">
        <v>1211</v>
      </c>
      <c r="G335" s="312">
        <f>SUM(G332:G334)</f>
        <v>17933.5</v>
      </c>
      <c r="H335" s="299">
        <f>G335/G345</f>
        <v>0.72664100486223659</v>
      </c>
    </row>
    <row r="336" spans="1:8" ht="15" customHeight="1">
      <c r="A336" s="310" t="s">
        <v>1215</v>
      </c>
    </row>
    <row r="337" spans="1:10" ht="15" customHeight="1">
      <c r="A337" s="310"/>
      <c r="B337" s="310"/>
      <c r="C337" s="322"/>
      <c r="D337" s="311" t="s">
        <v>173</v>
      </c>
      <c r="E337" s="311" t="s">
        <v>297</v>
      </c>
      <c r="F337" s="320" t="s">
        <v>1216</v>
      </c>
      <c r="G337" s="312" t="s">
        <v>1217</v>
      </c>
    </row>
    <row r="338" spans="1:10" ht="15" customHeight="1">
      <c r="A338" s="310"/>
      <c r="B338" s="310"/>
      <c r="C338" s="308"/>
      <c r="D338" s="311"/>
      <c r="E338" s="311"/>
      <c r="F338" s="320"/>
      <c r="G338" s="312"/>
    </row>
    <row r="339" spans="1:10" ht="15" customHeight="1">
      <c r="A339" s="310"/>
      <c r="B339" s="310"/>
      <c r="C339" s="364" t="s">
        <v>1521</v>
      </c>
      <c r="D339" s="365">
        <v>4</v>
      </c>
      <c r="E339" s="366" t="s">
        <v>350</v>
      </c>
      <c r="F339" s="367">
        <v>1400</v>
      </c>
      <c r="G339" s="318">
        <f t="shared" ref="G339:G344" si="17">F339*D339</f>
        <v>5600</v>
      </c>
    </row>
    <row r="340" spans="1:10" ht="15" customHeight="1">
      <c r="A340" s="310"/>
      <c r="B340" s="310"/>
      <c r="C340" s="364" t="s">
        <v>696</v>
      </c>
      <c r="D340" s="365">
        <v>10</v>
      </c>
      <c r="E340" s="366" t="s">
        <v>238</v>
      </c>
      <c r="F340" s="367">
        <f>F120</f>
        <v>190</v>
      </c>
      <c r="G340" s="318">
        <f t="shared" si="17"/>
        <v>1900</v>
      </c>
    </row>
    <row r="341" spans="1:10" ht="15" customHeight="1">
      <c r="A341" s="310"/>
      <c r="B341" s="310"/>
      <c r="C341" s="364" t="s">
        <v>1522</v>
      </c>
      <c r="D341" s="365">
        <v>15</v>
      </c>
      <c r="E341" s="366" t="s">
        <v>350</v>
      </c>
      <c r="F341" s="367">
        <f>F121</f>
        <v>210</v>
      </c>
      <c r="G341" s="318">
        <f t="shared" si="17"/>
        <v>3150</v>
      </c>
    </row>
    <row r="342" spans="1:10" ht="15" customHeight="1">
      <c r="A342" s="310"/>
      <c r="B342" s="310"/>
      <c r="C342" s="327" t="s">
        <v>1428</v>
      </c>
      <c r="D342" s="365">
        <v>7</v>
      </c>
      <c r="E342" s="366" t="s">
        <v>21</v>
      </c>
      <c r="F342" s="367">
        <v>690</v>
      </c>
      <c r="G342" s="318">
        <f t="shared" si="17"/>
        <v>4830</v>
      </c>
    </row>
    <row r="343" spans="1:10" ht="15" customHeight="1">
      <c r="A343" s="310"/>
      <c r="B343" s="310"/>
      <c r="C343" s="364" t="s">
        <v>1523</v>
      </c>
      <c r="D343" s="365">
        <v>4</v>
      </c>
      <c r="E343" s="366" t="s">
        <v>605</v>
      </c>
      <c r="F343" s="367">
        <v>750</v>
      </c>
      <c r="G343" s="318">
        <f t="shared" si="17"/>
        <v>3000</v>
      </c>
    </row>
    <row r="344" spans="1:10" ht="15" customHeight="1">
      <c r="A344" s="310"/>
      <c r="B344" s="310"/>
      <c r="C344" s="364" t="s">
        <v>1524</v>
      </c>
      <c r="D344" s="365">
        <v>2</v>
      </c>
      <c r="E344" s="366" t="s">
        <v>350</v>
      </c>
      <c r="F344" s="367">
        <v>3100</v>
      </c>
      <c r="G344" s="319">
        <f t="shared" si="17"/>
        <v>6200</v>
      </c>
    </row>
    <row r="345" spans="1:10" ht="15" customHeight="1">
      <c r="A345" s="310"/>
      <c r="B345" s="310"/>
      <c r="C345" s="308"/>
      <c r="D345" s="311"/>
      <c r="E345" s="311"/>
      <c r="F345" s="320" t="s">
        <v>1211</v>
      </c>
      <c r="G345" s="307">
        <f>SUM(G339:G344)</f>
        <v>24680</v>
      </c>
      <c r="H345" s="299">
        <f>G345*5</f>
        <v>123400</v>
      </c>
    </row>
    <row r="346" spans="1:10" ht="15" customHeight="1">
      <c r="A346" s="310"/>
      <c r="B346" s="310"/>
      <c r="C346" s="308"/>
      <c r="D346" s="311"/>
      <c r="E346" s="311"/>
    </row>
    <row r="347" spans="1:10" ht="15" customHeight="1">
      <c r="A347" s="310"/>
      <c r="B347" s="310"/>
      <c r="C347" s="308"/>
      <c r="D347" s="311"/>
      <c r="E347" s="311"/>
      <c r="F347" s="320" t="s">
        <v>1212</v>
      </c>
      <c r="G347" s="312">
        <f>G345+G335</f>
        <v>42613.5</v>
      </c>
    </row>
    <row r="348" spans="1:10" ht="15" customHeight="1">
      <c r="F348" s="320" t="s">
        <v>1213</v>
      </c>
      <c r="G348" s="312">
        <f>G347/D327</f>
        <v>42613.5</v>
      </c>
    </row>
    <row r="349" spans="1:10" ht="15" customHeight="1">
      <c r="F349" s="320"/>
      <c r="G349" s="312"/>
    </row>
    <row r="350" spans="1:10" ht="15" customHeight="1">
      <c r="A350" s="310"/>
      <c r="B350" s="310"/>
      <c r="C350" s="308"/>
      <c r="D350" s="311"/>
      <c r="E350" s="311"/>
      <c r="F350" s="356" t="s">
        <v>1289</v>
      </c>
      <c r="G350" s="312">
        <f>SUM(G345,G289,G266,G250,G215,G190,G153,G122,G97,G76,G50,G30)</f>
        <v>276360.00199999998</v>
      </c>
    </row>
    <row r="351" spans="1:10" ht="15" customHeight="1">
      <c r="F351" s="356" t="s">
        <v>1290</v>
      </c>
      <c r="G351" s="312">
        <f>SUM(G23,G42,G62,G89,G110,G136,G166,G203,G227,G261,G279,G335,)</f>
        <v>129359.76</v>
      </c>
      <c r="H351" s="299">
        <f>K254-G351</f>
        <v>-4997.7590999999957</v>
      </c>
      <c r="J351" s="299" t="e">
        <f>SUM(#REF!,G99,G78,G32,#REF!)</f>
        <v>#REF!</v>
      </c>
    </row>
    <row r="352" spans="1:10" ht="15" customHeight="1">
      <c r="F352" s="354" t="s">
        <v>1292</v>
      </c>
      <c r="G352" s="307">
        <f>G350+G351</f>
        <v>405719.76199999999</v>
      </c>
      <c r="H352" s="299">
        <f>B8-G352</f>
        <v>-5719.7619999999879</v>
      </c>
      <c r="I352" s="299">
        <f>G350+G351</f>
        <v>405719.76199999999</v>
      </c>
    </row>
    <row r="353" spans="1:10" ht="15" customHeight="1">
      <c r="B353" s="358"/>
      <c r="J353" s="299" t="s">
        <v>1525</v>
      </c>
    </row>
    <row r="354" spans="1:10" ht="15" customHeight="1">
      <c r="B354" s="359"/>
      <c r="F354" s="300"/>
      <c r="G354" s="300"/>
    </row>
    <row r="355" spans="1:10" ht="15" customHeight="1">
      <c r="H355" s="299">
        <f>SUM(G347,G291,G268,G252,G217,G192,G155,G124,G99,G78,G52,G32,)</f>
        <v>405719.76199999999</v>
      </c>
    </row>
    <row r="356" spans="1:10" ht="15" customHeight="1">
      <c r="A356" s="299" t="s">
        <v>1526</v>
      </c>
      <c r="C356" s="315" t="s">
        <v>1527</v>
      </c>
      <c r="D356" s="300" t="s">
        <v>1528</v>
      </c>
    </row>
    <row r="357" spans="1:10" ht="15" customHeight="1">
      <c r="D357" s="300"/>
    </row>
    <row r="358" spans="1:10" ht="15" customHeight="1">
      <c r="D358" s="300"/>
    </row>
    <row r="359" spans="1:10" ht="15" customHeight="1">
      <c r="B359" s="307" t="s">
        <v>1364</v>
      </c>
      <c r="C359" s="771" t="s">
        <v>1671</v>
      </c>
      <c r="D359" s="771"/>
      <c r="E359" s="770" t="s">
        <v>1365</v>
      </c>
    </row>
    <row r="360" spans="1:10" ht="15" customHeight="1">
      <c r="B360" s="299" t="s">
        <v>1529</v>
      </c>
      <c r="C360" s="368" t="s">
        <v>1367</v>
      </c>
      <c r="E360" s="299" t="s">
        <v>1368</v>
      </c>
    </row>
    <row r="365" spans="1:10" ht="15" customHeight="1">
      <c r="A365" s="300" t="s">
        <v>1530</v>
      </c>
      <c r="C365" s="369" t="s">
        <v>1531</v>
      </c>
    </row>
    <row r="369" spans="2:4" ht="15" customHeight="1">
      <c r="B369" s="307" t="s">
        <v>1532</v>
      </c>
      <c r="D369" s="307" t="s">
        <v>1371</v>
      </c>
    </row>
    <row r="370" spans="2:4" ht="15" customHeight="1">
      <c r="B370" s="299" t="s">
        <v>1373</v>
      </c>
      <c r="D370" s="299" t="s">
        <v>1374</v>
      </c>
    </row>
    <row r="372" spans="2:4" ht="15" customHeight="1">
      <c r="C372" s="368"/>
    </row>
  </sheetData>
  <mergeCells count="34">
    <mergeCell ref="A1:G1"/>
    <mergeCell ref="A2:G2"/>
    <mergeCell ref="A3:G3"/>
    <mergeCell ref="A4:G4"/>
    <mergeCell ref="A10:G10"/>
    <mergeCell ref="B6:C7"/>
    <mergeCell ref="B128:B129"/>
    <mergeCell ref="B195:B196"/>
    <mergeCell ref="C207:C208"/>
    <mergeCell ref="C211:C212"/>
    <mergeCell ref="B81:B82"/>
    <mergeCell ref="B102:B103"/>
    <mergeCell ref="B158:B159"/>
    <mergeCell ref="C209:C210"/>
    <mergeCell ref="D207:D208"/>
    <mergeCell ref="E207:E208"/>
    <mergeCell ref="F207:F208"/>
    <mergeCell ref="G207:G208"/>
    <mergeCell ref="F213:F214"/>
    <mergeCell ref="D209:D210"/>
    <mergeCell ref="E209:E210"/>
    <mergeCell ref="F209:F210"/>
    <mergeCell ref="G209:G210"/>
    <mergeCell ref="G211:G212"/>
    <mergeCell ref="D211:D212"/>
    <mergeCell ref="E211:E212"/>
    <mergeCell ref="F211:F212"/>
    <mergeCell ref="B271:B272"/>
    <mergeCell ref="G213:G214"/>
    <mergeCell ref="B327:B328"/>
    <mergeCell ref="C213:C214"/>
    <mergeCell ref="D213:D214"/>
    <mergeCell ref="E213:E214"/>
    <mergeCell ref="B220:B221"/>
  </mergeCells>
  <pageMargins left="0.21" right="0.17" top="0.63" bottom="0.24" header="0.51" footer="0.12"/>
  <pageSetup paperSize="14" scale="70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P193"/>
  <sheetViews>
    <sheetView tabSelected="1" view="pageBreakPreview" zoomScale="85" zoomScaleNormal="85" zoomScaleSheetLayoutView="85" workbookViewId="0">
      <pane ySplit="9" topLeftCell="A168" activePane="bottomLeft" state="frozen"/>
      <selection pane="bottomLeft" activeCell="A148" sqref="A148"/>
    </sheetView>
  </sheetViews>
  <sheetFormatPr defaultColWidth="9.140625" defaultRowHeight="15" customHeight="1"/>
  <cols>
    <col min="1" max="1" width="16.85546875" style="773" customWidth="1"/>
    <col min="2" max="2" width="37.5703125" style="773" customWidth="1"/>
    <col min="3" max="3" width="46.140625" style="774" customWidth="1"/>
    <col min="4" max="4" width="19.85546875" style="773" customWidth="1"/>
    <col min="5" max="5" width="18.140625" style="773" customWidth="1"/>
    <col min="6" max="6" width="13.85546875" style="773" customWidth="1"/>
    <col min="7" max="7" width="16.42578125" style="773" customWidth="1"/>
    <col min="8" max="8" width="20.85546875" style="773" customWidth="1"/>
    <col min="9" max="9" width="34" style="773" customWidth="1"/>
    <col min="10" max="10" width="17.5703125" style="773" customWidth="1"/>
    <col min="11" max="11" width="10.5703125" style="773" customWidth="1"/>
    <col min="12" max="12" width="9.5703125" style="773" customWidth="1"/>
    <col min="13" max="13" width="12.85546875" style="773" customWidth="1"/>
    <col min="14" max="14" width="15.5703125" style="773" customWidth="1"/>
    <col min="15" max="15" width="15.28515625" style="773" customWidth="1"/>
    <col min="16" max="16384" width="9.140625" style="773"/>
  </cols>
  <sheetData>
    <row r="1" spans="1:16" ht="15" customHeight="1">
      <c r="A1" s="1114" t="s">
        <v>1174</v>
      </c>
      <c r="B1" s="1114"/>
      <c r="C1" s="1114"/>
      <c r="D1" s="1114"/>
      <c r="E1" s="1114"/>
      <c r="F1" s="1114"/>
      <c r="G1" s="1114"/>
      <c r="H1" s="777"/>
      <c r="I1" s="777"/>
      <c r="J1" s="777"/>
      <c r="K1" s="777"/>
      <c r="L1" s="777"/>
      <c r="M1" s="777"/>
      <c r="N1" s="777"/>
      <c r="O1" s="777"/>
      <c r="P1" s="777"/>
    </row>
    <row r="2" spans="1:16" ht="15" customHeight="1">
      <c r="A2" s="1114" t="s">
        <v>1175</v>
      </c>
      <c r="B2" s="1114"/>
      <c r="C2" s="1114"/>
      <c r="D2" s="1114"/>
      <c r="E2" s="1114"/>
      <c r="F2" s="1114"/>
      <c r="G2" s="1114"/>
      <c r="H2" s="778"/>
      <c r="I2" s="777"/>
      <c r="J2" s="777"/>
      <c r="K2" s="777"/>
      <c r="L2" s="777"/>
      <c r="M2" s="777"/>
      <c r="N2" s="777"/>
      <c r="O2" s="777"/>
      <c r="P2" s="777"/>
    </row>
    <row r="3" spans="1:16" ht="15" customHeight="1">
      <c r="A3" s="1114" t="s">
        <v>1176</v>
      </c>
      <c r="B3" s="1114"/>
      <c r="C3" s="1114"/>
      <c r="D3" s="1114"/>
      <c r="E3" s="1114"/>
      <c r="F3" s="1114"/>
      <c r="G3" s="1114"/>
      <c r="H3" s="779"/>
      <c r="I3" s="777"/>
      <c r="J3" s="777"/>
      <c r="K3" s="777"/>
      <c r="L3" s="777"/>
      <c r="M3" s="777"/>
      <c r="N3" s="777"/>
      <c r="O3" s="777">
        <f>(24*4+2.4*5)</f>
        <v>108</v>
      </c>
      <c r="P3" s="777"/>
    </row>
    <row r="4" spans="1:16" ht="15" customHeight="1">
      <c r="A4" s="1114" t="s">
        <v>1304</v>
      </c>
      <c r="B4" s="1114"/>
      <c r="C4" s="1114"/>
      <c r="D4" s="1114"/>
      <c r="E4" s="1114"/>
      <c r="F4" s="1114"/>
      <c r="G4" s="1114"/>
      <c r="H4" s="777" t="s">
        <v>1673</v>
      </c>
      <c r="I4" s="795">
        <f>G24+G61+G102+G160</f>
        <v>180296.24</v>
      </c>
      <c r="J4" s="780"/>
      <c r="K4" s="777"/>
      <c r="L4" s="773">
        <f>E19+E43+E90++E151</f>
        <v>13</v>
      </c>
      <c r="M4" s="777" t="s">
        <v>1594</v>
      </c>
      <c r="N4" s="777">
        <f>(5*6+2.4*9)</f>
        <v>51.599999999999994</v>
      </c>
      <c r="O4" s="777"/>
      <c r="P4" s="777"/>
    </row>
    <row r="5" spans="1:16" ht="15" customHeight="1">
      <c r="A5" s="776"/>
      <c r="B5" s="776"/>
      <c r="C5" s="776"/>
      <c r="D5" s="776"/>
      <c r="E5" s="776"/>
      <c r="F5" s="776"/>
      <c r="G5" s="776"/>
      <c r="H5" s="777" t="s">
        <v>1674</v>
      </c>
      <c r="I5" s="795">
        <f>G163</f>
        <v>218915.68</v>
      </c>
      <c r="J5" s="777"/>
      <c r="K5" s="777"/>
      <c r="L5" s="773">
        <f>L4</f>
        <v>13</v>
      </c>
      <c r="M5" s="777" t="s">
        <v>1676</v>
      </c>
      <c r="N5" s="777"/>
      <c r="O5" s="777"/>
      <c r="P5" s="777"/>
    </row>
    <row r="6" spans="1:16" ht="15" customHeight="1">
      <c r="A6" s="799" t="s">
        <v>1708</v>
      </c>
      <c r="B6" s="782" t="s">
        <v>1709</v>
      </c>
      <c r="C6" s="781"/>
      <c r="H6" s="773" t="s">
        <v>1675</v>
      </c>
      <c r="I6" s="796">
        <f>G164</f>
        <v>161084.32</v>
      </c>
      <c r="J6" s="793">
        <f>I6/I4</f>
        <v>0.89344248110775915</v>
      </c>
      <c r="N6" s="773">
        <f>I5*0.45</f>
        <v>98512.055999999997</v>
      </c>
    </row>
    <row r="7" spans="1:16" ht="15" customHeight="1">
      <c r="A7" s="799" t="s">
        <v>1180</v>
      </c>
      <c r="B7" s="782" t="s">
        <v>1710</v>
      </c>
      <c r="C7" s="781"/>
      <c r="I7" s="794">
        <f>I5+I6</f>
        <v>380000</v>
      </c>
    </row>
    <row r="8" spans="1:16" s="802" customFormat="1" ht="15" customHeight="1">
      <c r="A8" s="799" t="s">
        <v>1701</v>
      </c>
      <c r="B8" s="800">
        <f>G165</f>
        <v>380000</v>
      </c>
      <c r="C8" s="801"/>
      <c r="P8" s="802">
        <f>500000-I6</f>
        <v>338915.68</v>
      </c>
    </row>
    <row r="9" spans="1:16" s="802" customFormat="1" ht="15" customHeight="1">
      <c r="A9" s="799" t="s">
        <v>1702</v>
      </c>
      <c r="B9" s="789">
        <f>E21+E32+E43+E69+E90+E109+E152+E134</f>
        <v>38</v>
      </c>
      <c r="C9" s="782" t="s">
        <v>1703</v>
      </c>
      <c r="P9" s="802">
        <f>500000-I7</f>
        <v>120000</v>
      </c>
    </row>
    <row r="10" spans="1:16" s="802" customFormat="1" ht="15" customHeight="1">
      <c r="C10" s="803"/>
    </row>
    <row r="11" spans="1:16" s="802" customFormat="1" ht="22.5" customHeight="1">
      <c r="A11" s="1115" t="s">
        <v>1183</v>
      </c>
      <c r="B11" s="1115"/>
      <c r="C11" s="1115"/>
      <c r="D11" s="1115"/>
      <c r="E11" s="1115"/>
      <c r="F11" s="1115"/>
      <c r="G11" s="1115"/>
    </row>
    <row r="12" spans="1:16" s="802" customFormat="1" ht="13.5" customHeight="1">
      <c r="A12" s="804"/>
      <c r="B12" s="804"/>
      <c r="C12" s="804"/>
      <c r="D12" s="804"/>
      <c r="E12" s="804"/>
      <c r="F12" s="804"/>
      <c r="G12" s="804"/>
    </row>
    <row r="13" spans="1:16" s="802" customFormat="1" ht="15" customHeight="1">
      <c r="A13" s="802" t="s">
        <v>1184</v>
      </c>
      <c r="B13" s="804" t="s">
        <v>1185</v>
      </c>
      <c r="C13" s="803"/>
      <c r="D13" s="805"/>
      <c r="E13" s="805"/>
      <c r="F13" s="806"/>
      <c r="G13" s="806"/>
    </row>
    <row r="14" spans="1:16" s="802" customFormat="1" ht="15" customHeight="1">
      <c r="B14" s="804"/>
      <c r="C14" s="803"/>
      <c r="D14" s="805"/>
      <c r="E14" s="805"/>
      <c r="F14" s="806"/>
      <c r="G14" s="806"/>
    </row>
    <row r="15" spans="1:16" s="802" customFormat="1" ht="15" customHeight="1">
      <c r="A15" s="807" t="s">
        <v>1404</v>
      </c>
      <c r="B15" s="783" t="s">
        <v>1715</v>
      </c>
      <c r="C15" s="808" t="s">
        <v>1188</v>
      </c>
      <c r="D15" s="784">
        <v>1</v>
      </c>
      <c r="E15" s="797" t="s">
        <v>1683</v>
      </c>
      <c r="F15" s="806"/>
      <c r="G15" s="806"/>
    </row>
    <row r="16" spans="1:16" s="802" customFormat="1" ht="15" customHeight="1">
      <c r="A16" s="804"/>
      <c r="B16" s="1277" t="s">
        <v>1716</v>
      </c>
      <c r="C16" s="803"/>
      <c r="D16" s="805"/>
      <c r="E16" s="805"/>
      <c r="F16" s="806"/>
      <c r="G16" s="806"/>
    </row>
    <row r="17" spans="1:15" s="802" customFormat="1" ht="15" customHeight="1">
      <c r="A17" s="804" t="s">
        <v>1341</v>
      </c>
      <c r="B17" s="804"/>
      <c r="C17" s="803"/>
      <c r="D17" s="805"/>
      <c r="E17" s="805"/>
      <c r="F17" s="806"/>
      <c r="G17" s="806"/>
    </row>
    <row r="18" spans="1:15" s="802" customFormat="1" ht="26.25" customHeight="1">
      <c r="A18" s="804"/>
      <c r="B18" s="804"/>
      <c r="C18" s="803"/>
      <c r="D18" s="805" t="s">
        <v>1409</v>
      </c>
      <c r="E18" s="805" t="s">
        <v>1704</v>
      </c>
      <c r="F18" s="806" t="s">
        <v>1677</v>
      </c>
      <c r="G18" s="806" t="s">
        <v>1217</v>
      </c>
      <c r="J18" s="809" t="s">
        <v>1420</v>
      </c>
      <c r="K18" s="809" t="s">
        <v>1678</v>
      </c>
      <c r="L18" s="809" t="s">
        <v>1687</v>
      </c>
      <c r="M18" s="809" t="s">
        <v>1688</v>
      </c>
      <c r="N18" s="809" t="s">
        <v>1689</v>
      </c>
      <c r="O18" s="809" t="s">
        <v>1690</v>
      </c>
    </row>
    <row r="19" spans="1:15" s="802" customFormat="1" ht="15" customHeight="1">
      <c r="A19" s="804"/>
      <c r="B19" s="804"/>
      <c r="C19" s="803" t="s">
        <v>1412</v>
      </c>
      <c r="D19" s="810">
        <v>1</v>
      </c>
      <c r="E19" s="810">
        <v>2</v>
      </c>
      <c r="F19" s="811">
        <v>718</v>
      </c>
      <c r="G19" s="806">
        <f>F19*E19*D19</f>
        <v>1436</v>
      </c>
      <c r="J19" s="802">
        <v>30</v>
      </c>
      <c r="K19" s="802">
        <v>15</v>
      </c>
      <c r="L19" s="802">
        <v>0.2</v>
      </c>
      <c r="M19" s="802">
        <f>J19*K19*L19</f>
        <v>90</v>
      </c>
      <c r="N19" s="802">
        <f>M19*0.2</f>
        <v>18</v>
      </c>
      <c r="O19" s="812">
        <f>N19+M19</f>
        <v>108</v>
      </c>
    </row>
    <row r="20" spans="1:15" s="802" customFormat="1" ht="15" customHeight="1">
      <c r="A20" s="804"/>
      <c r="C20" s="803" t="s">
        <v>1717</v>
      </c>
      <c r="D20" s="810">
        <v>1</v>
      </c>
      <c r="E20" s="810">
        <v>2</v>
      </c>
      <c r="F20" s="811">
        <v>490.72</v>
      </c>
      <c r="G20" s="806">
        <f>F20*E20*D20</f>
        <v>981.44</v>
      </c>
    </row>
    <row r="21" spans="1:15" s="802" customFormat="1" ht="15" customHeight="1">
      <c r="A21" s="804"/>
      <c r="B21" s="804"/>
      <c r="C21" s="803" t="s">
        <v>1415</v>
      </c>
      <c r="D21" s="810">
        <v>4</v>
      </c>
      <c r="E21" s="810">
        <v>2</v>
      </c>
      <c r="F21" s="811">
        <v>442.5</v>
      </c>
      <c r="G21" s="813">
        <f>F21*E21*D21</f>
        <v>3540</v>
      </c>
    </row>
    <row r="22" spans="1:15" s="802" customFormat="1" ht="15" customHeight="1">
      <c r="A22" s="804"/>
      <c r="B22" s="804"/>
      <c r="C22" s="803"/>
      <c r="D22" s="805"/>
      <c r="E22" s="805"/>
      <c r="F22" s="814" t="s">
        <v>1211</v>
      </c>
      <c r="G22" s="806">
        <f>SUM(G19:G21)</f>
        <v>5957.4400000000005</v>
      </c>
      <c r="H22" s="812" t="e">
        <f>#REF!*#REF!</f>
        <v>#REF!</v>
      </c>
      <c r="I22" s="802" t="e">
        <f>G22/#REF!</f>
        <v>#REF!</v>
      </c>
    </row>
    <row r="23" spans="1:15" s="802" customFormat="1" ht="15" customHeight="1">
      <c r="A23" s="804"/>
      <c r="B23" s="804"/>
      <c r="C23" s="803"/>
      <c r="D23" s="805"/>
      <c r="E23" s="805"/>
    </row>
    <row r="24" spans="1:15" s="802" customFormat="1" ht="15" customHeight="1">
      <c r="A24" s="804"/>
      <c r="B24" s="804"/>
      <c r="C24" s="803"/>
      <c r="D24" s="805"/>
      <c r="E24" s="805"/>
      <c r="F24" s="814" t="s">
        <v>1212</v>
      </c>
      <c r="G24" s="806">
        <f>G22</f>
        <v>5957.4400000000005</v>
      </c>
    </row>
    <row r="25" spans="1:15" s="802" customFormat="1" ht="15" customHeight="1">
      <c r="A25" s="804"/>
      <c r="B25" s="804"/>
      <c r="C25" s="803"/>
      <c r="D25" s="805"/>
      <c r="E25" s="805"/>
      <c r="F25" s="814" t="s">
        <v>1213</v>
      </c>
      <c r="G25" s="806">
        <f>G24/D15</f>
        <v>5957.4400000000005</v>
      </c>
    </row>
    <row r="26" spans="1:15" s="802" customFormat="1" ht="15" customHeight="1">
      <c r="A26" s="804"/>
      <c r="B26" s="804"/>
      <c r="C26" s="803"/>
      <c r="D26" s="805"/>
      <c r="E26" s="805"/>
      <c r="F26" s="814"/>
      <c r="G26" s="806"/>
    </row>
    <row r="27" spans="1:15" s="802" customFormat="1" ht="15" customHeight="1">
      <c r="A27" s="807" t="s">
        <v>1418</v>
      </c>
      <c r="B27" s="783" t="s">
        <v>1718</v>
      </c>
      <c r="C27" s="808" t="s">
        <v>1188</v>
      </c>
      <c r="D27" s="784">
        <v>70</v>
      </c>
      <c r="E27" s="798" t="s">
        <v>23</v>
      </c>
      <c r="F27" s="806"/>
      <c r="G27" s="806"/>
    </row>
    <row r="28" spans="1:15" s="802" customFormat="1" ht="15" customHeight="1">
      <c r="A28" s="804"/>
      <c r="B28" s="804"/>
      <c r="C28" s="803"/>
      <c r="D28" s="805"/>
      <c r="E28" s="805"/>
      <c r="F28" s="806"/>
      <c r="G28" s="806"/>
    </row>
    <row r="29" spans="1:15" s="802" customFormat="1" ht="15" customHeight="1">
      <c r="A29" s="804" t="s">
        <v>1341</v>
      </c>
      <c r="B29" s="804"/>
      <c r="C29" s="803"/>
      <c r="D29" s="805"/>
      <c r="E29" s="805"/>
      <c r="F29" s="806"/>
      <c r="G29" s="806"/>
    </row>
    <row r="30" spans="1:15" s="802" customFormat="1" ht="15" customHeight="1">
      <c r="A30" s="804"/>
      <c r="B30" s="804"/>
      <c r="C30" s="803"/>
      <c r="D30" s="805" t="s">
        <v>1409</v>
      </c>
      <c r="E30" s="805" t="s">
        <v>1704</v>
      </c>
      <c r="F30" s="806" t="s">
        <v>1677</v>
      </c>
      <c r="G30" s="806" t="s">
        <v>1217</v>
      </c>
    </row>
    <row r="31" spans="1:15" s="802" customFormat="1" ht="15" customHeight="1">
      <c r="A31" s="804"/>
      <c r="B31" s="804"/>
      <c r="C31" s="803" t="s">
        <v>1412</v>
      </c>
      <c r="D31" s="810">
        <v>1</v>
      </c>
      <c r="E31" s="810">
        <v>10</v>
      </c>
      <c r="F31" s="811">
        <v>718</v>
      </c>
      <c r="G31" s="806">
        <f>F31*E31*D31</f>
        <v>7180</v>
      </c>
    </row>
    <row r="32" spans="1:15" s="802" customFormat="1" ht="15" customHeight="1">
      <c r="A32" s="804"/>
      <c r="C32" s="803" t="s">
        <v>1717</v>
      </c>
      <c r="D32" s="810">
        <v>2</v>
      </c>
      <c r="E32" s="810">
        <v>10</v>
      </c>
      <c r="F32" s="811">
        <v>490.72</v>
      </c>
      <c r="G32" s="806">
        <f>F32*E32*D32</f>
        <v>9814.4000000000015</v>
      </c>
    </row>
    <row r="33" spans="1:14" s="802" customFormat="1" ht="15" customHeight="1">
      <c r="A33" s="804"/>
      <c r="B33" s="804"/>
      <c r="C33" s="803" t="s">
        <v>1415</v>
      </c>
      <c r="D33" s="810">
        <v>6</v>
      </c>
      <c r="E33" s="810">
        <v>10</v>
      </c>
      <c r="F33" s="811">
        <v>442.5</v>
      </c>
      <c r="G33" s="813">
        <f>F33*E33*D33</f>
        <v>26550</v>
      </c>
    </row>
    <row r="34" spans="1:14" s="802" customFormat="1" ht="15" customHeight="1">
      <c r="A34" s="804"/>
      <c r="B34" s="804"/>
      <c r="C34" s="803"/>
      <c r="D34" s="805"/>
      <c r="E34" s="805"/>
      <c r="F34" s="814" t="s">
        <v>1211</v>
      </c>
      <c r="G34" s="806">
        <f>SUM(G31:G33)</f>
        <v>43544.4</v>
      </c>
    </row>
    <row r="35" spans="1:14" s="802" customFormat="1" ht="15" customHeight="1">
      <c r="A35" s="804"/>
      <c r="B35" s="804"/>
      <c r="C35" s="803"/>
      <c r="D35" s="805"/>
      <c r="E35" s="805"/>
      <c r="F35" s="814"/>
      <c r="G35" s="806"/>
    </row>
    <row r="36" spans="1:14" s="802" customFormat="1" ht="15" customHeight="1">
      <c r="A36" s="804"/>
      <c r="B36" s="804"/>
      <c r="C36" s="803"/>
      <c r="D36" s="805"/>
      <c r="E36" s="805"/>
      <c r="F36" s="814" t="s">
        <v>1212</v>
      </c>
      <c r="G36" s="806">
        <f>G34</f>
        <v>43544.4</v>
      </c>
    </row>
    <row r="37" spans="1:14" s="802" customFormat="1" ht="15" customHeight="1">
      <c r="A37" s="804"/>
      <c r="B37" s="804"/>
      <c r="C37" s="803"/>
      <c r="D37" s="805"/>
      <c r="E37" s="805"/>
      <c r="F37" s="814" t="s">
        <v>1213</v>
      </c>
      <c r="G37" s="806">
        <f>G36/D27</f>
        <v>622.06285714285718</v>
      </c>
    </row>
    <row r="38" spans="1:14" s="802" customFormat="1" ht="15" customHeight="1">
      <c r="A38" s="804"/>
      <c r="B38" s="804"/>
      <c r="C38" s="803"/>
      <c r="D38" s="805"/>
      <c r="E38" s="805"/>
      <c r="F38" s="814"/>
      <c r="G38" s="806"/>
    </row>
    <row r="39" spans="1:14" s="802" customFormat="1" ht="15" customHeight="1">
      <c r="A39" s="807" t="s">
        <v>1429</v>
      </c>
      <c r="B39" s="783" t="s">
        <v>1691</v>
      </c>
      <c r="C39" s="808" t="s">
        <v>1188</v>
      </c>
      <c r="D39" s="797">
        <v>1</v>
      </c>
      <c r="E39" s="797" t="s">
        <v>1683</v>
      </c>
      <c r="F39" s="806"/>
      <c r="G39" s="806"/>
    </row>
    <row r="40" spans="1:14" s="802" customFormat="1" ht="15" customHeight="1">
      <c r="A40" s="804"/>
      <c r="B40" s="804"/>
      <c r="C40" s="803"/>
      <c r="D40" s="805"/>
      <c r="E40" s="805"/>
      <c r="F40" s="806"/>
      <c r="G40" s="806"/>
    </row>
    <row r="41" spans="1:14" s="802" customFormat="1" ht="15" customHeight="1">
      <c r="A41" s="804" t="s">
        <v>1341</v>
      </c>
      <c r="B41" s="804"/>
      <c r="C41" s="803"/>
      <c r="D41" s="805"/>
      <c r="E41" s="805"/>
      <c r="F41" s="806"/>
      <c r="G41" s="806"/>
    </row>
    <row r="42" spans="1:14" s="802" customFormat="1" ht="26.25" customHeight="1">
      <c r="A42" s="804"/>
      <c r="B42" s="804"/>
      <c r="C42" s="803"/>
      <c r="D42" s="805" t="s">
        <v>1409</v>
      </c>
      <c r="E42" s="805" t="s">
        <v>1704</v>
      </c>
      <c r="F42" s="806" t="s">
        <v>1677</v>
      </c>
      <c r="G42" s="806" t="s">
        <v>1217</v>
      </c>
    </row>
    <row r="43" spans="1:14" s="802" customFormat="1" ht="15" customHeight="1">
      <c r="A43" s="804"/>
      <c r="B43" s="804"/>
      <c r="C43" s="803" t="s">
        <v>1412</v>
      </c>
      <c r="D43" s="810">
        <v>1</v>
      </c>
      <c r="E43" s="810">
        <v>4</v>
      </c>
      <c r="F43" s="811">
        <v>718</v>
      </c>
      <c r="G43" s="806">
        <f>F43*E43*D43</f>
        <v>2872</v>
      </c>
    </row>
    <row r="44" spans="1:14" s="802" customFormat="1" ht="15" customHeight="1">
      <c r="A44" s="804"/>
      <c r="B44" s="804"/>
      <c r="C44" s="803" t="s">
        <v>1717</v>
      </c>
      <c r="D44" s="810">
        <v>2</v>
      </c>
      <c r="E44" s="810">
        <v>4</v>
      </c>
      <c r="F44" s="811">
        <v>528.79999999999995</v>
      </c>
      <c r="G44" s="806">
        <f>F44*E44*D44</f>
        <v>4230.3999999999996</v>
      </c>
    </row>
    <row r="45" spans="1:14" s="802" customFormat="1" ht="15" customHeight="1">
      <c r="A45" s="804"/>
      <c r="B45" s="804"/>
      <c r="C45" s="803" t="s">
        <v>1415</v>
      </c>
      <c r="D45" s="810">
        <v>6</v>
      </c>
      <c r="E45" s="810">
        <v>4</v>
      </c>
      <c r="F45" s="811">
        <v>442.5</v>
      </c>
      <c r="G45" s="813">
        <f>F45*E45*D45</f>
        <v>10620</v>
      </c>
      <c r="I45" s="804"/>
      <c r="J45" s="804"/>
      <c r="K45" s="804"/>
      <c r="L45" s="804"/>
      <c r="M45" s="804"/>
      <c r="N45" s="804"/>
    </row>
    <row r="46" spans="1:14" s="802" customFormat="1" ht="15" customHeight="1">
      <c r="A46" s="804"/>
      <c r="B46" s="804"/>
      <c r="C46" s="803"/>
      <c r="D46" s="805"/>
      <c r="E46" s="805"/>
      <c r="F46" s="814" t="s">
        <v>1211</v>
      </c>
      <c r="G46" s="806">
        <f>SUM(G43:G45)</f>
        <v>17722.400000000001</v>
      </c>
      <c r="H46" s="812">
        <f>H59*G59</f>
        <v>25408.350000000002</v>
      </c>
      <c r="I46" s="804"/>
      <c r="J46" s="804"/>
      <c r="K46" s="804"/>
      <c r="L46" s="804"/>
      <c r="M46" s="804"/>
      <c r="N46" s="804"/>
    </row>
    <row r="47" spans="1:14" s="802" customFormat="1" ht="15" customHeight="1">
      <c r="A47" s="804" t="s">
        <v>1215</v>
      </c>
      <c r="C47" s="801"/>
      <c r="I47" s="804"/>
      <c r="J47" s="804"/>
      <c r="K47" s="804"/>
      <c r="L47" s="804"/>
      <c r="M47" s="804"/>
      <c r="N47" s="804"/>
    </row>
    <row r="48" spans="1:14" s="802" customFormat="1" ht="15" customHeight="1">
      <c r="A48" s="804"/>
      <c r="B48" s="804"/>
      <c r="C48" s="815"/>
      <c r="D48" s="805" t="s">
        <v>173</v>
      </c>
      <c r="E48" s="805" t="s">
        <v>297</v>
      </c>
      <c r="F48" s="814" t="s">
        <v>1216</v>
      </c>
      <c r="G48" s="806" t="s">
        <v>1217</v>
      </c>
      <c r="I48" s="804"/>
      <c r="J48" s="804"/>
      <c r="K48" s="804"/>
      <c r="L48" s="804"/>
      <c r="M48" s="804"/>
      <c r="N48" s="804"/>
    </row>
    <row r="49" spans="1:16" s="802" customFormat="1" ht="15" customHeight="1">
      <c r="A49" s="804"/>
      <c r="B49" s="804"/>
      <c r="C49" s="803"/>
      <c r="D49" s="805"/>
      <c r="E49" s="805"/>
      <c r="F49" s="814"/>
      <c r="G49" s="806"/>
      <c r="I49" s="804"/>
      <c r="J49" s="804"/>
      <c r="K49" s="804"/>
      <c r="L49" s="804"/>
      <c r="M49" s="804"/>
      <c r="N49" s="804"/>
    </row>
    <row r="50" spans="1:16" s="802" customFormat="1" ht="15" customHeight="1">
      <c r="A50" s="804"/>
      <c r="B50" s="804"/>
      <c r="C50" s="816" t="s">
        <v>1680</v>
      </c>
      <c r="D50" s="817">
        <v>55</v>
      </c>
      <c r="E50" s="818" t="s">
        <v>612</v>
      </c>
      <c r="F50" s="819">
        <v>920</v>
      </c>
      <c r="G50" s="806">
        <f t="shared" ref="G50:G58" si="0">F50*D50</f>
        <v>50600</v>
      </c>
      <c r="I50" s="804"/>
      <c r="J50" s="804"/>
      <c r="K50" s="804"/>
      <c r="L50" s="804"/>
      <c r="M50" s="804"/>
      <c r="N50" s="804"/>
    </row>
    <row r="51" spans="1:16" s="802" customFormat="1" ht="15" customHeight="1">
      <c r="A51" s="804"/>
      <c r="B51" s="804"/>
      <c r="C51" s="816" t="s">
        <v>1712</v>
      </c>
      <c r="D51" s="817">
        <v>45</v>
      </c>
      <c r="E51" s="818" t="s">
        <v>1567</v>
      </c>
      <c r="F51" s="819">
        <v>32</v>
      </c>
      <c r="G51" s="806">
        <f t="shared" si="0"/>
        <v>1440</v>
      </c>
      <c r="I51" s="804"/>
      <c r="J51" s="804"/>
      <c r="K51" s="804"/>
      <c r="L51" s="804"/>
      <c r="M51" s="804"/>
      <c r="N51" s="804"/>
    </row>
    <row r="52" spans="1:16" s="802" customFormat="1" ht="15" customHeight="1">
      <c r="A52" s="804"/>
      <c r="B52" s="804"/>
      <c r="C52" s="816" t="s">
        <v>1711</v>
      </c>
      <c r="D52" s="817">
        <v>45</v>
      </c>
      <c r="E52" s="818" t="s">
        <v>1567</v>
      </c>
      <c r="F52" s="819">
        <v>32</v>
      </c>
      <c r="G52" s="806">
        <f t="shared" si="0"/>
        <v>1440</v>
      </c>
      <c r="I52" s="804"/>
      <c r="J52" s="804"/>
      <c r="K52" s="804"/>
      <c r="L52" s="804"/>
      <c r="M52" s="804"/>
      <c r="N52" s="804"/>
    </row>
    <row r="53" spans="1:16" s="802" customFormat="1" ht="15" customHeight="1">
      <c r="A53" s="804"/>
      <c r="B53" s="804"/>
      <c r="C53" s="816" t="s">
        <v>1713</v>
      </c>
      <c r="D53" s="817">
        <v>7</v>
      </c>
      <c r="E53" s="818" t="s">
        <v>238</v>
      </c>
      <c r="F53" s="819">
        <v>104</v>
      </c>
      <c r="G53" s="806">
        <f t="shared" si="0"/>
        <v>728</v>
      </c>
      <c r="I53" s="804"/>
      <c r="J53" s="804"/>
      <c r="K53" s="804"/>
      <c r="L53" s="804"/>
      <c r="M53" s="804"/>
      <c r="N53" s="804"/>
    </row>
    <row r="54" spans="1:16" s="802" customFormat="1" ht="15" customHeight="1">
      <c r="A54" s="804"/>
      <c r="B54" s="804"/>
      <c r="C54" s="816" t="s">
        <v>594</v>
      </c>
      <c r="D54" s="817">
        <v>7</v>
      </c>
      <c r="E54" s="818" t="s">
        <v>238</v>
      </c>
      <c r="F54" s="819">
        <v>104</v>
      </c>
      <c r="G54" s="806">
        <f t="shared" ref="G54:G56" si="1">F54*D54</f>
        <v>728</v>
      </c>
      <c r="I54" s="804"/>
      <c r="J54" s="804"/>
      <c r="K54" s="804"/>
      <c r="L54" s="804"/>
      <c r="M54" s="804"/>
      <c r="N54" s="804"/>
    </row>
    <row r="55" spans="1:16" s="802" customFormat="1" ht="15" customHeight="1">
      <c r="A55" s="804"/>
      <c r="B55" s="804"/>
      <c r="C55" s="816" t="s">
        <v>592</v>
      </c>
      <c r="D55" s="817">
        <v>3</v>
      </c>
      <c r="E55" s="818" t="s">
        <v>238</v>
      </c>
      <c r="F55" s="819">
        <v>104</v>
      </c>
      <c r="G55" s="806">
        <f t="shared" si="1"/>
        <v>312</v>
      </c>
      <c r="I55" s="804"/>
      <c r="J55" s="804"/>
      <c r="K55" s="804"/>
      <c r="L55" s="804"/>
      <c r="M55" s="804"/>
      <c r="N55" s="804"/>
    </row>
    <row r="56" spans="1:16" s="802" customFormat="1" ht="15" customHeight="1">
      <c r="A56" s="804"/>
      <c r="B56" s="804"/>
      <c r="C56" s="816" t="s">
        <v>1714</v>
      </c>
      <c r="D56" s="817">
        <v>6</v>
      </c>
      <c r="E56" s="818" t="s">
        <v>21</v>
      </c>
      <c r="F56" s="819">
        <v>120</v>
      </c>
      <c r="G56" s="806">
        <f t="shared" si="1"/>
        <v>720</v>
      </c>
      <c r="I56" s="804"/>
      <c r="J56" s="804"/>
      <c r="K56" s="804"/>
      <c r="L56" s="804"/>
      <c r="M56" s="804"/>
      <c r="N56" s="804"/>
    </row>
    <row r="57" spans="1:16" s="802" customFormat="1" ht="15" customHeight="1">
      <c r="A57" s="804"/>
      <c r="B57" s="804"/>
      <c r="C57" s="816" t="s">
        <v>1681</v>
      </c>
      <c r="D57" s="817">
        <v>3</v>
      </c>
      <c r="E57" s="818" t="s">
        <v>378</v>
      </c>
      <c r="F57" s="819">
        <v>40</v>
      </c>
      <c r="G57" s="806">
        <f t="shared" si="0"/>
        <v>120</v>
      </c>
      <c r="I57" s="804"/>
      <c r="J57" s="820"/>
      <c r="K57" s="804"/>
      <c r="L57" s="804"/>
      <c r="M57" s="804"/>
      <c r="N57" s="804"/>
    </row>
    <row r="58" spans="1:16" s="802" customFormat="1" ht="15" customHeight="1">
      <c r="A58" s="804"/>
      <c r="B58" s="804"/>
      <c r="C58" s="816" t="s">
        <v>1682</v>
      </c>
      <c r="D58" s="817">
        <v>15</v>
      </c>
      <c r="E58" s="818" t="s">
        <v>299</v>
      </c>
      <c r="F58" s="819">
        <v>25</v>
      </c>
      <c r="G58" s="813">
        <f t="shared" si="0"/>
        <v>375</v>
      </c>
      <c r="I58" s="804"/>
      <c r="J58" s="820"/>
      <c r="K58" s="804"/>
      <c r="L58" s="804"/>
      <c r="M58" s="804"/>
      <c r="N58" s="804"/>
    </row>
    <row r="59" spans="1:16" s="802" customFormat="1" ht="15" customHeight="1">
      <c r="A59" s="804"/>
      <c r="B59" s="804"/>
      <c r="C59" s="803"/>
      <c r="D59" s="805"/>
      <c r="E59" s="805"/>
      <c r="F59" s="814" t="s">
        <v>1211</v>
      </c>
      <c r="G59" s="802">
        <f>SUM(G50:G58)</f>
        <v>56463</v>
      </c>
      <c r="H59" s="802">
        <v>0.45</v>
      </c>
      <c r="I59" s="804"/>
      <c r="J59" s="804"/>
      <c r="K59" s="804"/>
      <c r="L59" s="804"/>
      <c r="M59" s="804"/>
      <c r="N59" s="804"/>
    </row>
    <row r="60" spans="1:16" s="802" customFormat="1" ht="15" customHeight="1">
      <c r="A60" s="804"/>
      <c r="B60" s="804"/>
      <c r="C60" s="803"/>
      <c r="D60" s="805"/>
      <c r="E60" s="805"/>
      <c r="I60" s="804"/>
      <c r="J60" s="804"/>
      <c r="K60" s="804"/>
      <c r="L60" s="804"/>
      <c r="M60" s="804"/>
      <c r="N60" s="804"/>
    </row>
    <row r="61" spans="1:16" s="802" customFormat="1" ht="15" customHeight="1">
      <c r="A61" s="804"/>
      <c r="B61" s="804"/>
      <c r="C61" s="803"/>
      <c r="D61" s="805"/>
      <c r="E61" s="805"/>
      <c r="F61" s="814" t="s">
        <v>1212</v>
      </c>
      <c r="G61" s="806">
        <f>G59+G46</f>
        <v>74185.399999999994</v>
      </c>
      <c r="I61" s="804"/>
      <c r="J61" s="804"/>
      <c r="K61" s="804"/>
      <c r="L61" s="804"/>
      <c r="M61" s="804"/>
      <c r="N61" s="804"/>
    </row>
    <row r="62" spans="1:16" s="802" customFormat="1" ht="15" customHeight="1">
      <c r="A62" s="804"/>
      <c r="B62" s="804"/>
      <c r="C62" s="803"/>
      <c r="D62" s="805"/>
      <c r="E62" s="805"/>
      <c r="F62" s="814" t="s">
        <v>1213</v>
      </c>
      <c r="G62" s="806">
        <f>G61/D39</f>
        <v>74185.399999999994</v>
      </c>
      <c r="I62" s="804"/>
      <c r="J62" s="804"/>
      <c r="K62" s="809" t="s">
        <v>1420</v>
      </c>
      <c r="L62" s="809" t="s">
        <v>1678</v>
      </c>
      <c r="M62" s="809" t="s">
        <v>110</v>
      </c>
      <c r="N62" s="809"/>
      <c r="O62" s="809"/>
      <c r="P62" s="809"/>
    </row>
    <row r="63" spans="1:16" s="802" customFormat="1" ht="15" customHeight="1">
      <c r="A63" s="804"/>
      <c r="B63" s="804"/>
      <c r="C63" s="803"/>
      <c r="D63" s="805"/>
      <c r="E63" s="805"/>
      <c r="F63" s="814"/>
      <c r="G63" s="806"/>
      <c r="I63" s="804"/>
      <c r="J63" s="804"/>
      <c r="K63" s="809"/>
      <c r="L63" s="809"/>
      <c r="M63" s="809"/>
      <c r="N63" s="809"/>
      <c r="O63" s="809"/>
      <c r="P63" s="809"/>
    </row>
    <row r="64" spans="1:16" s="802" customFormat="1" ht="15" customHeight="1">
      <c r="A64" s="807" t="s">
        <v>1436</v>
      </c>
      <c r="B64" s="783" t="s">
        <v>1719</v>
      </c>
      <c r="C64" s="808" t="s">
        <v>1188</v>
      </c>
      <c r="D64" s="798">
        <v>1</v>
      </c>
      <c r="E64" s="798" t="s">
        <v>1683</v>
      </c>
      <c r="F64" s="806"/>
      <c r="G64" s="806"/>
      <c r="I64" s="804"/>
      <c r="J64" s="804"/>
      <c r="K64" s="809"/>
      <c r="L64" s="809"/>
      <c r="M64" s="809"/>
      <c r="N64" s="809"/>
      <c r="O64" s="809"/>
      <c r="P64" s="809"/>
    </row>
    <row r="65" spans="1:16" s="802" customFormat="1" ht="15" customHeight="1">
      <c r="A65" s="804"/>
      <c r="B65" s="804"/>
      <c r="C65" s="803"/>
      <c r="D65" s="805"/>
      <c r="E65" s="805"/>
      <c r="F65" s="806"/>
      <c r="G65" s="806"/>
      <c r="I65" s="804"/>
      <c r="J65" s="804"/>
      <c r="K65" s="809"/>
      <c r="L65" s="809"/>
      <c r="M65" s="809"/>
      <c r="N65" s="809"/>
      <c r="O65" s="809"/>
      <c r="P65" s="809"/>
    </row>
    <row r="66" spans="1:16" s="802" customFormat="1" ht="15" customHeight="1">
      <c r="A66" s="804" t="s">
        <v>1341</v>
      </c>
      <c r="B66" s="804"/>
      <c r="C66" s="803"/>
      <c r="D66" s="805"/>
      <c r="E66" s="805"/>
      <c r="F66" s="806"/>
      <c r="G66" s="806"/>
      <c r="I66" s="804"/>
      <c r="J66" s="804"/>
      <c r="K66" s="809"/>
      <c r="L66" s="809"/>
      <c r="M66" s="809"/>
      <c r="N66" s="809"/>
      <c r="O66" s="809"/>
      <c r="P66" s="809"/>
    </row>
    <row r="67" spans="1:16" s="802" customFormat="1" ht="15" customHeight="1">
      <c r="A67" s="804"/>
      <c r="B67" s="804"/>
      <c r="C67" s="803"/>
      <c r="D67" s="805" t="s">
        <v>1409</v>
      </c>
      <c r="E67" s="805" t="s">
        <v>1704</v>
      </c>
      <c r="F67" s="806" t="s">
        <v>1677</v>
      </c>
      <c r="G67" s="806" t="s">
        <v>1217</v>
      </c>
      <c r="I67" s="804"/>
      <c r="J67" s="804"/>
      <c r="K67" s="809"/>
      <c r="L67" s="809"/>
      <c r="M67" s="809"/>
      <c r="N67" s="809"/>
      <c r="O67" s="809"/>
      <c r="P67" s="809"/>
    </row>
    <row r="68" spans="1:16" s="802" customFormat="1" ht="15" customHeight="1">
      <c r="A68" s="804"/>
      <c r="B68" s="804"/>
      <c r="C68" s="803" t="s">
        <v>1412</v>
      </c>
      <c r="D68" s="810">
        <v>1</v>
      </c>
      <c r="E68" s="810">
        <v>9</v>
      </c>
      <c r="F68" s="811">
        <v>718</v>
      </c>
      <c r="G68" s="806">
        <f>F68*E68*D68</f>
        <v>6462</v>
      </c>
      <c r="I68" s="804"/>
      <c r="J68" s="804"/>
      <c r="K68" s="809"/>
      <c r="L68" s="809"/>
      <c r="M68" s="809"/>
      <c r="N68" s="809"/>
      <c r="O68" s="809"/>
      <c r="P68" s="809"/>
    </row>
    <row r="69" spans="1:16" s="802" customFormat="1" ht="15" customHeight="1">
      <c r="A69" s="804"/>
      <c r="B69" s="804"/>
      <c r="C69" s="803" t="s">
        <v>1722</v>
      </c>
      <c r="D69" s="810">
        <v>2</v>
      </c>
      <c r="E69" s="810">
        <v>9</v>
      </c>
      <c r="F69" s="811">
        <v>528.79999999999995</v>
      </c>
      <c r="G69" s="806">
        <f>F69*E69*D69</f>
        <v>9518.4</v>
      </c>
      <c r="I69" s="804"/>
      <c r="J69" s="804"/>
      <c r="K69" s="809"/>
      <c r="L69" s="809"/>
      <c r="M69" s="809"/>
      <c r="N69" s="809"/>
      <c r="O69" s="809"/>
      <c r="P69" s="809"/>
    </row>
    <row r="70" spans="1:16" s="802" customFormat="1" ht="15" customHeight="1">
      <c r="A70" s="804"/>
      <c r="B70" s="804"/>
      <c r="C70" s="803" t="s">
        <v>1415</v>
      </c>
      <c r="D70" s="810">
        <v>6</v>
      </c>
      <c r="E70" s="810">
        <v>9</v>
      </c>
      <c r="F70" s="811">
        <v>442.5</v>
      </c>
      <c r="G70" s="813">
        <f>F70*E70*D70</f>
        <v>23895</v>
      </c>
      <c r="I70" s="804"/>
      <c r="J70" s="804"/>
      <c r="K70" s="809"/>
      <c r="L70" s="809"/>
      <c r="M70" s="809"/>
      <c r="N70" s="809"/>
      <c r="O70" s="809"/>
      <c r="P70" s="809"/>
    </row>
    <row r="71" spans="1:16" s="802" customFormat="1" ht="15" customHeight="1">
      <c r="A71" s="804"/>
      <c r="B71" s="804"/>
      <c r="C71" s="803"/>
      <c r="D71" s="805"/>
      <c r="E71" s="805"/>
      <c r="F71" s="814" t="s">
        <v>1211</v>
      </c>
      <c r="G71" s="806">
        <f>SUM(G68:G70)</f>
        <v>39875.4</v>
      </c>
      <c r="I71" s="804"/>
      <c r="J71" s="804"/>
      <c r="K71" s="809"/>
      <c r="L71" s="809"/>
      <c r="M71" s="809"/>
      <c r="N71" s="809"/>
      <c r="O71" s="809"/>
      <c r="P71" s="809"/>
    </row>
    <row r="72" spans="1:16" s="802" customFormat="1" ht="15" customHeight="1">
      <c r="A72" s="804" t="s">
        <v>1215</v>
      </c>
      <c r="C72" s="801"/>
      <c r="I72" s="804"/>
      <c r="J72" s="804"/>
      <c r="K72" s="809"/>
      <c r="L72" s="809"/>
      <c r="M72" s="809"/>
      <c r="N72" s="809"/>
      <c r="O72" s="809"/>
      <c r="P72" s="809"/>
    </row>
    <row r="73" spans="1:16" s="802" customFormat="1" ht="15" customHeight="1">
      <c r="A73" s="804"/>
      <c r="B73" s="804"/>
      <c r="C73" s="815"/>
      <c r="D73" s="805" t="s">
        <v>173</v>
      </c>
      <c r="E73" s="805" t="s">
        <v>297</v>
      </c>
      <c r="F73" s="814" t="s">
        <v>1216</v>
      </c>
      <c r="G73" s="806" t="s">
        <v>1217</v>
      </c>
      <c r="I73" s="804"/>
      <c r="J73" s="804"/>
      <c r="K73" s="809"/>
      <c r="L73" s="809"/>
      <c r="M73" s="809"/>
      <c r="N73" s="809"/>
      <c r="O73" s="809"/>
      <c r="P73" s="809"/>
    </row>
    <row r="74" spans="1:16" s="802" customFormat="1" ht="15" customHeight="1">
      <c r="A74" s="804"/>
      <c r="B74" s="804"/>
      <c r="C74" s="803"/>
      <c r="D74" s="805"/>
      <c r="E74" s="805"/>
      <c r="F74" s="814"/>
      <c r="G74" s="806"/>
      <c r="I74" s="804"/>
      <c r="J74" s="804"/>
      <c r="K74" s="809"/>
      <c r="L74" s="809"/>
      <c r="M74" s="809"/>
      <c r="N74" s="809"/>
      <c r="O74" s="809"/>
      <c r="P74" s="809"/>
    </row>
    <row r="75" spans="1:16" s="802" customFormat="1" ht="15" customHeight="1">
      <c r="A75" s="804"/>
      <c r="B75" s="804"/>
      <c r="C75" s="816" t="s">
        <v>1679</v>
      </c>
      <c r="D75" s="817">
        <v>90</v>
      </c>
      <c r="E75" s="818" t="s">
        <v>1720</v>
      </c>
      <c r="F75" s="819">
        <v>250</v>
      </c>
      <c r="G75" s="806">
        <f t="shared" ref="G75:G79" si="2">F75*D75</f>
        <v>22500</v>
      </c>
      <c r="I75" s="804"/>
      <c r="J75" s="804"/>
      <c r="K75" s="809"/>
      <c r="L75" s="809"/>
      <c r="M75" s="809"/>
      <c r="N75" s="809"/>
      <c r="O75" s="809"/>
      <c r="P75" s="809"/>
    </row>
    <row r="76" spans="1:16" s="802" customFormat="1" ht="15" customHeight="1">
      <c r="A76" s="804"/>
      <c r="B76" s="804"/>
      <c r="C76" s="816" t="s">
        <v>1723</v>
      </c>
      <c r="D76" s="817">
        <v>90</v>
      </c>
      <c r="E76" s="818" t="s">
        <v>1720</v>
      </c>
      <c r="F76" s="819">
        <v>325</v>
      </c>
      <c r="G76" s="806">
        <f t="shared" si="2"/>
        <v>29250</v>
      </c>
      <c r="I76" s="804"/>
      <c r="J76" s="804"/>
      <c r="K76" s="809"/>
      <c r="L76" s="809"/>
      <c r="M76" s="809"/>
      <c r="N76" s="809"/>
      <c r="O76" s="809"/>
      <c r="P76" s="809"/>
    </row>
    <row r="77" spans="1:16" s="802" customFormat="1" ht="15" customHeight="1">
      <c r="A77" s="804"/>
      <c r="B77" s="804"/>
      <c r="C77" s="816" t="s">
        <v>360</v>
      </c>
      <c r="D77" s="817">
        <v>25</v>
      </c>
      <c r="E77" s="818" t="s">
        <v>1721</v>
      </c>
      <c r="F77" s="819">
        <v>120</v>
      </c>
      <c r="G77" s="806">
        <f t="shared" si="2"/>
        <v>3000</v>
      </c>
      <c r="I77" s="804"/>
      <c r="J77" s="804"/>
      <c r="K77" s="809"/>
      <c r="L77" s="809"/>
      <c r="M77" s="809"/>
      <c r="N77" s="809"/>
      <c r="O77" s="809"/>
      <c r="P77" s="809"/>
    </row>
    <row r="78" spans="1:16" s="802" customFormat="1" ht="15" customHeight="1">
      <c r="A78" s="804"/>
      <c r="B78" s="804"/>
      <c r="C78" s="816" t="s">
        <v>1693</v>
      </c>
      <c r="D78" s="817">
        <v>5</v>
      </c>
      <c r="E78" s="818" t="s">
        <v>575</v>
      </c>
      <c r="F78" s="819">
        <v>390</v>
      </c>
      <c r="G78" s="806">
        <f t="shared" si="2"/>
        <v>1950</v>
      </c>
      <c r="I78" s="804"/>
      <c r="J78" s="804"/>
      <c r="K78" s="809"/>
      <c r="L78" s="809"/>
      <c r="M78" s="809"/>
      <c r="N78" s="809"/>
      <c r="O78" s="809"/>
      <c r="P78" s="809"/>
    </row>
    <row r="79" spans="1:16" s="802" customFormat="1" ht="15" customHeight="1">
      <c r="A79" s="804"/>
      <c r="B79" s="804"/>
      <c r="C79" s="816" t="s">
        <v>1694</v>
      </c>
      <c r="D79" s="817">
        <v>1</v>
      </c>
      <c r="E79" s="818" t="s">
        <v>299</v>
      </c>
      <c r="F79" s="819">
        <v>174.94</v>
      </c>
      <c r="G79" s="813">
        <f t="shared" si="2"/>
        <v>174.94</v>
      </c>
      <c r="I79" s="804"/>
      <c r="J79" s="804"/>
      <c r="K79" s="809"/>
      <c r="L79" s="809"/>
      <c r="M79" s="809"/>
      <c r="N79" s="809"/>
      <c r="O79" s="809"/>
      <c r="P79" s="809"/>
    </row>
    <row r="80" spans="1:16" s="802" customFormat="1" ht="15" customHeight="1">
      <c r="A80" s="804"/>
      <c r="B80" s="804"/>
      <c r="C80" s="803"/>
      <c r="D80" s="805"/>
      <c r="E80" s="805"/>
      <c r="F80" s="814" t="s">
        <v>1211</v>
      </c>
      <c r="G80" s="802">
        <f>SUM(G75:G79)</f>
        <v>56874.94</v>
      </c>
      <c r="I80" s="804"/>
      <c r="J80" s="804"/>
      <c r="K80" s="809"/>
      <c r="L80" s="809"/>
      <c r="M80" s="809"/>
      <c r="N80" s="809"/>
      <c r="O80" s="809"/>
      <c r="P80" s="809"/>
    </row>
    <row r="81" spans="1:16" s="802" customFormat="1" ht="15" customHeight="1">
      <c r="A81" s="804"/>
      <c r="B81" s="804"/>
      <c r="C81" s="803"/>
      <c r="D81" s="805"/>
      <c r="E81" s="805"/>
      <c r="I81" s="804"/>
      <c r="J81" s="804"/>
      <c r="K81" s="809"/>
      <c r="L81" s="809"/>
      <c r="M81" s="809"/>
      <c r="N81" s="809"/>
      <c r="O81" s="809"/>
      <c r="P81" s="809"/>
    </row>
    <row r="82" spans="1:16" s="802" customFormat="1" ht="15" customHeight="1">
      <c r="A82" s="804"/>
      <c r="B82" s="804"/>
      <c r="C82" s="803"/>
      <c r="D82" s="805"/>
      <c r="E82" s="805"/>
      <c r="F82" s="814" t="s">
        <v>1212</v>
      </c>
      <c r="G82" s="806">
        <f>G80+G71</f>
        <v>96750.34</v>
      </c>
      <c r="I82" s="804"/>
      <c r="J82" s="804"/>
      <c r="K82" s="809"/>
      <c r="L82" s="809"/>
      <c r="M82" s="809"/>
      <c r="N82" s="809"/>
      <c r="O82" s="809"/>
      <c r="P82" s="809"/>
    </row>
    <row r="83" spans="1:16" s="802" customFormat="1" ht="15" customHeight="1">
      <c r="A83" s="804"/>
      <c r="B83" s="804"/>
      <c r="C83" s="803"/>
      <c r="D83" s="805"/>
      <c r="E83" s="805"/>
      <c r="F83" s="814" t="s">
        <v>1213</v>
      </c>
      <c r="G83" s="806">
        <f>G82/D64</f>
        <v>96750.34</v>
      </c>
      <c r="I83" s="804"/>
      <c r="J83" s="804"/>
      <c r="K83" s="809"/>
      <c r="L83" s="809"/>
      <c r="M83" s="809"/>
      <c r="N83" s="809"/>
      <c r="O83" s="809"/>
      <c r="P83" s="809"/>
    </row>
    <row r="84" spans="1:16" s="802" customFormat="1" ht="15" customHeight="1">
      <c r="A84" s="804"/>
      <c r="B84" s="804"/>
      <c r="C84" s="803"/>
      <c r="D84" s="805"/>
      <c r="E84" s="805"/>
      <c r="F84" s="814"/>
      <c r="G84" s="806"/>
      <c r="I84" s="804"/>
      <c r="J84" s="804"/>
      <c r="K84" s="809"/>
      <c r="L84" s="809"/>
      <c r="M84" s="809"/>
      <c r="N84" s="809"/>
      <c r="O84" s="809"/>
      <c r="P84" s="809"/>
    </row>
    <row r="85" spans="1:16" s="802" customFormat="1" ht="15" customHeight="1">
      <c r="A85" s="804"/>
      <c r="B85" s="804"/>
      <c r="C85" s="803"/>
      <c r="D85" s="805"/>
      <c r="E85" s="805"/>
      <c r="F85" s="814"/>
      <c r="G85" s="806"/>
      <c r="I85" s="804"/>
      <c r="J85" s="804"/>
      <c r="K85" s="809"/>
      <c r="L85" s="809"/>
      <c r="M85" s="809"/>
      <c r="N85" s="809"/>
      <c r="O85" s="809"/>
      <c r="P85" s="809"/>
    </row>
    <row r="86" spans="1:16" s="809" customFormat="1" ht="25.15" customHeight="1">
      <c r="A86" s="821" t="s">
        <v>1438</v>
      </c>
      <c r="B86" s="785" t="s">
        <v>1692</v>
      </c>
      <c r="C86" s="822" t="s">
        <v>1188</v>
      </c>
      <c r="D86" s="797">
        <v>12</v>
      </c>
      <c r="E86" s="797" t="s">
        <v>23</v>
      </c>
      <c r="F86" s="806"/>
      <c r="G86" s="806"/>
      <c r="I86" s="805"/>
      <c r="J86" s="805"/>
      <c r="K86" s="805"/>
      <c r="L86" s="805"/>
      <c r="M86" s="805"/>
      <c r="N86" s="805"/>
    </row>
    <row r="87" spans="1:16" s="802" customFormat="1" ht="15" customHeight="1">
      <c r="A87" s="804"/>
      <c r="B87" s="804"/>
      <c r="C87" s="803"/>
      <c r="D87" s="805"/>
      <c r="E87" s="805"/>
      <c r="F87" s="806"/>
      <c r="G87" s="806"/>
      <c r="I87" s="804"/>
      <c r="J87" s="804"/>
      <c r="K87" s="804"/>
      <c r="L87" s="804"/>
      <c r="M87" s="804"/>
      <c r="N87" s="804"/>
    </row>
    <row r="88" spans="1:16" s="802" customFormat="1" ht="15" customHeight="1">
      <c r="A88" s="804" t="s">
        <v>1341</v>
      </c>
      <c r="B88" s="804"/>
      <c r="C88" s="803"/>
      <c r="D88" s="805"/>
      <c r="E88" s="805"/>
      <c r="F88" s="806"/>
      <c r="G88" s="806"/>
      <c r="I88" s="804"/>
      <c r="J88" s="804" t="s">
        <v>1695</v>
      </c>
      <c r="K88" s="804"/>
      <c r="L88" s="804"/>
      <c r="M88" s="804"/>
      <c r="N88" s="804"/>
    </row>
    <row r="89" spans="1:16" s="802" customFormat="1" ht="26.25" customHeight="1">
      <c r="A89" s="804"/>
      <c r="B89" s="804"/>
      <c r="C89" s="803"/>
      <c r="D89" s="805" t="s">
        <v>1409</v>
      </c>
      <c r="E89" s="805" t="s">
        <v>1704</v>
      </c>
      <c r="F89" s="806" t="s">
        <v>1677</v>
      </c>
      <c r="G89" s="806" t="s">
        <v>1217</v>
      </c>
      <c r="I89" s="804"/>
      <c r="J89" s="805" t="s">
        <v>1405</v>
      </c>
      <c r="K89" s="805" t="s">
        <v>1696</v>
      </c>
      <c r="L89" s="805" t="s">
        <v>110</v>
      </c>
      <c r="M89" s="805"/>
      <c r="N89" s="804"/>
    </row>
    <row r="90" spans="1:16" s="802" customFormat="1" ht="15" customHeight="1">
      <c r="A90" s="804"/>
      <c r="B90" s="804"/>
      <c r="C90" s="803" t="s">
        <v>1412</v>
      </c>
      <c r="D90" s="810">
        <v>1</v>
      </c>
      <c r="E90" s="810">
        <v>6</v>
      </c>
      <c r="F90" s="811">
        <v>718</v>
      </c>
      <c r="G90" s="806">
        <f>F90*E90*D90</f>
        <v>4308</v>
      </c>
      <c r="I90" s="804"/>
      <c r="J90" s="805">
        <v>90</v>
      </c>
      <c r="K90" s="805">
        <v>0.6</v>
      </c>
      <c r="L90" s="805">
        <f>K90*J90</f>
        <v>54</v>
      </c>
      <c r="M90" s="805">
        <f>(L90*13)*1.1</f>
        <v>772.2</v>
      </c>
      <c r="N90" s="804"/>
    </row>
    <row r="91" spans="1:16" s="802" customFormat="1" ht="15" customHeight="1">
      <c r="A91" s="804"/>
      <c r="B91" s="804"/>
      <c r="C91" s="803" t="s">
        <v>1722</v>
      </c>
      <c r="D91" s="810">
        <v>2</v>
      </c>
      <c r="E91" s="810">
        <v>6</v>
      </c>
      <c r="F91" s="811">
        <v>528.79999999999995</v>
      </c>
      <c r="G91" s="806">
        <f>F91*E91*D91</f>
        <v>6345.5999999999995</v>
      </c>
      <c r="I91" s="804"/>
      <c r="J91" s="805"/>
      <c r="K91" s="805"/>
      <c r="L91" s="805"/>
      <c r="M91" s="805"/>
      <c r="N91" s="804"/>
    </row>
    <row r="92" spans="1:16" s="802" customFormat="1" ht="15" customHeight="1">
      <c r="A92" s="804"/>
      <c r="B92" s="804"/>
      <c r="C92" s="803" t="s">
        <v>1415</v>
      </c>
      <c r="D92" s="810">
        <v>6</v>
      </c>
      <c r="E92" s="810">
        <v>6</v>
      </c>
      <c r="F92" s="811">
        <v>442.5</v>
      </c>
      <c r="G92" s="813">
        <f>F92*E92*D92</f>
        <v>15930</v>
      </c>
      <c r="I92" s="804"/>
      <c r="J92" s="804"/>
      <c r="K92" s="804"/>
      <c r="L92" s="804"/>
      <c r="M92" s="804"/>
      <c r="N92" s="804"/>
    </row>
    <row r="93" spans="1:16" s="802" customFormat="1" ht="15" customHeight="1">
      <c r="A93" s="804"/>
      <c r="B93" s="804"/>
      <c r="C93" s="803"/>
      <c r="D93" s="805"/>
      <c r="E93" s="805"/>
      <c r="F93" s="814" t="s">
        <v>1211</v>
      </c>
      <c r="G93" s="806">
        <f>SUM(G90:G92)</f>
        <v>26583.599999999999</v>
      </c>
      <c r="H93" s="812">
        <f>G100*H100</f>
        <v>31770</v>
      </c>
      <c r="I93" s="804">
        <f>G93/G100</f>
        <v>0.37653824362606231</v>
      </c>
      <c r="J93" s="804"/>
      <c r="K93" s="804"/>
      <c r="L93" s="804"/>
      <c r="M93" s="804"/>
      <c r="N93" s="804"/>
    </row>
    <row r="94" spans="1:16" s="802" customFormat="1" ht="15" customHeight="1">
      <c r="A94" s="804" t="s">
        <v>1215</v>
      </c>
      <c r="C94" s="801"/>
    </row>
    <row r="95" spans="1:16" s="802" customFormat="1" ht="15" customHeight="1">
      <c r="A95" s="804"/>
      <c r="B95" s="804"/>
      <c r="C95" s="815"/>
      <c r="D95" s="805" t="s">
        <v>173</v>
      </c>
      <c r="E95" s="805" t="s">
        <v>297</v>
      </c>
      <c r="F95" s="814" t="s">
        <v>1216</v>
      </c>
      <c r="G95" s="806" t="s">
        <v>1217</v>
      </c>
    </row>
    <row r="96" spans="1:16" s="802" customFormat="1" ht="15" customHeight="1">
      <c r="A96" s="804"/>
      <c r="B96" s="804"/>
      <c r="C96" s="816" t="s">
        <v>1416</v>
      </c>
      <c r="D96" s="817">
        <v>115</v>
      </c>
      <c r="E96" s="818" t="s">
        <v>336</v>
      </c>
      <c r="F96" s="819">
        <v>310</v>
      </c>
      <c r="G96" s="806">
        <f t="shared" ref="G96:G99" si="3">F96*D96</f>
        <v>35650</v>
      </c>
    </row>
    <row r="97" spans="1:13" s="802" customFormat="1" ht="15" customHeight="1">
      <c r="A97" s="804"/>
      <c r="B97" s="804"/>
      <c r="C97" s="816" t="s">
        <v>337</v>
      </c>
      <c r="D97" s="817">
        <v>115</v>
      </c>
      <c r="E97" s="818" t="s">
        <v>336</v>
      </c>
      <c r="F97" s="819">
        <v>90</v>
      </c>
      <c r="G97" s="806">
        <f t="shared" si="3"/>
        <v>10350</v>
      </c>
      <c r="I97" s="802">
        <f>5*9</f>
        <v>45</v>
      </c>
    </row>
    <row r="98" spans="1:13" s="802" customFormat="1" ht="15" customHeight="1">
      <c r="A98" s="804"/>
      <c r="B98" s="804"/>
      <c r="C98" s="816" t="s">
        <v>346</v>
      </c>
      <c r="D98" s="817">
        <v>6</v>
      </c>
      <c r="E98" s="818" t="s">
        <v>23</v>
      </c>
      <c r="F98" s="819">
        <v>600</v>
      </c>
      <c r="G98" s="806">
        <f t="shared" si="3"/>
        <v>3600</v>
      </c>
    </row>
    <row r="99" spans="1:13" s="802" customFormat="1" ht="15" customHeight="1">
      <c r="A99" s="804"/>
      <c r="B99" s="804"/>
      <c r="C99" s="816" t="s">
        <v>1724</v>
      </c>
      <c r="D99" s="817">
        <v>12</v>
      </c>
      <c r="E99" s="818" t="s">
        <v>23</v>
      </c>
      <c r="F99" s="819">
        <v>1750</v>
      </c>
      <c r="G99" s="806">
        <f t="shared" si="3"/>
        <v>21000</v>
      </c>
      <c r="J99" s="823"/>
    </row>
    <row r="100" spans="1:13" s="802" customFormat="1" ht="15" customHeight="1">
      <c r="A100" s="804"/>
      <c r="B100" s="804"/>
      <c r="D100" s="805"/>
      <c r="E100" s="805"/>
      <c r="F100" s="814" t="s">
        <v>1211</v>
      </c>
      <c r="G100" s="802">
        <f>SUM(G96:G99)</f>
        <v>70600</v>
      </c>
      <c r="H100" s="802">
        <v>0.45</v>
      </c>
    </row>
    <row r="101" spans="1:13" s="802" customFormat="1" ht="15" customHeight="1">
      <c r="A101" s="804"/>
      <c r="B101" s="804"/>
      <c r="C101" s="803"/>
      <c r="D101" s="805"/>
      <c r="E101" s="805"/>
    </row>
    <row r="102" spans="1:13" s="802" customFormat="1" ht="15" customHeight="1">
      <c r="A102" s="804"/>
      <c r="B102" s="804"/>
      <c r="C102" s="803"/>
      <c r="D102" s="805"/>
      <c r="E102" s="805"/>
      <c r="F102" s="814" t="s">
        <v>1212</v>
      </c>
      <c r="G102" s="806">
        <f>G100+G93</f>
        <v>97183.6</v>
      </c>
      <c r="K102" s="812"/>
      <c r="L102" s="812"/>
      <c r="M102" s="812"/>
    </row>
    <row r="103" spans="1:13" s="802" customFormat="1" ht="15" customHeight="1">
      <c r="A103" s="804"/>
      <c r="B103" s="804"/>
      <c r="C103" s="803"/>
      <c r="D103" s="805"/>
      <c r="E103" s="805"/>
      <c r="F103" s="814" t="s">
        <v>1213</v>
      </c>
      <c r="G103" s="806">
        <f>G102/D86</f>
        <v>8098.6333333333341</v>
      </c>
    </row>
    <row r="104" spans="1:13" s="802" customFormat="1" ht="15" customHeight="1">
      <c r="A104" s="821" t="s">
        <v>1446</v>
      </c>
      <c r="B104" s="785" t="s">
        <v>304</v>
      </c>
      <c r="C104" s="822" t="s">
        <v>1188</v>
      </c>
      <c r="D104" s="798">
        <v>1</v>
      </c>
      <c r="E104" s="798" t="s">
        <v>1683</v>
      </c>
      <c r="F104" s="806"/>
      <c r="G104" s="806"/>
    </row>
    <row r="105" spans="1:13" s="802" customFormat="1" ht="15" customHeight="1">
      <c r="A105" s="804"/>
      <c r="B105" s="804"/>
      <c r="C105" s="803"/>
      <c r="D105" s="805"/>
      <c r="E105" s="805"/>
      <c r="F105" s="806"/>
      <c r="G105" s="806"/>
    </row>
    <row r="106" spans="1:13" s="802" customFormat="1" ht="15" customHeight="1">
      <c r="A106" s="804" t="s">
        <v>1341</v>
      </c>
      <c r="B106" s="804"/>
      <c r="C106" s="803"/>
      <c r="D106" s="805"/>
      <c r="E106" s="805"/>
      <c r="F106" s="806"/>
      <c r="G106" s="806"/>
    </row>
    <row r="107" spans="1:13" s="802" customFormat="1" ht="15" customHeight="1">
      <c r="A107" s="804"/>
      <c r="B107" s="804"/>
      <c r="C107" s="803" t="s">
        <v>1412</v>
      </c>
      <c r="D107" s="805" t="s">
        <v>1409</v>
      </c>
      <c r="E107" s="805" t="s">
        <v>1704</v>
      </c>
      <c r="F107" s="806" t="s">
        <v>1677</v>
      </c>
      <c r="G107" s="806" t="s">
        <v>1217</v>
      </c>
    </row>
    <row r="108" spans="1:13" s="802" customFormat="1" ht="15" customHeight="1">
      <c r="A108" s="804"/>
      <c r="B108" s="804"/>
      <c r="C108" s="803" t="s">
        <v>1414</v>
      </c>
      <c r="D108" s="810">
        <v>1</v>
      </c>
      <c r="E108" s="810">
        <v>4</v>
      </c>
      <c r="F108" s="811">
        <v>718</v>
      </c>
      <c r="G108" s="806">
        <f>F108*E108*D108</f>
        <v>2872</v>
      </c>
    </row>
    <row r="109" spans="1:13" s="802" customFormat="1" ht="15" customHeight="1">
      <c r="A109" s="804"/>
      <c r="B109" s="804"/>
      <c r="C109" s="803" t="s">
        <v>1415</v>
      </c>
      <c r="D109" s="810">
        <v>2</v>
      </c>
      <c r="E109" s="810">
        <v>4</v>
      </c>
      <c r="F109" s="811">
        <v>528.79999999999995</v>
      </c>
      <c r="G109" s="806">
        <f>F109*E109*D109</f>
        <v>4230.3999999999996</v>
      </c>
    </row>
    <row r="110" spans="1:13" s="802" customFormat="1" ht="15" customHeight="1">
      <c r="A110" s="804"/>
      <c r="B110" s="804"/>
      <c r="C110" s="803"/>
      <c r="D110" s="810">
        <v>6</v>
      </c>
      <c r="E110" s="810">
        <v>4</v>
      </c>
      <c r="F110" s="811">
        <v>442.5</v>
      </c>
      <c r="G110" s="813">
        <f>F110*E110*D110</f>
        <v>10620</v>
      </c>
    </row>
    <row r="111" spans="1:13" s="802" customFormat="1" ht="15" customHeight="1">
      <c r="A111" s="804"/>
      <c r="B111" s="804"/>
      <c r="C111" s="801"/>
      <c r="D111" s="805"/>
      <c r="E111" s="805"/>
      <c r="F111" s="814" t="s">
        <v>1211</v>
      </c>
      <c r="G111" s="806">
        <f>SUM(G108:G110)</f>
        <v>17722.400000000001</v>
      </c>
    </row>
    <row r="112" spans="1:13" s="802" customFormat="1" ht="15" customHeight="1">
      <c r="A112" s="804" t="s">
        <v>1215</v>
      </c>
      <c r="C112" s="815"/>
    </row>
    <row r="113" spans="1:7" s="802" customFormat="1" ht="15" customHeight="1">
      <c r="A113" s="804"/>
      <c r="B113" s="804"/>
      <c r="C113" s="803"/>
      <c r="D113" s="805" t="s">
        <v>173</v>
      </c>
      <c r="E113" s="805" t="s">
        <v>297</v>
      </c>
      <c r="F113" s="814" t="s">
        <v>1216</v>
      </c>
      <c r="G113" s="806" t="s">
        <v>1217</v>
      </c>
    </row>
    <row r="114" spans="1:7" s="802" customFormat="1" ht="15" customHeight="1">
      <c r="A114" s="804"/>
      <c r="B114" s="804"/>
      <c r="C114" s="816" t="s">
        <v>1727</v>
      </c>
      <c r="D114" s="817">
        <v>5</v>
      </c>
      <c r="E114" s="818" t="s">
        <v>1734</v>
      </c>
      <c r="F114" s="817">
        <v>1500</v>
      </c>
      <c r="G114" s="806">
        <f t="shared" ref="G114" si="4">F114*D114</f>
        <v>7500</v>
      </c>
    </row>
    <row r="115" spans="1:7" s="802" customFormat="1" ht="15" customHeight="1">
      <c r="A115" s="804"/>
      <c r="B115" s="804"/>
      <c r="C115" s="816" t="s">
        <v>1726</v>
      </c>
      <c r="D115" s="817">
        <v>5</v>
      </c>
      <c r="E115" s="818" t="s">
        <v>1734</v>
      </c>
      <c r="F115" s="817">
        <v>765</v>
      </c>
      <c r="G115" s="806">
        <f t="shared" ref="G115:G124" si="5">F115*D115</f>
        <v>3825</v>
      </c>
    </row>
    <row r="116" spans="1:7" s="802" customFormat="1" ht="15" customHeight="1">
      <c r="A116" s="804"/>
      <c r="B116" s="804"/>
      <c r="C116" s="816" t="s">
        <v>1725</v>
      </c>
      <c r="D116" s="817">
        <v>6</v>
      </c>
      <c r="E116" s="818" t="s">
        <v>21</v>
      </c>
      <c r="F116" s="817">
        <v>700</v>
      </c>
      <c r="G116" s="806">
        <f t="shared" si="5"/>
        <v>4200</v>
      </c>
    </row>
    <row r="117" spans="1:7" s="802" customFormat="1" ht="15" customHeight="1">
      <c r="A117" s="804"/>
      <c r="B117" s="804"/>
      <c r="C117" s="816" t="s">
        <v>1728</v>
      </c>
      <c r="D117" s="817">
        <v>12</v>
      </c>
      <c r="E117" s="818" t="s">
        <v>21</v>
      </c>
      <c r="F117" s="817">
        <v>620</v>
      </c>
      <c r="G117" s="806">
        <f t="shared" si="5"/>
        <v>7440</v>
      </c>
    </row>
    <row r="118" spans="1:7" s="802" customFormat="1" ht="15" customHeight="1">
      <c r="A118" s="804"/>
      <c r="B118" s="804"/>
      <c r="C118" s="816" t="s">
        <v>1729</v>
      </c>
      <c r="D118" s="1278">
        <v>2</v>
      </c>
      <c r="E118" s="805" t="s">
        <v>21</v>
      </c>
      <c r="F118" s="817">
        <v>1200</v>
      </c>
      <c r="G118" s="806">
        <f t="shared" si="5"/>
        <v>2400</v>
      </c>
    </row>
    <row r="119" spans="1:7" s="802" customFormat="1" ht="15" customHeight="1">
      <c r="A119" s="804"/>
      <c r="B119" s="804"/>
      <c r="C119" s="803" t="s">
        <v>1730</v>
      </c>
      <c r="D119" s="1278">
        <v>3</v>
      </c>
      <c r="E119" s="805" t="s">
        <v>21</v>
      </c>
      <c r="F119" s="1279">
        <v>250</v>
      </c>
      <c r="G119" s="806">
        <f t="shared" si="5"/>
        <v>750</v>
      </c>
    </row>
    <row r="120" spans="1:7" s="802" customFormat="1" ht="15" customHeight="1">
      <c r="A120" s="804"/>
      <c r="B120" s="804"/>
      <c r="C120" s="803" t="s">
        <v>1731</v>
      </c>
      <c r="D120" s="1278">
        <v>3</v>
      </c>
      <c r="E120" s="805" t="s">
        <v>21</v>
      </c>
      <c r="F120" s="1279">
        <v>240</v>
      </c>
      <c r="G120" s="806">
        <f t="shared" si="5"/>
        <v>720</v>
      </c>
    </row>
    <row r="121" spans="1:7" s="802" customFormat="1" ht="15" customHeight="1">
      <c r="A121" s="804"/>
      <c r="B121" s="804"/>
      <c r="C121" s="803" t="s">
        <v>1732</v>
      </c>
      <c r="D121" s="1278">
        <v>3</v>
      </c>
      <c r="E121" s="805" t="s">
        <v>21</v>
      </c>
      <c r="F121" s="1279">
        <v>175</v>
      </c>
      <c r="G121" s="806">
        <f t="shared" si="5"/>
        <v>525</v>
      </c>
    </row>
    <row r="122" spans="1:7" s="802" customFormat="1" ht="15" customHeight="1">
      <c r="A122" s="804"/>
      <c r="B122" s="804"/>
      <c r="C122" s="803" t="s">
        <v>1733</v>
      </c>
      <c r="D122" s="1279">
        <v>2</v>
      </c>
      <c r="E122" s="802" t="s">
        <v>21</v>
      </c>
      <c r="F122" s="1279">
        <v>153.87</v>
      </c>
      <c r="G122" s="806">
        <f t="shared" si="5"/>
        <v>307.74</v>
      </c>
    </row>
    <row r="123" spans="1:7" s="802" customFormat="1" ht="15" customHeight="1">
      <c r="C123" s="801" t="s">
        <v>523</v>
      </c>
      <c r="D123" s="1279">
        <v>15</v>
      </c>
      <c r="E123" s="802" t="s">
        <v>524</v>
      </c>
      <c r="F123" s="1280">
        <v>250</v>
      </c>
      <c r="G123" s="806">
        <f t="shared" si="5"/>
        <v>3750</v>
      </c>
    </row>
    <row r="124" spans="1:7" s="802" customFormat="1" ht="15" customHeight="1">
      <c r="C124" s="801"/>
      <c r="D124" s="1279"/>
      <c r="F124" s="1280"/>
      <c r="G124" s="806"/>
    </row>
    <row r="125" spans="1:7" s="802" customFormat="1" ht="15" customHeight="1">
      <c r="C125" s="801"/>
      <c r="F125" s="814" t="s">
        <v>1211</v>
      </c>
      <c r="G125" s="802">
        <f>SUM(G114:G124)</f>
        <v>31417.74</v>
      </c>
    </row>
    <row r="126" spans="1:7" s="802" customFormat="1" ht="15" customHeight="1">
      <c r="C126" s="801"/>
    </row>
    <row r="127" spans="1:7" s="802" customFormat="1" ht="15" customHeight="1">
      <c r="C127" s="801"/>
      <c r="F127" s="814" t="s">
        <v>1212</v>
      </c>
      <c r="G127" s="806">
        <f>G125+G111</f>
        <v>49140.14</v>
      </c>
    </row>
    <row r="128" spans="1:7" s="802" customFormat="1" ht="15" customHeight="1">
      <c r="C128" s="801"/>
      <c r="F128" s="814" t="s">
        <v>1213</v>
      </c>
      <c r="G128" s="806">
        <f>G127/D104</f>
        <v>49140.14</v>
      </c>
    </row>
    <row r="129" spans="1:7" s="802" customFormat="1" ht="15" customHeight="1">
      <c r="C129" s="808" t="s">
        <v>1188</v>
      </c>
      <c r="F129" s="814"/>
      <c r="G129" s="806"/>
    </row>
    <row r="130" spans="1:7" s="802" customFormat="1" ht="15" customHeight="1">
      <c r="A130" s="807" t="s">
        <v>1460</v>
      </c>
      <c r="B130" s="783" t="s">
        <v>1735</v>
      </c>
      <c r="C130" s="803"/>
      <c r="D130" s="784">
        <v>3</v>
      </c>
      <c r="E130" s="798" t="s">
        <v>23</v>
      </c>
      <c r="F130" s="806"/>
      <c r="G130" s="806"/>
    </row>
    <row r="131" spans="1:7" s="802" customFormat="1" ht="15" customHeight="1">
      <c r="A131" s="804"/>
      <c r="B131" s="804"/>
      <c r="C131" s="803"/>
      <c r="D131" s="805"/>
      <c r="E131" s="805"/>
      <c r="F131" s="806"/>
      <c r="G131" s="806"/>
    </row>
    <row r="132" spans="1:7" s="802" customFormat="1" ht="15" customHeight="1">
      <c r="A132" s="804" t="s">
        <v>1341</v>
      </c>
      <c r="B132" s="804"/>
      <c r="C132" s="803"/>
      <c r="D132" s="805"/>
      <c r="E132" s="805"/>
      <c r="F132" s="806"/>
      <c r="G132" s="806"/>
    </row>
    <row r="133" spans="1:7" s="802" customFormat="1" ht="15" customHeight="1">
      <c r="A133" s="804"/>
      <c r="B133" s="804"/>
      <c r="C133" s="803" t="s">
        <v>1412</v>
      </c>
      <c r="D133" s="805" t="s">
        <v>1409</v>
      </c>
      <c r="E133" s="805" t="s">
        <v>1704</v>
      </c>
      <c r="F133" s="806" t="s">
        <v>1677</v>
      </c>
      <c r="G133" s="806" t="s">
        <v>1217</v>
      </c>
    </row>
    <row r="134" spans="1:7" s="802" customFormat="1" ht="15" customHeight="1">
      <c r="A134" s="804"/>
      <c r="B134" s="804"/>
      <c r="C134" s="803" t="s">
        <v>1672</v>
      </c>
      <c r="D134" s="810">
        <v>1</v>
      </c>
      <c r="E134" s="810">
        <v>2</v>
      </c>
      <c r="F134" s="811">
        <v>718</v>
      </c>
      <c r="G134" s="806">
        <f>F134*E134*D134</f>
        <v>1436</v>
      </c>
    </row>
    <row r="135" spans="1:7" s="802" customFormat="1" ht="15" customHeight="1">
      <c r="A135" s="804"/>
      <c r="C135" s="803" t="s">
        <v>1415</v>
      </c>
      <c r="D135" s="810">
        <v>2</v>
      </c>
      <c r="E135" s="810">
        <v>2</v>
      </c>
      <c r="F135" s="811">
        <v>490.72</v>
      </c>
      <c r="G135" s="806">
        <f>F135*E135*D135</f>
        <v>1962.88</v>
      </c>
    </row>
    <row r="136" spans="1:7" s="802" customFormat="1" ht="15" customHeight="1">
      <c r="A136" s="804"/>
      <c r="B136" s="804"/>
      <c r="C136" s="803"/>
      <c r="D136" s="810">
        <v>6</v>
      </c>
      <c r="E136" s="810">
        <v>2</v>
      </c>
      <c r="F136" s="811">
        <v>442.5</v>
      </c>
      <c r="G136" s="813">
        <f>F136*E136*D136</f>
        <v>5310</v>
      </c>
    </row>
    <row r="137" spans="1:7" s="802" customFormat="1" ht="15" customHeight="1">
      <c r="A137" s="804"/>
      <c r="B137" s="804"/>
      <c r="C137" s="801"/>
      <c r="D137" s="805"/>
      <c r="E137" s="805"/>
      <c r="F137" s="814" t="s">
        <v>1211</v>
      </c>
      <c r="G137" s="806">
        <f>SUM(G134:G136)</f>
        <v>8708.880000000001</v>
      </c>
    </row>
    <row r="138" spans="1:7" s="802" customFormat="1" ht="15" customHeight="1">
      <c r="A138" s="804" t="s">
        <v>1215</v>
      </c>
      <c r="C138" s="815"/>
    </row>
    <row r="139" spans="1:7" s="802" customFormat="1" ht="15" customHeight="1">
      <c r="A139" s="804"/>
      <c r="B139" s="804"/>
      <c r="C139" s="803"/>
      <c r="D139" s="805" t="s">
        <v>173</v>
      </c>
      <c r="E139" s="805" t="s">
        <v>297</v>
      </c>
      <c r="F139" s="814" t="s">
        <v>1216</v>
      </c>
      <c r="G139" s="806" t="s">
        <v>1217</v>
      </c>
    </row>
    <row r="140" spans="1:7" s="802" customFormat="1" ht="15" customHeight="1">
      <c r="A140" s="804"/>
      <c r="B140" s="804"/>
      <c r="C140" s="816" t="s">
        <v>331</v>
      </c>
      <c r="D140" s="805"/>
      <c r="E140" s="805"/>
      <c r="F140" s="814"/>
      <c r="G140" s="806"/>
    </row>
    <row r="141" spans="1:7" s="802" customFormat="1" ht="15" customHeight="1">
      <c r="A141" s="804"/>
      <c r="B141" s="804"/>
      <c r="C141" s="803"/>
      <c r="D141" s="817">
        <v>3</v>
      </c>
      <c r="E141" s="818" t="s">
        <v>23</v>
      </c>
      <c r="F141" s="819">
        <v>520</v>
      </c>
      <c r="G141" s="813">
        <f>F141*D141</f>
        <v>1560</v>
      </c>
    </row>
    <row r="142" spans="1:7" s="802" customFormat="1" ht="15" customHeight="1">
      <c r="A142" s="804"/>
      <c r="B142" s="804"/>
      <c r="C142" s="803"/>
      <c r="D142" s="805"/>
      <c r="E142" s="805"/>
      <c r="F142" s="814" t="s">
        <v>1211</v>
      </c>
      <c r="G142" s="802">
        <f>SUM(G141:G141)</f>
        <v>1560</v>
      </c>
    </row>
    <row r="143" spans="1:7" s="802" customFormat="1" ht="15" customHeight="1">
      <c r="A143" s="804"/>
      <c r="B143" s="804"/>
      <c r="C143" s="803"/>
      <c r="D143" s="805"/>
      <c r="E143" s="805"/>
    </row>
    <row r="144" spans="1:7" s="802" customFormat="1" ht="15" customHeight="1">
      <c r="A144" s="804"/>
      <c r="B144" s="804"/>
      <c r="C144" s="803"/>
      <c r="D144" s="805"/>
      <c r="E144" s="805"/>
      <c r="F144" s="814" t="s">
        <v>1212</v>
      </c>
      <c r="G144" s="806">
        <f>G142+G137</f>
        <v>10268.880000000001</v>
      </c>
    </row>
    <row r="145" spans="1:9" s="802" customFormat="1" ht="15" customHeight="1">
      <c r="A145" s="804"/>
      <c r="B145" s="804"/>
      <c r="C145" s="801"/>
      <c r="D145" s="805"/>
      <c r="E145" s="805"/>
      <c r="F145" s="814" t="s">
        <v>1213</v>
      </c>
      <c r="G145" s="806">
        <f>G144/D130</f>
        <v>3422.9600000000005</v>
      </c>
    </row>
    <row r="146" spans="1:9" s="802" customFormat="1" ht="15" customHeight="1">
      <c r="C146" s="808" t="s">
        <v>1188</v>
      </c>
      <c r="F146" s="814"/>
      <c r="G146" s="806"/>
    </row>
    <row r="147" spans="1:9" s="802" customFormat="1" ht="15" customHeight="1">
      <c r="A147" s="802" t="s">
        <v>1480</v>
      </c>
      <c r="B147" s="786" t="s">
        <v>1028</v>
      </c>
      <c r="C147" s="815"/>
      <c r="D147" s="784">
        <v>1</v>
      </c>
      <c r="E147" s="797" t="s">
        <v>809</v>
      </c>
      <c r="F147" s="806"/>
      <c r="G147" s="806"/>
    </row>
    <row r="148" spans="1:9" s="802" customFormat="1" ht="15" customHeight="1">
      <c r="A148" s="804"/>
      <c r="B148" s="824"/>
      <c r="C148" s="803"/>
      <c r="D148" s="805"/>
      <c r="E148" s="805"/>
      <c r="F148" s="806"/>
      <c r="G148" s="806"/>
    </row>
    <row r="149" spans="1:9" s="802" customFormat="1" ht="15" customHeight="1">
      <c r="A149" s="804" t="s">
        <v>1341</v>
      </c>
      <c r="B149" s="804"/>
      <c r="C149" s="803"/>
      <c r="D149" s="805"/>
      <c r="E149" s="805"/>
      <c r="F149" s="806"/>
      <c r="G149" s="806"/>
    </row>
    <row r="150" spans="1:9" s="802" customFormat="1" ht="26.25" customHeight="1">
      <c r="A150" s="804"/>
      <c r="B150" s="804"/>
      <c r="C150" s="803" t="s">
        <v>1413</v>
      </c>
      <c r="D150" s="805" t="s">
        <v>1409</v>
      </c>
      <c r="E150" s="805" t="s">
        <v>1704</v>
      </c>
      <c r="F150" s="806" t="s">
        <v>1677</v>
      </c>
      <c r="G150" s="806" t="s">
        <v>1217</v>
      </c>
    </row>
    <row r="151" spans="1:9" s="802" customFormat="1" ht="15" customHeight="1">
      <c r="A151" s="804"/>
      <c r="B151" s="804"/>
      <c r="C151" s="803" t="s">
        <v>1415</v>
      </c>
      <c r="D151" s="810">
        <v>1</v>
      </c>
      <c r="E151" s="810">
        <v>1</v>
      </c>
      <c r="F151" s="811">
        <v>528.79999999999995</v>
      </c>
      <c r="G151" s="806">
        <f>F151*E151*D151</f>
        <v>528.79999999999995</v>
      </c>
    </row>
    <row r="152" spans="1:9" s="802" customFormat="1" ht="15" customHeight="1">
      <c r="A152" s="804"/>
      <c r="B152" s="804"/>
      <c r="C152" s="803"/>
      <c r="D152" s="810">
        <v>1</v>
      </c>
      <c r="E152" s="810">
        <f>E151</f>
        <v>1</v>
      </c>
      <c r="F152" s="811">
        <v>441</v>
      </c>
      <c r="G152" s="813">
        <f>F152*E152*D152</f>
        <v>441</v>
      </c>
    </row>
    <row r="153" spans="1:9" s="802" customFormat="1" ht="15" customHeight="1">
      <c r="A153" s="804"/>
      <c r="B153" s="804"/>
      <c r="C153" s="801"/>
      <c r="D153" s="805"/>
      <c r="E153" s="805"/>
      <c r="F153" s="814" t="s">
        <v>1211</v>
      </c>
      <c r="G153" s="806">
        <f>SUM(G151:G152)</f>
        <v>969.8</v>
      </c>
      <c r="H153" s="812">
        <f>H158*G158</f>
        <v>800</v>
      </c>
      <c r="I153" s="802">
        <f>G153/G158</f>
        <v>0.4849</v>
      </c>
    </row>
    <row r="154" spans="1:9" s="802" customFormat="1" ht="15" customHeight="1">
      <c r="A154" s="804" t="s">
        <v>1215</v>
      </c>
      <c r="C154" s="815"/>
    </row>
    <row r="155" spans="1:9" s="802" customFormat="1" ht="15" customHeight="1">
      <c r="A155" s="804"/>
      <c r="B155" s="804"/>
      <c r="C155" s="803"/>
      <c r="D155" s="805" t="s">
        <v>173</v>
      </c>
      <c r="E155" s="805" t="s">
        <v>297</v>
      </c>
      <c r="F155" s="814" t="s">
        <v>1216</v>
      </c>
      <c r="G155" s="806" t="s">
        <v>1217</v>
      </c>
    </row>
    <row r="156" spans="1:9" s="802" customFormat="1" ht="15" customHeight="1">
      <c r="A156" s="804"/>
      <c r="B156" s="804"/>
      <c r="C156" s="816" t="s">
        <v>1507</v>
      </c>
      <c r="D156" s="805"/>
      <c r="E156" s="805"/>
      <c r="F156" s="814"/>
      <c r="G156" s="806"/>
    </row>
    <row r="157" spans="1:9" s="802" customFormat="1" ht="15" customHeight="1">
      <c r="A157" s="804"/>
      <c r="B157" s="804"/>
      <c r="C157" s="803"/>
      <c r="D157" s="817">
        <v>1</v>
      </c>
      <c r="E157" s="818" t="s">
        <v>1508</v>
      </c>
      <c r="F157" s="819">
        <v>2000</v>
      </c>
      <c r="G157" s="813">
        <f>F157*D157</f>
        <v>2000</v>
      </c>
    </row>
    <row r="158" spans="1:9" s="802" customFormat="1" ht="15" customHeight="1">
      <c r="A158" s="804"/>
      <c r="B158" s="804"/>
      <c r="C158" s="803"/>
      <c r="D158" s="805"/>
      <c r="E158" s="805"/>
      <c r="F158" s="814" t="s">
        <v>1211</v>
      </c>
      <c r="G158" s="802">
        <f>SUM(G157:G157)</f>
        <v>2000</v>
      </c>
      <c r="H158" s="802">
        <v>0.4</v>
      </c>
    </row>
    <row r="159" spans="1:9" s="802" customFormat="1" ht="15" customHeight="1">
      <c r="A159" s="804"/>
      <c r="B159" s="804"/>
      <c r="C159" s="803"/>
      <c r="D159" s="805"/>
      <c r="E159" s="805"/>
    </row>
    <row r="160" spans="1:9" s="802" customFormat="1" ht="15" customHeight="1">
      <c r="A160" s="804"/>
      <c r="B160" s="804"/>
      <c r="C160" s="801"/>
      <c r="D160" s="805"/>
      <c r="E160" s="805"/>
      <c r="F160" s="814" t="s">
        <v>1212</v>
      </c>
      <c r="G160" s="806">
        <f>G158+G153</f>
        <v>2969.8</v>
      </c>
    </row>
    <row r="161" spans="1:9" s="802" customFormat="1" ht="15" customHeight="1">
      <c r="C161" s="801"/>
      <c r="F161" s="814" t="s">
        <v>1213</v>
      </c>
      <c r="G161" s="806">
        <f>G160/D147</f>
        <v>2969.8</v>
      </c>
    </row>
    <row r="162" spans="1:9" s="802" customFormat="1" ht="15" customHeight="1">
      <c r="C162" s="803"/>
      <c r="F162" s="814"/>
      <c r="G162" s="806"/>
    </row>
    <row r="163" spans="1:9" s="802" customFormat="1" ht="15" customHeight="1">
      <c r="A163" s="804"/>
      <c r="B163" s="804"/>
      <c r="C163" s="803"/>
      <c r="D163" s="805"/>
      <c r="E163" s="797"/>
      <c r="F163" s="788" t="s">
        <v>1705</v>
      </c>
      <c r="G163" s="791">
        <f>G59+G80+G100+G125+G158+G142</f>
        <v>218915.68</v>
      </c>
      <c r="I163" s="802">
        <v>193000</v>
      </c>
    </row>
    <row r="164" spans="1:9" s="802" customFormat="1" ht="15" customHeight="1">
      <c r="C164" s="801"/>
      <c r="E164" s="789"/>
      <c r="F164" s="788" t="s">
        <v>1706</v>
      </c>
      <c r="G164" s="825">
        <f>G22+G46+G93+G153+G34+G71+G111+G137</f>
        <v>161084.32</v>
      </c>
      <c r="H164" s="826">
        <f>G164/G163</f>
        <v>0.73582815082044384</v>
      </c>
    </row>
    <row r="165" spans="1:9" s="802" customFormat="1" ht="15" customHeight="1">
      <c r="C165" s="801"/>
      <c r="E165" s="789"/>
      <c r="F165" s="790" t="s">
        <v>1707</v>
      </c>
      <c r="G165" s="792">
        <f>G163+G164</f>
        <v>380000</v>
      </c>
    </row>
    <row r="166" spans="1:9" s="802" customFormat="1" ht="15" customHeight="1">
      <c r="B166" s="775"/>
      <c r="C166" s="801"/>
    </row>
    <row r="167" spans="1:9" s="802" customFormat="1" ht="15" customHeight="1">
      <c r="B167" s="827"/>
      <c r="C167" s="801"/>
      <c r="F167" s="801"/>
      <c r="G167" s="801"/>
    </row>
    <row r="168" spans="1:9" s="802" customFormat="1" ht="15" customHeight="1">
      <c r="C168" s="801"/>
    </row>
    <row r="169" spans="1:9" s="802" customFormat="1" ht="15" customHeight="1">
      <c r="A169" s="802" t="s">
        <v>1526</v>
      </c>
      <c r="C169" s="801"/>
      <c r="D169" s="803" t="s">
        <v>1527</v>
      </c>
    </row>
    <row r="170" spans="1:9" s="802" customFormat="1" ht="15" customHeight="1">
      <c r="C170" s="801"/>
      <c r="D170" s="803"/>
    </row>
    <row r="171" spans="1:9" s="802" customFormat="1" ht="15" customHeight="1">
      <c r="C171" s="801"/>
      <c r="D171" s="803"/>
    </row>
    <row r="172" spans="1:9" s="802" customFormat="1" ht="15" customHeight="1">
      <c r="C172" s="809"/>
      <c r="D172" s="803"/>
    </row>
    <row r="173" spans="1:9" s="809" customFormat="1" ht="21" customHeight="1">
      <c r="B173" s="787" t="s">
        <v>1736</v>
      </c>
      <c r="C173" s="801"/>
      <c r="E173" s="787" t="s">
        <v>1737</v>
      </c>
      <c r="F173" s="828"/>
    </row>
    <row r="174" spans="1:9" s="802" customFormat="1" ht="15" customHeight="1">
      <c r="B174" s="801" t="s">
        <v>1367</v>
      </c>
      <c r="C174" s="803"/>
      <c r="E174" s="803" t="s">
        <v>1699</v>
      </c>
      <c r="F174" s="801"/>
    </row>
    <row r="175" spans="1:9" s="802" customFormat="1" ht="15" customHeight="1">
      <c r="C175" s="803"/>
    </row>
    <row r="176" spans="1:9" s="802" customFormat="1" ht="15" customHeight="1">
      <c r="C176" s="803"/>
    </row>
    <row r="177" spans="1:5" s="802" customFormat="1" ht="15" customHeight="1">
      <c r="C177" s="803"/>
    </row>
    <row r="178" spans="1:5" s="802" customFormat="1" ht="15" customHeight="1"/>
    <row r="179" spans="1:5" s="802" customFormat="1" ht="15" customHeight="1">
      <c r="A179" s="801" t="s">
        <v>1528</v>
      </c>
      <c r="C179" s="803"/>
      <c r="D179" s="801" t="s">
        <v>1685</v>
      </c>
    </row>
    <row r="180" spans="1:5" s="802" customFormat="1" ht="15" customHeight="1">
      <c r="A180" s="801"/>
      <c r="C180" s="803"/>
    </row>
    <row r="181" spans="1:5" s="802" customFormat="1" ht="15" customHeight="1">
      <c r="A181" s="801"/>
      <c r="C181" s="803"/>
    </row>
    <row r="182" spans="1:5" s="802" customFormat="1" ht="15" customHeight="1">
      <c r="A182" s="801"/>
      <c r="C182" s="803"/>
    </row>
    <row r="183" spans="1:5" s="802" customFormat="1" ht="15" customHeight="1">
      <c r="B183" s="787" t="s">
        <v>1365</v>
      </c>
      <c r="C183" s="803"/>
      <c r="E183" s="782" t="s">
        <v>1686</v>
      </c>
    </row>
    <row r="184" spans="1:5" s="802" customFormat="1" ht="15" customHeight="1">
      <c r="B184" s="801" t="s">
        <v>1697</v>
      </c>
      <c r="C184" s="801"/>
      <c r="E184" s="801" t="s">
        <v>1700</v>
      </c>
    </row>
    <row r="185" spans="1:5" s="802" customFormat="1" ht="15" customHeight="1"/>
    <row r="186" spans="1:5" s="802" customFormat="1" ht="15" customHeight="1">
      <c r="C186" s="801"/>
    </row>
    <row r="187" spans="1:5" s="802" customFormat="1" ht="15" customHeight="1">
      <c r="C187" s="801"/>
    </row>
    <row r="188" spans="1:5" s="802" customFormat="1" ht="15" customHeight="1">
      <c r="A188" s="803" t="s">
        <v>1684</v>
      </c>
      <c r="C188" s="801"/>
    </row>
    <row r="189" spans="1:5" s="802" customFormat="1" ht="15" customHeight="1">
      <c r="C189" s="801"/>
    </row>
    <row r="190" spans="1:5" s="802" customFormat="1" ht="15" customHeight="1">
      <c r="C190" s="801"/>
    </row>
    <row r="191" spans="1:5" s="802" customFormat="1" ht="15" customHeight="1">
      <c r="C191" s="801"/>
    </row>
    <row r="192" spans="1:5" s="802" customFormat="1" ht="15" customHeight="1">
      <c r="B192" s="782" t="s">
        <v>1371</v>
      </c>
      <c r="C192" s="801"/>
    </row>
    <row r="193" spans="2:3" s="802" customFormat="1" ht="15" customHeight="1">
      <c r="B193" s="801" t="s">
        <v>1698</v>
      </c>
      <c r="C193" s="774"/>
    </row>
  </sheetData>
  <mergeCells count="5">
    <mergeCell ref="A1:G1"/>
    <mergeCell ref="A2:G2"/>
    <mergeCell ref="A3:G3"/>
    <mergeCell ref="A4:G4"/>
    <mergeCell ref="A11:G11"/>
  </mergeCells>
  <phoneticPr fontId="53" type="noConversion"/>
  <pageMargins left="0.21" right="0.17" top="0.63" bottom="0.24" header="0.51" footer="0.12"/>
  <pageSetup paperSize="5" scale="61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O1886"/>
  <sheetViews>
    <sheetView zoomScale="85" zoomScaleNormal="85" workbookViewId="0">
      <selection activeCell="X20" sqref="X20:AC20"/>
    </sheetView>
  </sheetViews>
  <sheetFormatPr defaultColWidth="9" defaultRowHeight="15"/>
  <cols>
    <col min="1" max="1" width="9.140625" style="57"/>
    <col min="2" max="2" width="8.7109375" customWidth="1"/>
    <col min="3" max="3" width="4.7109375" customWidth="1"/>
    <col min="4" max="4" width="12.5703125" customWidth="1"/>
    <col min="5" max="5" width="11.7109375" customWidth="1"/>
    <col min="6" max="6" width="14.5703125" customWidth="1"/>
    <col min="7" max="7" width="27.140625" customWidth="1"/>
    <col min="8" max="8" width="27.140625" style="1" hidden="1" customWidth="1"/>
    <col min="9" max="9" width="27.140625" style="58" hidden="1" customWidth="1"/>
    <col min="10" max="10" width="27.140625" style="59" hidden="1" customWidth="1"/>
    <col min="11" max="11" width="27.140625" style="60" hidden="1" customWidth="1"/>
    <col min="12" max="12" width="27.140625" style="61" hidden="1" customWidth="1"/>
    <col min="13" max="13" width="8.7109375" customWidth="1"/>
    <col min="14" max="14" width="12.7109375" customWidth="1"/>
    <col min="15" max="15" width="8.7109375" customWidth="1"/>
    <col min="16" max="16" width="5.42578125" customWidth="1"/>
    <col min="17" max="17" width="16.28515625" customWidth="1"/>
    <col min="18" max="18" width="12.5703125" customWidth="1"/>
    <col min="19" max="21" width="8.7109375" customWidth="1"/>
    <col min="22" max="22" width="11.42578125" style="62" customWidth="1"/>
    <col min="23" max="23" width="8.7109375" customWidth="1"/>
    <col min="24" max="24" width="10.7109375" customWidth="1"/>
    <col min="25" max="25" width="18.7109375" style="63" customWidth="1"/>
    <col min="26" max="26" width="14.5703125" customWidth="1"/>
    <col min="27" max="28" width="10.7109375" customWidth="1"/>
    <col min="29" max="29" width="15.5703125" customWidth="1"/>
    <col min="30" max="30" width="25.7109375" customWidth="1"/>
    <col min="31" max="44" width="10.7109375" customWidth="1"/>
    <col min="45" max="45" width="12.42578125" customWidth="1"/>
    <col min="46" max="46" width="11" customWidth="1"/>
  </cols>
  <sheetData>
    <row r="1" spans="2:41" ht="15.95" customHeight="1">
      <c r="B1" s="928" t="s">
        <v>1174</v>
      </c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928"/>
      <c r="N1" s="928"/>
      <c r="O1" s="928"/>
      <c r="P1" s="928"/>
      <c r="Q1" s="928"/>
      <c r="R1" s="928"/>
      <c r="S1" s="928"/>
      <c r="T1" s="928"/>
      <c r="U1" s="928"/>
      <c r="V1" s="152"/>
      <c r="W1" s="64"/>
      <c r="X1" s="153"/>
      <c r="Y1"/>
      <c r="Z1" s="153"/>
      <c r="AA1" s="153"/>
      <c r="AB1" s="153"/>
      <c r="AC1" s="153"/>
      <c r="AD1" s="153"/>
      <c r="AE1" s="226"/>
      <c r="AF1" s="226"/>
      <c r="AG1" s="163"/>
      <c r="AH1" s="163"/>
      <c r="AI1" s="163"/>
      <c r="AJ1" s="163"/>
      <c r="AK1" s="163"/>
      <c r="AL1" s="163"/>
      <c r="AM1" s="163"/>
      <c r="AN1" s="163"/>
      <c r="AO1" s="163"/>
    </row>
    <row r="2" spans="2:41" ht="15.95" customHeight="1">
      <c r="B2" s="928" t="s">
        <v>1175</v>
      </c>
      <c r="C2" s="928"/>
      <c r="D2" s="928"/>
      <c r="E2" s="928"/>
      <c r="F2" s="928"/>
      <c r="G2" s="928"/>
      <c r="H2" s="928"/>
      <c r="I2" s="928"/>
      <c r="J2" s="928"/>
      <c r="K2" s="928"/>
      <c r="L2" s="928"/>
      <c r="M2" s="928"/>
      <c r="N2" s="928"/>
      <c r="O2" s="928"/>
      <c r="P2" s="928"/>
      <c r="Q2" s="928"/>
      <c r="R2" s="928"/>
      <c r="S2" s="928"/>
      <c r="T2" s="928"/>
      <c r="U2" s="928"/>
      <c r="V2" s="152"/>
      <c r="W2" s="64"/>
      <c r="X2" s="153"/>
      <c r="Y2"/>
      <c r="Z2" s="153"/>
      <c r="AA2" s="153"/>
      <c r="AB2" s="153"/>
      <c r="AC2" s="153"/>
      <c r="AD2" s="227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</row>
    <row r="3" spans="2:41" ht="15.95" customHeight="1">
      <c r="B3" s="928" t="s">
        <v>1176</v>
      </c>
      <c r="C3" s="928"/>
      <c r="D3" s="928"/>
      <c r="E3" s="928"/>
      <c r="F3" s="928"/>
      <c r="G3" s="928"/>
      <c r="H3" s="928"/>
      <c r="I3" s="928"/>
      <c r="J3" s="928"/>
      <c r="K3" s="928"/>
      <c r="L3" s="928"/>
      <c r="M3" s="928"/>
      <c r="N3" s="928"/>
      <c r="O3" s="928"/>
      <c r="P3" s="928"/>
      <c r="Q3" s="928"/>
      <c r="R3" s="928"/>
      <c r="S3" s="928"/>
      <c r="T3" s="928"/>
      <c r="U3" s="928"/>
      <c r="V3" s="152"/>
      <c r="W3" s="64"/>
      <c r="X3" s="153"/>
      <c r="Y3"/>
      <c r="Z3" s="153"/>
      <c r="AA3" s="153"/>
      <c r="AB3" s="153"/>
      <c r="AC3" s="153"/>
      <c r="AD3" s="15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</row>
    <row r="4" spans="2:41" ht="15.95" customHeight="1">
      <c r="B4" s="928" t="s">
        <v>1177</v>
      </c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28"/>
      <c r="S4" s="928"/>
      <c r="T4" s="928"/>
      <c r="U4" s="928"/>
      <c r="V4" s="152"/>
      <c r="W4" s="64"/>
      <c r="X4" s="153"/>
      <c r="Y4"/>
      <c r="Z4" s="153"/>
      <c r="AA4" s="153"/>
      <c r="AB4" s="153"/>
      <c r="AC4" s="153"/>
      <c r="AD4" s="153"/>
      <c r="AE4" s="226"/>
      <c r="AF4" s="226"/>
      <c r="AG4" s="226"/>
      <c r="AH4" s="226"/>
      <c r="AI4" s="226"/>
      <c r="AJ4" s="163"/>
      <c r="AK4" s="163"/>
      <c r="AL4" s="163"/>
      <c r="AM4" s="163"/>
      <c r="AN4" s="163"/>
      <c r="AO4" s="163"/>
    </row>
    <row r="5" spans="2:41" ht="15.95" customHeight="1"/>
    <row r="6" spans="2:41" ht="15.95" customHeight="1"/>
    <row r="7" spans="2:41" ht="15.95" customHeight="1">
      <c r="B7" s="1220" t="s">
        <v>1305</v>
      </c>
      <c r="C7" s="1220"/>
      <c r="D7" s="1220"/>
      <c r="E7" s="1220"/>
      <c r="F7" s="1220"/>
      <c r="G7" s="1220"/>
      <c r="H7" s="1220"/>
      <c r="I7" s="1220"/>
      <c r="J7" s="1220"/>
      <c r="K7" s="1220"/>
      <c r="L7" s="1220"/>
      <c r="M7" s="1220"/>
      <c r="N7" s="1220"/>
      <c r="O7" s="1220"/>
      <c r="P7" s="1220"/>
      <c r="Q7" s="1220"/>
      <c r="R7" s="1220"/>
      <c r="S7" s="1220"/>
      <c r="T7" s="1220"/>
      <c r="U7" s="1220"/>
      <c r="V7" s="154"/>
      <c r="W7" s="65"/>
      <c r="X7" s="153"/>
      <c r="Y7" s="228"/>
      <c r="Z7" s="153"/>
      <c r="AA7" s="153"/>
      <c r="AB7" s="153"/>
      <c r="AC7" s="153"/>
      <c r="AD7" s="153"/>
      <c r="AE7" s="226"/>
      <c r="AF7" s="226"/>
      <c r="AG7" s="163"/>
      <c r="AH7" s="163"/>
      <c r="AI7" s="163"/>
      <c r="AJ7" s="163"/>
      <c r="AK7" s="163"/>
      <c r="AL7" s="163"/>
      <c r="AM7" s="163"/>
      <c r="AN7" s="163"/>
      <c r="AO7" s="163"/>
    </row>
    <row r="8" spans="2:41" ht="15.95" customHeight="1">
      <c r="B8" s="66"/>
      <c r="C8" s="66"/>
      <c r="D8" s="66"/>
      <c r="E8" s="66"/>
      <c r="F8" s="66"/>
      <c r="G8" s="67"/>
      <c r="H8" s="68"/>
      <c r="I8" s="97"/>
      <c r="J8" s="98"/>
      <c r="K8" s="99"/>
      <c r="L8" s="100"/>
      <c r="M8" s="67"/>
      <c r="N8" s="101"/>
      <c r="O8" s="101"/>
      <c r="P8" s="101"/>
      <c r="Q8" s="101"/>
      <c r="R8" s="101"/>
      <c r="S8" s="101"/>
      <c r="T8" s="101"/>
      <c r="U8" s="101"/>
      <c r="V8" s="155"/>
      <c r="W8" s="101"/>
      <c r="X8" s="153"/>
      <c r="Y8" s="228"/>
      <c r="Z8" s="153"/>
      <c r="AA8" s="153"/>
      <c r="AB8" s="153"/>
      <c r="AC8" s="153"/>
      <c r="AD8" s="227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</row>
    <row r="9" spans="2:41" ht="15.95" customHeight="1">
      <c r="B9" s="69" t="s">
        <v>1306</v>
      </c>
      <c r="C9" s="69"/>
      <c r="D9" s="69"/>
      <c r="E9" s="1205" t="s">
        <v>1533</v>
      </c>
      <c r="F9" s="1205"/>
      <c r="G9" s="1205"/>
      <c r="H9" s="1205"/>
      <c r="I9" s="1205"/>
      <c r="J9" s="1205"/>
      <c r="K9" s="1205"/>
      <c r="L9" s="1205"/>
      <c r="M9" s="1205"/>
      <c r="N9" s="1205"/>
      <c r="O9" s="1205"/>
      <c r="P9" s="1205"/>
      <c r="Q9" s="156" t="s">
        <v>1045</v>
      </c>
      <c r="R9" s="156"/>
      <c r="S9" s="95"/>
      <c r="T9" s="1221"/>
      <c r="U9" s="1221"/>
      <c r="V9" s="157"/>
      <c r="W9" s="158"/>
      <c r="X9" s="153" t="s">
        <v>1534</v>
      </c>
      <c r="Y9" s="228"/>
      <c r="Z9" s="153"/>
      <c r="AA9" s="153"/>
      <c r="AB9" s="153"/>
      <c r="AC9" s="153"/>
      <c r="AD9" s="15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</row>
    <row r="10" spans="2:41" ht="15.95" customHeight="1">
      <c r="B10" s="70"/>
      <c r="C10" s="70"/>
      <c r="D10" s="70"/>
      <c r="E10" s="1222" t="s">
        <v>1535</v>
      </c>
      <c r="F10" s="1222"/>
      <c r="G10" s="1222"/>
      <c r="H10" s="1222"/>
      <c r="I10" s="1222"/>
      <c r="J10" s="1222"/>
      <c r="K10" s="1222"/>
      <c r="L10" s="1222"/>
      <c r="M10" s="1222"/>
      <c r="N10" s="1222"/>
      <c r="O10" s="1222"/>
      <c r="P10" s="1222"/>
      <c r="Q10" s="159" t="s">
        <v>1536</v>
      </c>
      <c r="R10" s="159"/>
      <c r="S10" s="95"/>
      <c r="T10" s="1205"/>
      <c r="U10" s="1205"/>
      <c r="V10" s="160"/>
      <c r="W10" s="161"/>
      <c r="X10" s="153"/>
      <c r="Y10" s="228"/>
      <c r="Z10" s="153"/>
      <c r="AA10" s="153"/>
      <c r="AB10" s="153"/>
      <c r="AC10" s="153"/>
      <c r="AD10" s="153"/>
      <c r="AE10" s="226"/>
      <c r="AF10" s="226"/>
      <c r="AG10" s="226"/>
      <c r="AH10" s="226"/>
      <c r="AI10" s="226"/>
      <c r="AJ10" s="163"/>
      <c r="AK10" s="163"/>
      <c r="AL10" s="163"/>
      <c r="AM10" s="163"/>
      <c r="AN10" s="163"/>
      <c r="AO10" s="163"/>
    </row>
    <row r="11" spans="2:41" ht="15.95" customHeight="1">
      <c r="B11" s="70" t="s">
        <v>1180</v>
      </c>
      <c r="C11" s="70"/>
      <c r="D11" s="70"/>
      <c r="E11" s="1205" t="s">
        <v>1537</v>
      </c>
      <c r="F11" s="1205"/>
      <c r="G11" s="1205"/>
      <c r="H11" s="1205"/>
      <c r="I11" s="1205"/>
      <c r="J11" s="1205"/>
      <c r="K11" s="1205"/>
      <c r="L11" s="1205"/>
      <c r="M11" s="1205"/>
      <c r="N11" s="1205"/>
      <c r="O11" s="1205"/>
      <c r="P11" s="1205"/>
      <c r="Q11" s="156" t="s">
        <v>1311</v>
      </c>
      <c r="R11" s="156"/>
      <c r="S11" s="162"/>
      <c r="T11" s="1205"/>
      <c r="U11" s="1205"/>
      <c r="V11" s="160"/>
      <c r="W11" s="161"/>
      <c r="X11" s="163"/>
      <c r="Y11" s="229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</row>
    <row r="12" spans="2:41" ht="18.75">
      <c r="B12" s="71"/>
      <c r="C12" s="71"/>
      <c r="D12" s="71"/>
      <c r="E12" s="72"/>
      <c r="F12" s="72"/>
      <c r="G12" s="72"/>
      <c r="H12" s="73"/>
      <c r="I12" s="102"/>
      <c r="J12" s="103"/>
      <c r="K12" s="104"/>
      <c r="L12" s="105"/>
      <c r="M12" s="72"/>
      <c r="N12" s="72"/>
      <c r="O12" s="72"/>
      <c r="P12" s="72"/>
      <c r="Q12" s="156" t="s">
        <v>1312</v>
      </c>
      <c r="R12" s="156"/>
      <c r="S12" s="1216" t="s">
        <v>1313</v>
      </c>
      <c r="T12" s="1216"/>
      <c r="U12" s="1216"/>
      <c r="V12" s="165"/>
      <c r="W12" s="164"/>
      <c r="X12" s="166"/>
      <c r="Y12" s="230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</row>
    <row r="13" spans="2:41" ht="15.95" customHeight="1">
      <c r="B13" s="70" t="s">
        <v>1315</v>
      </c>
      <c r="C13" s="70"/>
      <c r="D13" s="70"/>
      <c r="E13" s="1156">
        <f>S55</f>
        <v>1100000</v>
      </c>
      <c r="F13" s="1156"/>
      <c r="G13" s="74"/>
      <c r="H13" s="75"/>
      <c r="I13" s="106"/>
      <c r="J13" s="107"/>
      <c r="K13" s="108"/>
      <c r="L13" s="109"/>
      <c r="M13" s="74"/>
      <c r="N13" s="74"/>
      <c r="O13" s="74"/>
      <c r="P13" s="74"/>
      <c r="Q13" s="156" t="s">
        <v>1314</v>
      </c>
      <c r="R13" s="156"/>
      <c r="S13" s="162"/>
      <c r="T13" s="167">
        <f>'PROJECT DETAILS'!B4</f>
        <v>200</v>
      </c>
      <c r="U13" s="167" t="s">
        <v>1538</v>
      </c>
      <c r="V13" s="168"/>
      <c r="W13" s="169"/>
    </row>
    <row r="14" spans="2:41" ht="15.95" customHeight="1">
      <c r="B14" s="70" t="s">
        <v>1317</v>
      </c>
      <c r="C14" s="70"/>
      <c r="D14" s="70"/>
      <c r="E14" s="1205">
        <f>'PROJECT DETAILS'!B6:I6</f>
        <v>0</v>
      </c>
      <c r="F14" s="1205"/>
      <c r="G14" s="1205"/>
      <c r="H14" s="1205"/>
      <c r="I14" s="1205"/>
      <c r="J14" s="1205"/>
      <c r="K14" s="1205"/>
      <c r="L14" s="1205"/>
      <c r="M14" s="1205"/>
      <c r="N14" s="1205"/>
      <c r="O14" s="1205"/>
      <c r="P14" s="1205"/>
      <c r="Q14" s="156" t="s">
        <v>1316</v>
      </c>
      <c r="R14" s="156"/>
      <c r="S14" s="162"/>
      <c r="T14" s="1205"/>
      <c r="U14" s="1205"/>
      <c r="V14" s="160"/>
      <c r="W14" s="161"/>
    </row>
    <row r="15" spans="2:41" ht="15.95" customHeight="1">
      <c r="B15" s="70"/>
      <c r="C15" s="70"/>
      <c r="D15" s="70"/>
      <c r="E15" s="1217"/>
      <c r="F15" s="1217"/>
      <c r="G15" s="1217"/>
      <c r="H15" s="1217"/>
      <c r="I15" s="1217"/>
      <c r="J15" s="1217"/>
      <c r="K15" s="1217"/>
      <c r="L15" s="1217"/>
      <c r="M15" s="1217"/>
      <c r="N15" s="1217"/>
      <c r="O15" s="1217"/>
      <c r="P15" s="1217"/>
      <c r="Q15" s="156" t="s">
        <v>1319</v>
      </c>
      <c r="R15" s="156"/>
      <c r="S15" s="162"/>
      <c r="T15" s="1218"/>
      <c r="U15" s="1218"/>
      <c r="V15" s="170"/>
      <c r="W15" s="171"/>
    </row>
    <row r="16" spans="2:41" ht="15.95" customHeight="1">
      <c r="B16" s="70" t="s">
        <v>1320</v>
      </c>
      <c r="C16" s="70"/>
      <c r="D16" s="70"/>
      <c r="E16" s="1205"/>
      <c r="F16" s="1205"/>
      <c r="G16" s="1205"/>
      <c r="H16" s="1205"/>
      <c r="I16" s="1205"/>
      <c r="J16" s="1205"/>
      <c r="K16" s="1205"/>
      <c r="L16" s="1205"/>
      <c r="M16" s="1205"/>
      <c r="N16" s="1205"/>
      <c r="O16" s="1205"/>
      <c r="P16" s="1205"/>
      <c r="Q16" s="156" t="s">
        <v>1321</v>
      </c>
      <c r="R16" s="156"/>
      <c r="S16" s="172"/>
      <c r="T16" s="1219"/>
      <c r="U16" s="1219"/>
      <c r="V16" s="173"/>
      <c r="W16" s="174"/>
    </row>
    <row r="17" spans="1:27" ht="18.75">
      <c r="B17" s="1204"/>
      <c r="C17" s="1204"/>
      <c r="D17" s="1204"/>
      <c r="E17" s="1205"/>
      <c r="F17" s="1205"/>
      <c r="G17" s="1205"/>
      <c r="H17" s="1205"/>
      <c r="I17" s="1205"/>
      <c r="J17" s="1205"/>
      <c r="K17" s="1205"/>
      <c r="L17" s="1205"/>
      <c r="M17" s="1205"/>
      <c r="N17" s="1205"/>
      <c r="O17" s="1205"/>
      <c r="P17" s="1205"/>
      <c r="Q17" s="175"/>
      <c r="R17" s="175"/>
      <c r="S17" s="175"/>
      <c r="T17" s="175"/>
      <c r="U17" s="175"/>
      <c r="V17" s="176"/>
      <c r="W17" s="175"/>
    </row>
    <row r="18" spans="1:27" ht="18.75">
      <c r="A18" s="1122" t="s">
        <v>1184</v>
      </c>
      <c r="B18" s="1142" t="s">
        <v>1324</v>
      </c>
      <c r="C18" s="1136"/>
      <c r="D18" s="1145" t="s">
        <v>1325</v>
      </c>
      <c r="E18" s="1145"/>
      <c r="F18" s="1145"/>
      <c r="G18" s="1145"/>
      <c r="H18" s="1145"/>
      <c r="I18" s="1145"/>
      <c r="J18" s="1145"/>
      <c r="K18" s="1145"/>
      <c r="L18" s="1145"/>
      <c r="M18" s="1146"/>
      <c r="N18" s="110" t="s">
        <v>1326</v>
      </c>
      <c r="O18" s="1206" t="s">
        <v>1327</v>
      </c>
      <c r="P18" s="1207"/>
      <c r="Q18" s="1207"/>
      <c r="R18" s="1207"/>
      <c r="S18" s="1207"/>
      <c r="T18" s="1207"/>
      <c r="U18" s="1208"/>
      <c r="V18" s="177" t="s">
        <v>174</v>
      </c>
      <c r="W18" s="178"/>
    </row>
    <row r="19" spans="1:27" ht="18.75">
      <c r="A19" s="1122"/>
      <c r="B19" s="1144"/>
      <c r="C19" s="1138"/>
      <c r="D19" s="1147"/>
      <c r="E19" s="1147"/>
      <c r="F19" s="1147"/>
      <c r="G19" s="1147"/>
      <c r="H19" s="1147"/>
      <c r="I19" s="1147"/>
      <c r="J19" s="1147"/>
      <c r="K19" s="1147"/>
      <c r="L19" s="1147"/>
      <c r="M19" s="1148"/>
      <c r="N19" s="111" t="s">
        <v>1328</v>
      </c>
      <c r="O19" s="1209" t="s">
        <v>1330</v>
      </c>
      <c r="P19" s="1210"/>
      <c r="Q19" s="1211"/>
      <c r="R19" s="1212" t="s">
        <v>1539</v>
      </c>
      <c r="S19" s="1213"/>
      <c r="T19" s="1213"/>
      <c r="U19" s="1214"/>
      <c r="V19" s="177"/>
      <c r="W19" s="178"/>
    </row>
    <row r="20" spans="1:27" ht="15.75">
      <c r="A20" s="76">
        <v>1</v>
      </c>
      <c r="B20" s="1173">
        <v>803</v>
      </c>
      <c r="C20" s="1162"/>
      <c r="D20" s="1198" t="s">
        <v>1540</v>
      </c>
      <c r="E20" s="1198"/>
      <c r="F20" s="1198"/>
      <c r="G20" s="1198"/>
      <c r="H20" s="1198"/>
      <c r="I20" s="1198"/>
      <c r="J20" s="1198"/>
      <c r="K20" s="1198"/>
      <c r="L20" s="1198"/>
      <c r="M20" s="1199"/>
      <c r="N20" s="112" t="e">
        <f t="shared" ref="N20:N29" si="0">T37/Y37</f>
        <v>#REF!</v>
      </c>
      <c r="O20" s="1215"/>
      <c r="P20" s="831"/>
      <c r="Q20" s="831"/>
      <c r="R20" s="179"/>
      <c r="S20" s="180">
        <f>'PROJECT DETAILS'!E232</f>
        <v>1</v>
      </c>
      <c r="T20" s="180"/>
      <c r="U20" s="180"/>
      <c r="V20" s="181">
        <f>'PROJECT DETAILS'!I232</f>
        <v>1</v>
      </c>
      <c r="W20" s="182"/>
    </row>
    <row r="21" spans="1:27" ht="15.75">
      <c r="A21" s="76">
        <v>2</v>
      </c>
      <c r="B21" s="1173" t="s">
        <v>1541</v>
      </c>
      <c r="C21" s="1162"/>
      <c r="D21" s="1197" t="s">
        <v>1542</v>
      </c>
      <c r="E21" s="1198"/>
      <c r="F21" s="1198"/>
      <c r="G21" s="1198"/>
      <c r="H21" s="1198"/>
      <c r="I21" s="1198"/>
      <c r="J21" s="1198"/>
      <c r="K21" s="1198"/>
      <c r="L21" s="1198"/>
      <c r="M21" s="1199"/>
      <c r="N21" s="112" t="e">
        <f t="shared" si="0"/>
        <v>#REF!</v>
      </c>
      <c r="O21" s="830" t="s">
        <v>176</v>
      </c>
      <c r="P21" s="831"/>
      <c r="Q21" s="831"/>
      <c r="R21" s="179"/>
      <c r="S21" s="180">
        <f>'PROJECT DETAILS'!E233</f>
        <v>1</v>
      </c>
      <c r="T21" s="180"/>
      <c r="U21" s="180"/>
      <c r="V21" s="181">
        <f>'PROJECT DETAILS'!I233</f>
        <v>1</v>
      </c>
      <c r="W21" s="182" t="s">
        <v>295</v>
      </c>
    </row>
    <row r="22" spans="1:27" ht="15.75">
      <c r="A22" s="76">
        <v>3</v>
      </c>
      <c r="B22" s="1173" t="s">
        <v>1543</v>
      </c>
      <c r="C22" s="1162"/>
      <c r="D22" s="1197" t="s">
        <v>1544</v>
      </c>
      <c r="E22" s="1198"/>
      <c r="F22" s="1198"/>
      <c r="G22" s="1198"/>
      <c r="H22" s="1198"/>
      <c r="I22" s="1198"/>
      <c r="J22" s="1198"/>
      <c r="K22" s="1198"/>
      <c r="L22" s="1198"/>
      <c r="M22" s="1199"/>
      <c r="N22" s="112" t="e">
        <f t="shared" si="0"/>
        <v>#REF!</v>
      </c>
      <c r="O22" s="830" t="s">
        <v>177</v>
      </c>
      <c r="P22" s="831"/>
      <c r="Q22" s="832"/>
      <c r="R22" s="179"/>
      <c r="S22" s="180">
        <f>'PROJECT DETAILS'!E234</f>
        <v>1</v>
      </c>
      <c r="T22" s="180"/>
      <c r="U22" s="79"/>
      <c r="V22" s="181">
        <f>'PROJECT DETAILS'!I234</f>
        <v>1</v>
      </c>
      <c r="W22" s="182"/>
      <c r="Y22" s="231"/>
    </row>
    <row r="23" spans="1:27" ht="15.75">
      <c r="A23" s="76"/>
      <c r="B23" s="1173">
        <v>1047</v>
      </c>
      <c r="C23" s="1162"/>
      <c r="D23" s="1197" t="s">
        <v>1545</v>
      </c>
      <c r="E23" s="1198"/>
      <c r="F23" s="1198"/>
      <c r="G23" s="1198"/>
      <c r="H23" s="1198"/>
      <c r="I23" s="1198"/>
      <c r="J23" s="1198"/>
      <c r="K23" s="1198"/>
      <c r="L23" s="1198"/>
      <c r="M23" s="1199"/>
      <c r="N23" s="112" t="e">
        <f t="shared" si="0"/>
        <v>#DIV/0!</v>
      </c>
      <c r="O23" s="113"/>
      <c r="P23" s="114"/>
      <c r="Q23" s="183"/>
      <c r="R23" s="179"/>
      <c r="S23" s="180"/>
      <c r="T23" s="180"/>
      <c r="U23" s="79"/>
      <c r="V23" s="181"/>
      <c r="W23" s="182"/>
      <c r="Y23" s="231"/>
    </row>
    <row r="24" spans="1:27" ht="15.75">
      <c r="A24" s="76">
        <v>4</v>
      </c>
      <c r="B24" s="1203" t="s">
        <v>1546</v>
      </c>
      <c r="C24" s="1162"/>
      <c r="D24" s="1197" t="s">
        <v>1547</v>
      </c>
      <c r="E24" s="1198"/>
      <c r="F24" s="1198"/>
      <c r="G24" s="1198"/>
      <c r="H24" s="1198"/>
      <c r="I24" s="1198"/>
      <c r="J24" s="1198"/>
      <c r="K24" s="1198"/>
      <c r="L24" s="1198"/>
      <c r="M24" s="1199"/>
      <c r="N24" s="112" t="e">
        <f t="shared" si="0"/>
        <v>#DIV/0!</v>
      </c>
      <c r="O24" s="830" t="s">
        <v>1548</v>
      </c>
      <c r="P24" s="831"/>
      <c r="Q24" s="832"/>
      <c r="R24" s="184"/>
      <c r="S24" s="180">
        <v>1</v>
      </c>
      <c r="T24" s="185"/>
      <c r="U24" s="186"/>
      <c r="V24" s="181">
        <f>'PROJECT DETAILS'!I235</f>
        <v>1</v>
      </c>
      <c r="W24" s="182"/>
      <c r="Y24" s="231"/>
    </row>
    <row r="25" spans="1:27" ht="15.75">
      <c r="A25" s="76"/>
      <c r="B25" s="1173" t="s">
        <v>1549</v>
      </c>
      <c r="C25" s="1162"/>
      <c r="D25" s="1197" t="s">
        <v>1550</v>
      </c>
      <c r="E25" s="1198"/>
      <c r="F25" s="1198"/>
      <c r="G25" s="1198"/>
      <c r="H25" s="1198"/>
      <c r="I25" s="1198"/>
      <c r="J25" s="1198"/>
      <c r="K25" s="1198"/>
      <c r="L25" s="1198"/>
      <c r="M25" s="1199"/>
      <c r="N25" s="112" t="e">
        <f t="shared" si="0"/>
        <v>#DIV/0!</v>
      </c>
      <c r="O25" s="113"/>
      <c r="P25" s="114"/>
      <c r="Q25" s="183"/>
      <c r="R25" s="184"/>
      <c r="S25" s="180"/>
      <c r="T25" s="185"/>
      <c r="U25" s="186"/>
      <c r="V25" s="181"/>
      <c r="W25" s="182"/>
      <c r="Y25" s="231"/>
    </row>
    <row r="26" spans="1:27" ht="15.75">
      <c r="A26" s="76"/>
      <c r="B26" s="1173" t="s">
        <v>1551</v>
      </c>
      <c r="C26" s="1162"/>
      <c r="D26" s="1197" t="s">
        <v>1552</v>
      </c>
      <c r="E26" s="1198"/>
      <c r="F26" s="1198"/>
      <c r="G26" s="1198"/>
      <c r="H26" s="1198"/>
      <c r="I26" s="1198"/>
      <c r="J26" s="1198"/>
      <c r="K26" s="1198"/>
      <c r="L26" s="1198"/>
      <c r="M26" s="1199"/>
      <c r="N26" s="112" t="e">
        <f t="shared" si="0"/>
        <v>#REF!</v>
      </c>
      <c r="O26" s="113"/>
      <c r="P26" s="114"/>
      <c r="Q26" s="183"/>
      <c r="R26" s="184"/>
      <c r="S26" s="180"/>
      <c r="T26" s="185"/>
      <c r="U26" s="186"/>
      <c r="V26" s="181"/>
      <c r="W26" s="182"/>
      <c r="Y26" s="231"/>
    </row>
    <row r="27" spans="1:27" ht="15.75">
      <c r="A27" s="76">
        <v>5</v>
      </c>
      <c r="B27" s="1173" t="s">
        <v>1553</v>
      </c>
      <c r="C27" s="1162"/>
      <c r="D27" s="1200" t="s">
        <v>1240</v>
      </c>
      <c r="E27" s="1201"/>
      <c r="F27" s="1201"/>
      <c r="G27" s="1201"/>
      <c r="H27" s="1201"/>
      <c r="I27" s="1201"/>
      <c r="J27" s="1201"/>
      <c r="K27" s="1201"/>
      <c r="L27" s="1201"/>
      <c r="M27" s="1202"/>
      <c r="N27" s="112" t="e">
        <f t="shared" si="0"/>
        <v>#REF!</v>
      </c>
      <c r="O27" s="830" t="s">
        <v>178</v>
      </c>
      <c r="P27" s="831"/>
      <c r="Q27" s="832"/>
      <c r="R27" s="187"/>
      <c r="S27" s="188">
        <f>'PROJECT DETAILS'!E235</f>
        <v>1</v>
      </c>
      <c r="T27" s="188"/>
      <c r="U27" s="188"/>
      <c r="V27" s="181">
        <f>'PROJECT DETAILS'!I236</f>
        <v>2</v>
      </c>
      <c r="W27" s="182"/>
    </row>
    <row r="28" spans="1:27" ht="16.5">
      <c r="A28" s="76">
        <v>6</v>
      </c>
      <c r="B28" s="1173">
        <v>1027</v>
      </c>
      <c r="C28" s="1162"/>
      <c r="D28" s="1197" t="s">
        <v>1247</v>
      </c>
      <c r="E28" s="1198"/>
      <c r="F28" s="1198"/>
      <c r="G28" s="1198"/>
      <c r="H28" s="1198"/>
      <c r="I28" s="1198"/>
      <c r="J28" s="1198"/>
      <c r="K28" s="1198"/>
      <c r="L28" s="1198"/>
      <c r="M28" s="1199"/>
      <c r="N28" s="112" t="e">
        <f t="shared" si="0"/>
        <v>#REF!</v>
      </c>
      <c r="O28" s="830" t="s">
        <v>179</v>
      </c>
      <c r="P28" s="831"/>
      <c r="Q28" s="832"/>
      <c r="R28" s="179"/>
      <c r="S28" s="180">
        <f>'PROJECT DETAILS'!E236</f>
        <v>2</v>
      </c>
      <c r="T28" s="180"/>
      <c r="U28" s="180"/>
      <c r="V28" s="181">
        <f>'PROJECT DETAILS'!I237</f>
        <v>1</v>
      </c>
      <c r="W28" s="182"/>
      <c r="Y28" s="13"/>
      <c r="Z28" s="14"/>
      <c r="AA28" s="14"/>
    </row>
    <row r="29" spans="1:27" ht="15.75">
      <c r="A29" s="76">
        <v>13</v>
      </c>
      <c r="B29" s="1173" t="s">
        <v>1554</v>
      </c>
      <c r="C29" s="1162"/>
      <c r="D29" s="1197" t="s">
        <v>1555</v>
      </c>
      <c r="E29" s="1198"/>
      <c r="F29" s="1198"/>
      <c r="G29" s="1198"/>
      <c r="H29" s="1198"/>
      <c r="I29" s="1198"/>
      <c r="J29" s="1198"/>
      <c r="K29" s="1198"/>
      <c r="L29" s="1198"/>
      <c r="M29" s="1199"/>
      <c r="N29" s="112" t="e">
        <f t="shared" si="0"/>
        <v>#REF!</v>
      </c>
      <c r="O29" s="115"/>
      <c r="P29" s="116"/>
      <c r="Q29" s="189"/>
      <c r="R29" s="179"/>
      <c r="S29" s="180"/>
      <c r="T29" s="180"/>
      <c r="U29" s="180"/>
      <c r="V29" s="181">
        <f>'PROJECT DETAILS'!I244</f>
        <v>0</v>
      </c>
      <c r="W29" s="182"/>
    </row>
    <row r="30" spans="1:27" ht="15.75">
      <c r="A30" s="77"/>
      <c r="B30" s="1188" t="s">
        <v>1556</v>
      </c>
      <c r="C30" s="1189"/>
      <c r="D30" s="1190" t="s">
        <v>1557</v>
      </c>
      <c r="E30" s="1191"/>
      <c r="F30" s="1191"/>
      <c r="G30" s="1191"/>
      <c r="H30" s="1191"/>
      <c r="I30" s="1191"/>
      <c r="J30" s="1191"/>
      <c r="K30" s="1191"/>
      <c r="L30" s="1191"/>
      <c r="M30" s="1192"/>
      <c r="N30" s="117" t="e">
        <f>#REF!/#REF!</f>
        <v>#REF!</v>
      </c>
      <c r="O30" s="118"/>
      <c r="P30" s="119"/>
      <c r="Q30" s="190"/>
      <c r="R30" s="191"/>
      <c r="S30" s="192"/>
      <c r="T30" s="192"/>
      <c r="U30" s="192"/>
      <c r="V30" s="193"/>
      <c r="W30" s="182"/>
    </row>
    <row r="31" spans="1:27" s="56" customFormat="1" ht="15.75">
      <c r="A31" s="76">
        <v>15</v>
      </c>
      <c r="B31" s="1173" t="s">
        <v>1558</v>
      </c>
      <c r="C31" s="1162"/>
      <c r="D31" s="1193" t="s">
        <v>1559</v>
      </c>
      <c r="E31" s="1193"/>
      <c r="F31" s="1193"/>
      <c r="G31" s="1193"/>
      <c r="H31" s="1193"/>
      <c r="I31" s="1193"/>
      <c r="J31" s="1193"/>
      <c r="K31" s="1193"/>
      <c r="L31" s="1193"/>
      <c r="M31" s="1194"/>
      <c r="N31" s="120" t="e">
        <f>T48/Y48</f>
        <v>#DIV/0!</v>
      </c>
      <c r="O31" s="1195"/>
      <c r="P31" s="1195"/>
      <c r="Q31" s="1195"/>
      <c r="R31" s="179"/>
      <c r="S31" s="180"/>
      <c r="T31" s="180"/>
      <c r="U31" s="180"/>
      <c r="V31" s="181">
        <f>'PROJECT DETAILS'!I246</f>
        <v>0</v>
      </c>
      <c r="W31" s="180"/>
      <c r="Y31" s="232"/>
    </row>
    <row r="32" spans="1:27" ht="15.75">
      <c r="B32" s="1196"/>
      <c r="C32" s="1196"/>
      <c r="D32" s="1196"/>
      <c r="E32" s="1196"/>
      <c r="F32" s="1196"/>
      <c r="G32" s="1196"/>
      <c r="H32" s="1196"/>
      <c r="I32" s="1196"/>
      <c r="J32" s="1196"/>
      <c r="K32" s="1196"/>
      <c r="L32" s="1196"/>
      <c r="M32" s="1196"/>
      <c r="N32" s="121"/>
      <c r="O32" s="1196"/>
      <c r="P32" s="1196"/>
      <c r="Q32" s="1196"/>
      <c r="R32" s="1196"/>
      <c r="S32" s="1196"/>
      <c r="T32" s="1196"/>
      <c r="U32" s="1196"/>
      <c r="V32" s="194"/>
      <c r="W32" s="182"/>
      <c r="Y32" s="231"/>
    </row>
    <row r="33" spans="1:29" ht="15.75">
      <c r="B33" s="1181" t="s">
        <v>1335</v>
      </c>
      <c r="C33" s="1182"/>
      <c r="D33" s="1182"/>
      <c r="E33" s="1182"/>
      <c r="F33" s="1182"/>
      <c r="G33" s="1182"/>
      <c r="H33" s="1182"/>
      <c r="I33" s="1182"/>
      <c r="J33" s="1182"/>
      <c r="K33" s="1182"/>
      <c r="L33" s="1182"/>
      <c r="M33" s="1182"/>
      <c r="N33" s="1182"/>
      <c r="O33" s="1182"/>
      <c r="P33" s="1182"/>
      <c r="Q33" s="1182"/>
      <c r="R33" s="1182"/>
      <c r="S33" s="1182"/>
      <c r="T33" s="1182"/>
      <c r="U33" s="1183"/>
      <c r="V33" s="195"/>
      <c r="W33" s="196"/>
    </row>
    <row r="34" spans="1:29" ht="15.75">
      <c r="B34" s="1135" t="s">
        <v>1324</v>
      </c>
      <c r="C34" s="1136"/>
      <c r="D34" s="1139" t="s">
        <v>1330</v>
      </c>
      <c r="E34" s="1142"/>
      <c r="F34" s="1142"/>
      <c r="G34" s="1136"/>
      <c r="H34" s="1123" t="s">
        <v>1560</v>
      </c>
      <c r="I34" s="1125" t="s">
        <v>1561</v>
      </c>
      <c r="J34" s="1127" t="s">
        <v>1562</v>
      </c>
      <c r="K34" s="1129" t="s">
        <v>1563</v>
      </c>
      <c r="L34" s="1131" t="s">
        <v>1564</v>
      </c>
      <c r="M34" s="1139" t="s">
        <v>173</v>
      </c>
      <c r="N34" s="1136"/>
      <c r="O34" s="1139" t="s">
        <v>1336</v>
      </c>
      <c r="P34" s="1136"/>
      <c r="Q34" s="1133" t="s">
        <v>1565</v>
      </c>
      <c r="R34" s="1139" t="s">
        <v>1216</v>
      </c>
      <c r="S34" s="1136"/>
      <c r="T34" s="1184" t="s">
        <v>1566</v>
      </c>
      <c r="U34" s="1185"/>
      <c r="V34" s="195"/>
      <c r="W34" s="197"/>
    </row>
    <row r="35" spans="1:29" ht="15.75">
      <c r="B35" s="1137"/>
      <c r="C35" s="1138"/>
      <c r="D35" s="1143"/>
      <c r="E35" s="1144"/>
      <c r="F35" s="1144"/>
      <c r="G35" s="1138"/>
      <c r="H35" s="1124"/>
      <c r="I35" s="1126"/>
      <c r="J35" s="1128"/>
      <c r="K35" s="1130"/>
      <c r="L35" s="1132"/>
      <c r="M35" s="1143"/>
      <c r="N35" s="1138"/>
      <c r="O35" s="1143"/>
      <c r="P35" s="1138"/>
      <c r="Q35" s="1134"/>
      <c r="R35" s="1140"/>
      <c r="S35" s="1141"/>
      <c r="T35" s="1186" t="s">
        <v>174</v>
      </c>
      <c r="U35" s="1187"/>
      <c r="V35" s="195"/>
      <c r="W35" s="197"/>
    </row>
    <row r="36" spans="1:29" ht="15.75">
      <c r="B36" s="78"/>
      <c r="C36" s="79"/>
      <c r="D36" s="80"/>
      <c r="E36" s="81"/>
      <c r="F36" s="81"/>
      <c r="G36" s="81"/>
      <c r="I36" s="122"/>
      <c r="J36" s="123"/>
      <c r="K36" s="124"/>
      <c r="L36" s="125"/>
      <c r="M36" s="126"/>
      <c r="N36" s="127"/>
      <c r="O36" s="128"/>
      <c r="P36" s="129"/>
      <c r="Q36" s="198"/>
      <c r="R36" s="199"/>
      <c r="S36" s="200"/>
      <c r="T36" s="199"/>
      <c r="U36" s="201"/>
      <c r="V36" s="202"/>
      <c r="W36" s="203"/>
    </row>
    <row r="37" spans="1:29" ht="15.75">
      <c r="A37" s="76">
        <v>1</v>
      </c>
      <c r="B37" s="1161">
        <f t="shared" ref="B37:B46" si="1">B20</f>
        <v>803</v>
      </c>
      <c r="C37" s="1162"/>
      <c r="D37" s="1163" t="str">
        <f t="shared" ref="D37:D46" si="2">D20</f>
        <v>Structural excavation</v>
      </c>
      <c r="E37" s="1164"/>
      <c r="F37" s="1164"/>
      <c r="G37" s="1164"/>
      <c r="H37" s="82">
        <f>'ITEM 1'!X16</f>
        <v>3584</v>
      </c>
      <c r="I37" s="130">
        <f>'ITEM 1'!X26</f>
        <v>0</v>
      </c>
      <c r="J37" s="131">
        <f>'ITEM 1'!AD28</f>
        <v>537.6</v>
      </c>
      <c r="K37" s="132">
        <f>'ITEM 1'!AD29</f>
        <v>358.40000000000003</v>
      </c>
      <c r="L37" s="133">
        <f>'ITEM 1'!AD30</f>
        <v>224</v>
      </c>
      <c r="M37" s="1178">
        <v>29.41</v>
      </c>
      <c r="N37" s="1179"/>
      <c r="O37" s="1167" t="str">
        <f>'SUMMARIZE QUANTITY'!C3</f>
        <v>cu.m.</v>
      </c>
      <c r="P37" s="1168"/>
      <c r="Q37" s="204">
        <f>'ITEM 1'!AD27</f>
        <v>3584</v>
      </c>
      <c r="R37" s="1180">
        <f>'ITEM 1'!AD32</f>
        <v>159.94559673580414</v>
      </c>
      <c r="S37" s="1170"/>
      <c r="T37" s="1171">
        <f>R37*M37</f>
        <v>4704</v>
      </c>
      <c r="U37" s="1172"/>
      <c r="V37" s="202"/>
      <c r="W37" s="206"/>
      <c r="Y37" s="63" t="e">
        <f>S49</f>
        <v>#REF!</v>
      </c>
    </row>
    <row r="38" spans="1:29" ht="15.75">
      <c r="A38" s="76">
        <v>2</v>
      </c>
      <c r="B38" s="1161" t="str">
        <f t="shared" si="1"/>
        <v>SPL - 3</v>
      </c>
      <c r="C38" s="1162"/>
      <c r="D38" s="1163" t="str">
        <f t="shared" si="2"/>
        <v>Formworks</v>
      </c>
      <c r="E38" s="1164"/>
      <c r="F38" s="1164"/>
      <c r="G38" s="1164"/>
      <c r="H38" s="83">
        <f>'ITEM 2'!X16</f>
        <v>0</v>
      </c>
      <c r="I38" s="130">
        <f>'ITEM 2'!X34</f>
        <v>0</v>
      </c>
      <c r="J38" s="131">
        <f>'ITEM 2'!AD36</f>
        <v>0</v>
      </c>
      <c r="K38" s="132">
        <f>'ITEM 2'!AD37</f>
        <v>0</v>
      </c>
      <c r="L38" s="133">
        <f>'ITEM 2'!AD38</f>
        <v>0</v>
      </c>
      <c r="M38" s="1178">
        <v>300</v>
      </c>
      <c r="N38" s="1179"/>
      <c r="O38" s="1167" t="s">
        <v>1567</v>
      </c>
      <c r="P38" s="1168"/>
      <c r="Q38" s="204">
        <f>'ITEM 2'!AD35</f>
        <v>0</v>
      </c>
      <c r="R38" s="1180">
        <f>'ITEM 2'!AD40</f>
        <v>0</v>
      </c>
      <c r="S38" s="1170"/>
      <c r="T38" s="1171">
        <f t="shared" ref="T38:T47" si="3">R38*M38</f>
        <v>0</v>
      </c>
      <c r="U38" s="1172"/>
      <c r="V38" s="202"/>
      <c r="W38" s="206"/>
      <c r="Y38" s="63" t="e">
        <f>S49</f>
        <v>#REF!</v>
      </c>
    </row>
    <row r="39" spans="1:29" ht="15.75">
      <c r="A39" s="76">
        <v>3</v>
      </c>
      <c r="B39" s="1161" t="str">
        <f t="shared" si="1"/>
        <v>900(7)</v>
      </c>
      <c r="C39" s="1162"/>
      <c r="D39" s="1163" t="str">
        <f t="shared" si="2"/>
        <v>Reinforce Concrete</v>
      </c>
      <c r="E39" s="1164"/>
      <c r="F39" s="1164"/>
      <c r="G39" s="1164"/>
      <c r="H39" s="84">
        <f>'ITEM 3'!X16</f>
        <v>0</v>
      </c>
      <c r="I39" s="130">
        <f>'ITEM 3'!X38</f>
        <v>0</v>
      </c>
      <c r="J39" s="131">
        <f>'ITEM 3'!AD40</f>
        <v>0</v>
      </c>
      <c r="K39" s="132">
        <f>'ITEM 3'!AD41</f>
        <v>0</v>
      </c>
      <c r="L39" s="133">
        <f>'ITEM 3'!AD42</f>
        <v>0</v>
      </c>
      <c r="M39" s="1165">
        <v>8.7210000000000001</v>
      </c>
      <c r="N39" s="1166"/>
      <c r="O39" s="1177" t="str">
        <f>'SUMMARIZE QUANTITY'!C6</f>
        <v>cu.m.</v>
      </c>
      <c r="P39" s="1168"/>
      <c r="Q39" s="204">
        <f>'ITEM 3'!AD39</f>
        <v>0</v>
      </c>
      <c r="R39" s="1169">
        <f>'ITEM 3'!AD44</f>
        <v>0</v>
      </c>
      <c r="S39" s="1170"/>
      <c r="T39" s="1171">
        <f t="shared" si="3"/>
        <v>0</v>
      </c>
      <c r="U39" s="1172"/>
      <c r="V39" s="202"/>
      <c r="W39" s="206"/>
      <c r="Y39" s="63" t="e">
        <f>S49</f>
        <v>#REF!</v>
      </c>
    </row>
    <row r="40" spans="1:29" ht="15.75">
      <c r="A40" s="76">
        <v>4</v>
      </c>
      <c r="B40" s="1161">
        <f t="shared" si="1"/>
        <v>1047</v>
      </c>
      <c r="C40" s="1162"/>
      <c r="D40" s="1163" t="str">
        <f t="shared" si="2"/>
        <v>Steel Works ( support ) ( 6.5m )</v>
      </c>
      <c r="E40" s="1164"/>
      <c r="F40" s="1164"/>
      <c r="G40" s="1164"/>
      <c r="H40" s="84"/>
      <c r="I40" s="130"/>
      <c r="J40" s="131"/>
      <c r="K40" s="132"/>
      <c r="L40" s="133"/>
      <c r="M40" s="1165">
        <v>18</v>
      </c>
      <c r="N40" s="1166"/>
      <c r="O40" s="1177" t="s">
        <v>398</v>
      </c>
      <c r="P40" s="1168"/>
      <c r="Q40" s="204"/>
      <c r="R40" s="207"/>
      <c r="S40" s="205"/>
      <c r="T40" s="1171">
        <f t="shared" si="3"/>
        <v>0</v>
      </c>
      <c r="U40" s="1172"/>
      <c r="V40" s="202"/>
      <c r="W40" s="206"/>
    </row>
    <row r="41" spans="1:29" ht="15.75">
      <c r="A41" s="76">
        <v>5</v>
      </c>
      <c r="B41" s="1161" t="str">
        <f t="shared" si="1"/>
        <v>1047(1)</v>
      </c>
      <c r="C41" s="1162"/>
      <c r="D41" s="1163" t="str">
        <f t="shared" si="2"/>
        <v>Steel Works ( GIRT 1 ) ( 13.41m )</v>
      </c>
      <c r="E41" s="1164"/>
      <c r="F41" s="1164"/>
      <c r="G41" s="1164"/>
      <c r="H41" s="84"/>
      <c r="I41" s="130"/>
      <c r="J41" s="131"/>
      <c r="K41" s="132"/>
      <c r="L41" s="133"/>
      <c r="M41" s="1165">
        <v>17</v>
      </c>
      <c r="N41" s="1166"/>
      <c r="O41" s="1177" t="s">
        <v>398</v>
      </c>
      <c r="P41" s="1168"/>
      <c r="Q41" s="204"/>
      <c r="R41" s="207"/>
      <c r="S41" s="205"/>
      <c r="T41" s="1171">
        <f t="shared" si="3"/>
        <v>0</v>
      </c>
      <c r="U41" s="1172"/>
      <c r="V41" s="202"/>
      <c r="W41" s="206"/>
    </row>
    <row r="42" spans="1:29" ht="15.75">
      <c r="A42" s="76">
        <v>6</v>
      </c>
      <c r="B42" s="1161" t="str">
        <f t="shared" si="1"/>
        <v>1047(2)</v>
      </c>
      <c r="C42" s="1162"/>
      <c r="D42" s="1163" t="str">
        <f t="shared" si="2"/>
        <v>Steel Works ( GIRT 2 ) ( 12.13m )</v>
      </c>
      <c r="E42" s="1164"/>
      <c r="F42" s="1164"/>
      <c r="G42" s="1164"/>
      <c r="H42" s="84"/>
      <c r="I42" s="130"/>
      <c r="J42" s="131"/>
      <c r="K42" s="132"/>
      <c r="L42" s="133"/>
      <c r="M42" s="1165">
        <v>17</v>
      </c>
      <c r="N42" s="1166"/>
      <c r="O42" s="1177" t="s">
        <v>398</v>
      </c>
      <c r="P42" s="1168"/>
      <c r="Q42" s="204"/>
      <c r="R42" s="207"/>
      <c r="S42" s="205"/>
      <c r="T42" s="1171">
        <f t="shared" si="3"/>
        <v>0</v>
      </c>
      <c r="U42" s="1172"/>
      <c r="V42" s="202"/>
      <c r="W42" s="206"/>
    </row>
    <row r="43" spans="1:29" ht="15.75">
      <c r="A43" s="76">
        <v>7</v>
      </c>
      <c r="B43" s="1161" t="str">
        <f t="shared" si="1"/>
        <v>1047(3)</v>
      </c>
      <c r="C43" s="1162"/>
      <c r="D43" s="1163" t="str">
        <f t="shared" si="2"/>
        <v>Steel Works ( TRUSS 1 ) ( 9.74m )</v>
      </c>
      <c r="E43" s="1164"/>
      <c r="F43" s="1164"/>
      <c r="G43" s="1164"/>
      <c r="H43" s="84">
        <f>'ITEM 4'!X16</f>
        <v>0</v>
      </c>
      <c r="I43" s="130">
        <f>'ITEM 4'!X36</f>
        <v>0</v>
      </c>
      <c r="J43" s="131">
        <f>'ITEM 4'!AD38</f>
        <v>0</v>
      </c>
      <c r="K43" s="132">
        <f>'ITEM 4'!AD39</f>
        <v>0</v>
      </c>
      <c r="L43" s="133">
        <f>'ITEM 4'!AD40</f>
        <v>0</v>
      </c>
      <c r="M43" s="1165">
        <v>18</v>
      </c>
      <c r="N43" s="1166"/>
      <c r="O43" s="1167" t="s">
        <v>398</v>
      </c>
      <c r="P43" s="1168"/>
      <c r="Q43" s="204">
        <f>'ITEM 4'!AD37:AD37</f>
        <v>0</v>
      </c>
      <c r="R43" s="1169">
        <f>'ITEM 4'!AD42</f>
        <v>0</v>
      </c>
      <c r="S43" s="1170"/>
      <c r="T43" s="1171">
        <f t="shared" si="3"/>
        <v>0</v>
      </c>
      <c r="U43" s="1172"/>
      <c r="V43" s="202"/>
      <c r="W43" s="206"/>
      <c r="Y43" s="63" t="e">
        <f>S49</f>
        <v>#REF!</v>
      </c>
    </row>
    <row r="44" spans="1:29" ht="15.75">
      <c r="A44" s="76">
        <v>8</v>
      </c>
      <c r="B44" s="1161" t="str">
        <f t="shared" si="1"/>
        <v>903(1)</v>
      </c>
      <c r="C44" s="1162"/>
      <c r="D44" s="1163" t="str">
        <f t="shared" si="2"/>
        <v>Roofing Works</v>
      </c>
      <c r="E44" s="1164"/>
      <c r="F44" s="1164"/>
      <c r="G44" s="1164"/>
      <c r="H44" s="84">
        <f>'ITEM 5'!X16</f>
        <v>0</v>
      </c>
      <c r="I44" s="130">
        <f>'ITEM 5'!X36</f>
        <v>0</v>
      </c>
      <c r="J44" s="131">
        <f>'ITEM 5'!AD38</f>
        <v>0</v>
      </c>
      <c r="K44" s="132">
        <f>'ITEM 5'!AD39</f>
        <v>0</v>
      </c>
      <c r="L44" s="133">
        <f>'ITEM 5'!AD40</f>
        <v>0</v>
      </c>
      <c r="M44" s="1165">
        <v>165.24</v>
      </c>
      <c r="N44" s="1166"/>
      <c r="O44" s="1167" t="s">
        <v>112</v>
      </c>
      <c r="P44" s="1168"/>
      <c r="Q44" s="204">
        <f>'ITEM 5'!AD37</f>
        <v>0</v>
      </c>
      <c r="R44" s="1169">
        <f>'ITEM 5'!AD42</f>
        <v>0</v>
      </c>
      <c r="S44" s="1170"/>
      <c r="T44" s="1171">
        <f t="shared" si="3"/>
        <v>0</v>
      </c>
      <c r="U44" s="1172"/>
      <c r="V44" s="202"/>
      <c r="W44" s="206"/>
      <c r="Y44" s="63" t="e">
        <f>S49</f>
        <v>#REF!</v>
      </c>
      <c r="AA44" s="1176">
        <v>1447461.64</v>
      </c>
      <c r="AB44" s="1176"/>
      <c r="AC44" s="1176"/>
    </row>
    <row r="45" spans="1:29" ht="15.75">
      <c r="A45" s="76">
        <v>9</v>
      </c>
      <c r="B45" s="1161">
        <f t="shared" si="1"/>
        <v>1027</v>
      </c>
      <c r="C45" s="1162"/>
      <c r="D45" s="1163" t="str">
        <f t="shared" si="2"/>
        <v>Painting Works</v>
      </c>
      <c r="E45" s="1164"/>
      <c r="F45" s="1164"/>
      <c r="G45" s="1164"/>
      <c r="H45" s="84">
        <f>'ITEM 6'!X16</f>
        <v>0</v>
      </c>
      <c r="I45" s="130">
        <f>'ITEM 6'!X34</f>
        <v>0</v>
      </c>
      <c r="J45" s="131">
        <f>'ITEM 6'!AD36</f>
        <v>0</v>
      </c>
      <c r="K45" s="132">
        <f>'ITEM 6'!AD37</f>
        <v>0</v>
      </c>
      <c r="L45" s="133">
        <f>'ITEM 6'!AD38</f>
        <v>0</v>
      </c>
      <c r="M45" s="1165">
        <v>1</v>
      </c>
      <c r="N45" s="1166"/>
      <c r="O45" s="1167" t="s">
        <v>307</v>
      </c>
      <c r="P45" s="1168"/>
      <c r="Q45" s="204">
        <f>'ITEM 6'!AD35</f>
        <v>0</v>
      </c>
      <c r="R45" s="1169">
        <f>'ITEM 6'!AD40</f>
        <v>0</v>
      </c>
      <c r="S45" s="1170"/>
      <c r="T45" s="1171">
        <f t="shared" si="3"/>
        <v>0</v>
      </c>
      <c r="U45" s="1172"/>
      <c r="V45" s="202"/>
      <c r="W45" s="206"/>
      <c r="Y45" s="63" t="e">
        <f>S49</f>
        <v>#REF!</v>
      </c>
    </row>
    <row r="46" spans="1:29" ht="15.75">
      <c r="A46" s="76">
        <v>10</v>
      </c>
      <c r="B46" s="1161" t="str">
        <f t="shared" si="1"/>
        <v>SPL - 2</v>
      </c>
      <c r="C46" s="1162"/>
      <c r="D46" s="1163" t="str">
        <f t="shared" si="2"/>
        <v>Billboards</v>
      </c>
      <c r="E46" s="1164"/>
      <c r="F46" s="1164"/>
      <c r="G46" s="1164"/>
      <c r="H46" s="84" t="e">
        <f>#REF!</f>
        <v>#REF!</v>
      </c>
      <c r="I46" s="130" t="e">
        <f>#REF!</f>
        <v>#REF!</v>
      </c>
      <c r="J46" s="131" t="e">
        <f>#REF!</f>
        <v>#REF!</v>
      </c>
      <c r="K46" s="132" t="e">
        <f>#REF!</f>
        <v>#REF!</v>
      </c>
      <c r="L46" s="133" t="e">
        <f>#REF!</f>
        <v>#REF!</v>
      </c>
      <c r="M46" s="1165">
        <f>'SUMMARIZE QUANTITY'!B37</f>
        <v>1</v>
      </c>
      <c r="N46" s="1166"/>
      <c r="O46" s="1167" t="s">
        <v>307</v>
      </c>
      <c r="P46" s="1168"/>
      <c r="Q46" s="204" t="e">
        <f>#REF!</f>
        <v>#REF!</v>
      </c>
      <c r="R46" s="1169" t="e">
        <f>#REF!</f>
        <v>#REF!</v>
      </c>
      <c r="S46" s="1170"/>
      <c r="T46" s="1171" t="e">
        <f t="shared" si="3"/>
        <v>#REF!</v>
      </c>
      <c r="U46" s="1172"/>
      <c r="V46" s="202"/>
      <c r="W46" s="206"/>
      <c r="Y46" s="63" t="e">
        <f>S49</f>
        <v>#REF!</v>
      </c>
    </row>
    <row r="47" spans="1:29" ht="15.75">
      <c r="A47" s="76">
        <v>11</v>
      </c>
      <c r="B47" s="1173" t="str">
        <f>B31</f>
        <v>SPL -4</v>
      </c>
      <c r="C47" s="1162"/>
      <c r="D47" s="1163" t="str">
        <f>D31</f>
        <v>Construction of Safety and Health Program</v>
      </c>
      <c r="E47" s="1164"/>
      <c r="F47" s="1164"/>
      <c r="G47" s="1164"/>
      <c r="H47" s="84" t="e">
        <f>#REF!</f>
        <v>#REF!</v>
      </c>
      <c r="I47" s="130" t="e">
        <f>#REF!</f>
        <v>#REF!</v>
      </c>
      <c r="J47" s="131" t="e">
        <f>#REF!</f>
        <v>#REF!</v>
      </c>
      <c r="K47" s="132" t="e">
        <f>#REF!</f>
        <v>#REF!</v>
      </c>
      <c r="L47" s="133" t="e">
        <f>#REF!</f>
        <v>#REF!</v>
      </c>
      <c r="M47" s="1165">
        <f>'SUMMARIZE QUANTITY'!B40</f>
        <v>1</v>
      </c>
      <c r="N47" s="1166"/>
      <c r="O47" s="1167" t="str">
        <f>'SUMMARIZE QUANTITY'!C40</f>
        <v>lot</v>
      </c>
      <c r="P47" s="1168"/>
      <c r="Q47" s="204" t="e">
        <f>#REF!</f>
        <v>#REF!</v>
      </c>
      <c r="R47" s="1174" t="e">
        <f>#REF!</f>
        <v>#REF!</v>
      </c>
      <c r="S47" s="1175"/>
      <c r="T47" s="1171" t="e">
        <f t="shared" si="3"/>
        <v>#REF!</v>
      </c>
      <c r="U47" s="1172"/>
      <c r="V47" s="202"/>
      <c r="W47" s="206"/>
    </row>
    <row r="48" spans="1:29" ht="15.75">
      <c r="B48" s="70" t="s">
        <v>1339</v>
      </c>
      <c r="C48" s="70"/>
      <c r="D48" s="85"/>
      <c r="E48" s="85"/>
      <c r="F48" s="85"/>
      <c r="G48" s="86"/>
      <c r="H48" s="87"/>
      <c r="I48" s="130"/>
      <c r="J48" s="134"/>
      <c r="K48" s="135"/>
      <c r="L48" s="136"/>
      <c r="M48" s="86"/>
      <c r="N48" s="137"/>
      <c r="O48" s="137"/>
      <c r="P48" s="137"/>
      <c r="Q48" s="208"/>
      <c r="R48" s="137"/>
      <c r="S48" s="137"/>
      <c r="T48" s="137"/>
      <c r="U48" s="137"/>
      <c r="V48" s="209"/>
      <c r="W48" s="137"/>
      <c r="Y48"/>
    </row>
    <row r="49" spans="2:25" ht="18.75">
      <c r="B49" s="758" t="s">
        <v>1340</v>
      </c>
      <c r="C49" s="70" t="s">
        <v>1341</v>
      </c>
      <c r="D49" s="70"/>
      <c r="E49" s="70"/>
      <c r="F49" s="1157" t="e">
        <f>SUM(H37:H47)</f>
        <v>#REF!</v>
      </c>
      <c r="G49" s="1157"/>
      <c r="H49" s="1157"/>
      <c r="I49" s="1157"/>
      <c r="J49" s="1157"/>
      <c r="K49" s="1157"/>
      <c r="L49" s="1157"/>
      <c r="M49" s="1157"/>
      <c r="N49" s="138" t="s">
        <v>295</v>
      </c>
      <c r="O49" s="139" t="s">
        <v>1342</v>
      </c>
      <c r="P49" s="70" t="s">
        <v>1343</v>
      </c>
      <c r="Q49" s="210"/>
      <c r="R49" s="210"/>
      <c r="S49" s="1158" t="e">
        <f>SUM(T37:U46)</f>
        <v>#REF!</v>
      </c>
      <c r="T49" s="1158"/>
      <c r="U49" s="1158"/>
      <c r="V49" s="211"/>
      <c r="W49" s="212"/>
    </row>
    <row r="50" spans="2:25" ht="18.75">
      <c r="B50" s="758" t="s">
        <v>1344</v>
      </c>
      <c r="C50" s="70" t="s">
        <v>1345</v>
      </c>
      <c r="D50" s="70"/>
      <c r="E50" s="70"/>
      <c r="F50" s="1156" t="e">
        <f>SUM(I37:I47)</f>
        <v>#REF!</v>
      </c>
      <c r="G50" s="1156"/>
      <c r="H50" s="1156"/>
      <c r="I50" s="1156"/>
      <c r="J50" s="1156"/>
      <c r="K50" s="1156"/>
      <c r="L50" s="1156"/>
      <c r="M50" s="1156"/>
      <c r="N50" s="138"/>
      <c r="O50" s="139" t="s">
        <v>1346</v>
      </c>
      <c r="P50" s="70" t="s">
        <v>1347</v>
      </c>
      <c r="Q50" s="210"/>
      <c r="R50" s="210"/>
      <c r="S50" s="1156"/>
      <c r="T50" s="1156"/>
      <c r="U50" s="1156"/>
      <c r="V50" s="211"/>
      <c r="W50" s="212"/>
    </row>
    <row r="51" spans="2:25" ht="18.75">
      <c r="B51" s="758" t="s">
        <v>1348</v>
      </c>
      <c r="C51" s="70" t="s">
        <v>1349</v>
      </c>
      <c r="D51" s="70"/>
      <c r="E51" s="70"/>
      <c r="F51" s="1159">
        <f>SUM(V20:V31)</f>
        <v>7</v>
      </c>
      <c r="G51" s="1159"/>
      <c r="H51" s="1159"/>
      <c r="I51" s="1159"/>
      <c r="J51" s="1159"/>
      <c r="K51" s="1159"/>
      <c r="L51" s="1159"/>
      <c r="M51" s="1159"/>
      <c r="N51" s="138"/>
      <c r="O51" s="139" t="s">
        <v>1350</v>
      </c>
      <c r="P51" s="70" t="s">
        <v>1351</v>
      </c>
      <c r="Q51" s="210"/>
      <c r="R51" s="210"/>
      <c r="S51" s="1156"/>
      <c r="T51" s="1156"/>
      <c r="U51" s="1156"/>
      <c r="V51" s="211"/>
      <c r="W51" s="212"/>
      <c r="Y51"/>
    </row>
    <row r="52" spans="2:25" ht="19.5">
      <c r="B52" s="70">
        <v>4</v>
      </c>
      <c r="C52" s="70" t="s">
        <v>1352</v>
      </c>
      <c r="D52" s="70"/>
      <c r="E52" s="70"/>
      <c r="F52" s="1149"/>
      <c r="G52" s="1149"/>
      <c r="H52" s="1149"/>
      <c r="I52" s="1149"/>
      <c r="J52" s="1149"/>
      <c r="K52" s="1149"/>
      <c r="L52" s="1149"/>
      <c r="M52" s="1149"/>
      <c r="N52" s="138"/>
      <c r="O52" s="139" t="s">
        <v>1353</v>
      </c>
      <c r="P52" s="70" t="s">
        <v>1568</v>
      </c>
      <c r="Q52" s="210"/>
      <c r="R52" s="210"/>
      <c r="S52" s="1156" t="e">
        <f>S55-S49</f>
        <v>#REF!</v>
      </c>
      <c r="T52" s="1156"/>
      <c r="U52" s="1156"/>
      <c r="V52" s="211"/>
      <c r="W52" s="212"/>
    </row>
    <row r="53" spans="2:25" ht="18.75">
      <c r="B53" s="70">
        <v>5</v>
      </c>
      <c r="C53" s="70" t="s">
        <v>1355</v>
      </c>
      <c r="D53" s="70"/>
      <c r="E53" s="70"/>
      <c r="F53" s="1154" t="e">
        <f>F51+F50+F49</f>
        <v>#REF!</v>
      </c>
      <c r="G53" s="1154"/>
      <c r="H53" s="1154"/>
      <c r="I53" s="1154"/>
      <c r="J53" s="1154"/>
      <c r="K53" s="1154"/>
      <c r="L53" s="1154"/>
      <c r="M53" s="1154"/>
      <c r="N53" s="140"/>
      <c r="O53" s="139"/>
      <c r="P53" s="70" t="s">
        <v>1569</v>
      </c>
      <c r="Q53" s="210"/>
      <c r="R53" s="210"/>
      <c r="S53" s="1160"/>
      <c r="T53" s="1160"/>
      <c r="U53" s="1160"/>
      <c r="V53" s="202"/>
      <c r="W53" s="203"/>
    </row>
    <row r="54" spans="2:25" ht="18.75">
      <c r="B54" s="70">
        <v>6</v>
      </c>
      <c r="C54" s="70" t="s">
        <v>1570</v>
      </c>
      <c r="D54" s="70"/>
      <c r="E54" s="70"/>
      <c r="F54" s="1154" t="e">
        <f>SUM(J37:J47,K37:K46)</f>
        <v>#REF!</v>
      </c>
      <c r="G54" s="1154"/>
      <c r="H54" s="1154"/>
      <c r="I54" s="1154"/>
      <c r="J54" s="1154"/>
      <c r="K54" s="1154"/>
      <c r="L54" s="1154"/>
      <c r="M54" s="1154"/>
      <c r="N54" s="140"/>
      <c r="O54" s="139" t="s">
        <v>1357</v>
      </c>
      <c r="P54" s="70" t="s">
        <v>1358</v>
      </c>
      <c r="Q54" s="210"/>
      <c r="R54" s="210"/>
      <c r="S54" s="213"/>
      <c r="T54" s="213"/>
      <c r="U54" s="213"/>
      <c r="V54" s="214"/>
      <c r="W54" s="215"/>
      <c r="Y54"/>
    </row>
    <row r="55" spans="2:25" ht="18.75">
      <c r="B55" s="758" t="s">
        <v>1571</v>
      </c>
      <c r="C55" s="70" t="s">
        <v>1564</v>
      </c>
      <c r="D55" s="70"/>
      <c r="E55" s="70"/>
      <c r="F55" s="1154" t="e">
        <f>SUM(L37:L46)</f>
        <v>#REF!</v>
      </c>
      <c r="G55" s="1154"/>
      <c r="H55" s="1154"/>
      <c r="I55" s="1154"/>
      <c r="J55" s="1154"/>
      <c r="K55" s="1154"/>
      <c r="L55" s="1154"/>
      <c r="M55" s="1154"/>
      <c r="N55" s="140"/>
      <c r="O55" s="141" t="s">
        <v>1359</v>
      </c>
      <c r="P55" s="90" t="s">
        <v>1360</v>
      </c>
      <c r="Q55" s="216"/>
      <c r="R55" s="217"/>
      <c r="S55" s="1155">
        <f>1100000</f>
        <v>1100000</v>
      </c>
      <c r="T55" s="1155"/>
      <c r="U55" s="1155"/>
      <c r="V55" s="218"/>
      <c r="W55" s="219"/>
      <c r="Y55"/>
    </row>
    <row r="56" spans="2:25" ht="18.75">
      <c r="B56" s="758" t="s">
        <v>1572</v>
      </c>
      <c r="C56" s="70" t="s">
        <v>1343</v>
      </c>
      <c r="D56" s="70"/>
      <c r="E56" s="70"/>
      <c r="F56" s="1154" t="e">
        <f>SUM(F53:M55)</f>
        <v>#REF!</v>
      </c>
      <c r="G56" s="1154"/>
      <c r="H56" s="1154"/>
      <c r="I56" s="1154"/>
      <c r="J56" s="1154"/>
      <c r="K56" s="1154"/>
      <c r="L56" s="1154"/>
      <c r="M56" s="1154"/>
      <c r="N56" s="140"/>
      <c r="O56" s="139"/>
      <c r="P56" s="70"/>
      <c r="Q56" s="210"/>
      <c r="R56" s="210"/>
      <c r="S56" s="220"/>
      <c r="T56" s="220"/>
      <c r="U56" s="220"/>
      <c r="V56" s="221"/>
      <c r="W56" s="220"/>
      <c r="Y56"/>
    </row>
    <row r="57" spans="2:25" ht="18.75">
      <c r="B57" s="758" t="s">
        <v>1573</v>
      </c>
      <c r="C57" s="88" t="s">
        <v>1574</v>
      </c>
      <c r="D57" s="89"/>
      <c r="E57" s="70"/>
      <c r="F57" s="1149"/>
      <c r="G57" s="1149"/>
      <c r="H57" s="1149"/>
      <c r="I57" s="1149"/>
      <c r="J57" s="1149"/>
      <c r="K57" s="1149"/>
      <c r="L57" s="1149"/>
      <c r="M57" s="1149"/>
      <c r="N57" s="138"/>
      <c r="O57" s="142"/>
      <c r="P57" s="142"/>
      <c r="Q57" s="142"/>
      <c r="R57" s="142"/>
      <c r="S57" s="142"/>
      <c r="T57" s="142"/>
      <c r="U57" s="142"/>
      <c r="V57" s="222"/>
      <c r="W57" s="142"/>
      <c r="Y57"/>
    </row>
    <row r="58" spans="2:25" ht="18.75">
      <c r="B58" s="758" t="s">
        <v>1575</v>
      </c>
      <c r="C58" s="70" t="s">
        <v>1576</v>
      </c>
      <c r="D58" s="70"/>
      <c r="E58" s="70"/>
      <c r="F58" s="1156" t="e">
        <f>F56*0.024647906</f>
        <v>#REF!</v>
      </c>
      <c r="G58" s="1156"/>
      <c r="H58" s="1156"/>
      <c r="I58" s="1156"/>
      <c r="J58" s="1156"/>
      <c r="K58" s="1156"/>
      <c r="L58" s="1156"/>
      <c r="M58" s="1156"/>
      <c r="N58" s="138"/>
      <c r="O58" s="138"/>
      <c r="P58" s="70"/>
      <c r="Q58" s="210"/>
      <c r="R58" s="210"/>
      <c r="S58" s="1151"/>
      <c r="T58" s="1151"/>
      <c r="U58" s="1151"/>
      <c r="V58" s="223"/>
      <c r="W58" s="140"/>
      <c r="Y58"/>
    </row>
    <row r="59" spans="2:25" ht="18.75">
      <c r="B59" s="758" t="s">
        <v>1577</v>
      </c>
      <c r="C59" s="70" t="s">
        <v>1578</v>
      </c>
      <c r="D59" s="70"/>
      <c r="E59" s="70"/>
      <c r="F59" s="1149"/>
      <c r="G59" s="1149"/>
      <c r="H59" s="1149"/>
      <c r="I59" s="1149"/>
      <c r="J59" s="1149"/>
      <c r="K59" s="1149"/>
      <c r="L59" s="1149"/>
      <c r="M59" s="1149"/>
      <c r="N59" s="138"/>
      <c r="O59" s="138"/>
      <c r="P59" s="70"/>
      <c r="Q59" s="224"/>
      <c r="R59" s="210"/>
      <c r="S59" s="1151"/>
      <c r="T59" s="1151"/>
      <c r="U59" s="1151"/>
      <c r="V59" s="223"/>
      <c r="W59" s="140"/>
      <c r="Y59"/>
    </row>
    <row r="60" spans="2:25" ht="18.75">
      <c r="B60" s="70"/>
      <c r="C60" s="70" t="s">
        <v>1579</v>
      </c>
      <c r="D60" s="70"/>
      <c r="E60" s="70"/>
      <c r="F60" s="1149"/>
      <c r="G60" s="1149"/>
      <c r="H60" s="1149"/>
      <c r="I60" s="1149"/>
      <c r="J60" s="1149"/>
      <c r="K60" s="1149"/>
      <c r="L60" s="1149"/>
      <c r="M60" s="1149"/>
      <c r="N60" s="138"/>
      <c r="O60" s="138"/>
      <c r="P60" s="70"/>
      <c r="Q60" s="210"/>
      <c r="R60" s="210"/>
      <c r="S60" s="140"/>
      <c r="T60" s="140"/>
      <c r="U60" s="140"/>
      <c r="V60" s="223"/>
      <c r="W60" s="140"/>
      <c r="Y60"/>
    </row>
    <row r="61" spans="2:25" ht="18.75">
      <c r="B61" s="759" t="s">
        <v>1580</v>
      </c>
      <c r="C61" s="90" t="s">
        <v>1328</v>
      </c>
      <c r="D61" s="90"/>
      <c r="E61" s="90"/>
      <c r="F61" s="91"/>
      <c r="G61" s="1150" t="e">
        <f>F56+F58</f>
        <v>#REF!</v>
      </c>
      <c r="H61" s="1150"/>
      <c r="I61" s="1150"/>
      <c r="J61" s="1150"/>
      <c r="K61" s="1150"/>
      <c r="L61" s="1150"/>
      <c r="M61" s="1150"/>
      <c r="N61" s="140"/>
      <c r="O61" s="140"/>
      <c r="P61" s="70"/>
      <c r="Q61" s="224"/>
      <c r="R61" s="210"/>
      <c r="S61" s="1151"/>
      <c r="T61" s="1151"/>
      <c r="U61" s="1151"/>
      <c r="V61" s="223"/>
      <c r="W61" s="140"/>
      <c r="Y61"/>
    </row>
    <row r="62" spans="2:25" ht="15.75">
      <c r="B62" s="70"/>
      <c r="C62" s="70"/>
      <c r="D62" s="70"/>
      <c r="E62" s="70"/>
      <c r="F62" s="70"/>
      <c r="G62" s="92"/>
      <c r="H62" s="93"/>
      <c r="I62" s="143"/>
      <c r="J62" s="144"/>
      <c r="K62" s="145"/>
      <c r="L62" s="146"/>
      <c r="M62" s="92"/>
      <c r="N62" s="138"/>
      <c r="O62" s="138"/>
      <c r="P62" s="70"/>
      <c r="Q62" s="210"/>
      <c r="R62" s="210"/>
      <c r="S62" s="1151"/>
      <c r="T62" s="1151"/>
      <c r="U62" s="1151"/>
      <c r="V62" s="223"/>
      <c r="W62" s="140"/>
      <c r="Y62"/>
    </row>
    <row r="63" spans="2:25" ht="18.75">
      <c r="B63" s="94"/>
      <c r="C63" s="94"/>
      <c r="D63" s="94"/>
      <c r="E63" s="94"/>
      <c r="F63" s="94"/>
      <c r="G63" s="95"/>
      <c r="H63" s="96"/>
      <c r="I63" s="147"/>
      <c r="J63" s="148"/>
      <c r="K63" s="149"/>
      <c r="L63" s="150"/>
      <c r="M63" s="95"/>
      <c r="N63" s="151"/>
      <c r="O63" s="151"/>
      <c r="P63" s="94"/>
      <c r="Q63" s="162"/>
      <c r="R63" s="162"/>
      <c r="S63" s="225"/>
      <c r="T63" s="225"/>
      <c r="U63" s="225"/>
      <c r="V63" s="177"/>
      <c r="W63" s="225"/>
      <c r="Y63"/>
    </row>
    <row r="64" spans="2:25" ht="18.75">
      <c r="B64" s="94"/>
      <c r="C64" s="94"/>
      <c r="D64" s="94"/>
      <c r="E64" s="94"/>
      <c r="F64" s="94"/>
      <c r="G64" s="95"/>
      <c r="H64" s="96"/>
      <c r="I64" s="147"/>
      <c r="J64" s="148"/>
      <c r="K64" s="149"/>
      <c r="L64" s="150"/>
      <c r="M64" s="95"/>
      <c r="N64" s="151"/>
      <c r="O64" s="151"/>
      <c r="P64" s="94"/>
      <c r="Q64" s="162"/>
      <c r="R64" s="162"/>
      <c r="S64" s="225"/>
      <c r="T64" s="225"/>
      <c r="U64" s="225"/>
      <c r="V64" s="177"/>
      <c r="W64" s="225"/>
      <c r="Y64"/>
    </row>
    <row r="65" spans="2:25" ht="18.75">
      <c r="B65" s="94"/>
      <c r="C65" s="94"/>
      <c r="D65" s="94"/>
      <c r="E65" s="94"/>
      <c r="F65" s="94"/>
      <c r="G65" s="95"/>
      <c r="H65" s="96"/>
      <c r="I65" s="147"/>
      <c r="J65" s="148"/>
      <c r="K65" s="149"/>
      <c r="L65" s="150"/>
      <c r="M65" s="95"/>
      <c r="N65" s="151"/>
      <c r="O65" s="151"/>
      <c r="P65" s="94"/>
      <c r="Q65" s="162"/>
      <c r="R65" s="162"/>
      <c r="S65" s="225"/>
      <c r="T65" s="225"/>
      <c r="U65" s="225"/>
      <c r="V65" s="177"/>
      <c r="W65" s="225"/>
      <c r="Y65"/>
    </row>
    <row r="66" spans="2:25" ht="18.75">
      <c r="B66" s="94"/>
      <c r="C66" s="94"/>
      <c r="D66" s="94"/>
      <c r="E66" s="94"/>
      <c r="F66" s="94"/>
      <c r="G66" s="95"/>
      <c r="H66" s="96"/>
      <c r="I66" s="147"/>
      <c r="J66" s="148"/>
      <c r="K66" s="149"/>
      <c r="L66" s="150"/>
      <c r="M66" s="95"/>
      <c r="N66" s="151"/>
      <c r="O66" s="151"/>
      <c r="P66" s="94"/>
      <c r="Q66" s="162"/>
      <c r="R66" s="162"/>
      <c r="S66" s="225"/>
      <c r="T66" s="225"/>
      <c r="U66" s="225"/>
      <c r="V66" s="177"/>
      <c r="W66" s="225"/>
      <c r="Y66"/>
    </row>
    <row r="67" spans="2:25" ht="15.75">
      <c r="B67" s="92" t="s">
        <v>1361</v>
      </c>
      <c r="C67" s="234"/>
      <c r="D67" s="234"/>
      <c r="E67" s="234"/>
      <c r="F67" s="234"/>
      <c r="G67" s="235"/>
      <c r="H67" s="236"/>
      <c r="I67" s="249"/>
      <c r="J67" s="250"/>
      <c r="K67" s="251"/>
      <c r="L67" s="252"/>
      <c r="M67" s="235"/>
      <c r="N67" s="92" t="s">
        <v>1363</v>
      </c>
      <c r="O67" s="235"/>
      <c r="P67" s="253"/>
      <c r="R67" s="253"/>
      <c r="S67" s="281"/>
      <c r="T67" s="281"/>
      <c r="U67" s="281"/>
      <c r="V67" s="282"/>
      <c r="W67" s="281"/>
      <c r="Y67"/>
    </row>
    <row r="68" spans="2:25">
      <c r="B68" s="235"/>
      <c r="C68" s="234"/>
      <c r="D68" s="234"/>
      <c r="E68" s="234"/>
      <c r="F68" s="234"/>
      <c r="G68" s="235"/>
      <c r="H68" s="236"/>
      <c r="I68" s="249"/>
      <c r="J68" s="250"/>
      <c r="K68" s="251"/>
      <c r="L68" s="252"/>
      <c r="M68" s="235"/>
      <c r="N68" s="254"/>
      <c r="O68" s="235"/>
      <c r="P68" s="235"/>
      <c r="Q68" s="253"/>
      <c r="R68" s="253"/>
      <c r="S68" s="283"/>
      <c r="T68" s="283"/>
      <c r="U68" s="283"/>
      <c r="V68" s="284"/>
      <c r="W68" s="283"/>
      <c r="Y68"/>
    </row>
    <row r="69" spans="2:25" ht="18.75">
      <c r="B69" s="235"/>
      <c r="C69" s="1152" t="s">
        <v>1365</v>
      </c>
      <c r="D69" s="1152"/>
      <c r="E69" s="1152"/>
      <c r="F69" s="1152"/>
      <c r="G69" s="237"/>
      <c r="H69" s="238"/>
      <c r="I69" s="255"/>
      <c r="J69" s="256"/>
      <c r="K69" s="257"/>
      <c r="L69" s="258"/>
      <c r="N69" s="254"/>
      <c r="O69" s="1116" t="s">
        <v>1581</v>
      </c>
      <c r="P69" s="1116"/>
      <c r="Q69" s="1116"/>
      <c r="R69" s="1116"/>
      <c r="Y69"/>
    </row>
    <row r="70" spans="2:25" ht="15.75">
      <c r="B70" s="235"/>
      <c r="C70" s="234"/>
      <c r="D70" s="1118" t="s">
        <v>1582</v>
      </c>
      <c r="E70" s="1118"/>
      <c r="F70" s="1118"/>
      <c r="G70" s="239"/>
      <c r="H70" s="240"/>
      <c r="I70" s="259"/>
      <c r="J70" s="260"/>
      <c r="K70" s="261"/>
      <c r="L70" s="262"/>
      <c r="N70" s="254"/>
      <c r="O70" s="1118" t="s">
        <v>1583</v>
      </c>
      <c r="P70" s="1118"/>
      <c r="Q70" s="1118"/>
      <c r="R70" s="1118"/>
      <c r="Y70"/>
    </row>
    <row r="71" spans="2:25">
      <c r="B71" s="235"/>
      <c r="C71" s="234"/>
      <c r="D71" s="234"/>
      <c r="E71" s="234"/>
      <c r="F71" s="234"/>
      <c r="G71" s="235"/>
      <c r="H71" s="236"/>
      <c r="I71" s="249"/>
      <c r="J71" s="250"/>
      <c r="K71" s="251"/>
      <c r="L71" s="252"/>
      <c r="M71" s="235"/>
      <c r="N71" s="254"/>
      <c r="O71" s="253" t="s">
        <v>295</v>
      </c>
      <c r="P71" s="253"/>
      <c r="Q71" s="253"/>
      <c r="R71" s="253"/>
      <c r="S71" s="285"/>
      <c r="T71" s="285"/>
      <c r="U71" s="285"/>
      <c r="V71" s="286"/>
      <c r="W71" s="285"/>
      <c r="Y71"/>
    </row>
    <row r="72" spans="2:25" ht="15.75">
      <c r="B72" s="92" t="s">
        <v>1584</v>
      </c>
      <c r="C72" s="234"/>
      <c r="D72" s="234"/>
      <c r="E72" s="234"/>
      <c r="F72" s="234"/>
      <c r="G72" s="235"/>
      <c r="H72" s="236"/>
      <c r="I72" s="249"/>
      <c r="J72" s="250"/>
      <c r="K72" s="251"/>
      <c r="L72" s="252"/>
      <c r="M72" s="235"/>
      <c r="N72" s="92" t="s">
        <v>1585</v>
      </c>
      <c r="O72" s="235"/>
      <c r="P72" s="253"/>
      <c r="R72" s="253"/>
      <c r="S72" s="1153"/>
      <c r="T72" s="1153"/>
      <c r="U72" s="1153"/>
      <c r="V72" s="284"/>
      <c r="W72" s="283"/>
    </row>
    <row r="73" spans="2:25">
      <c r="B73" s="234"/>
      <c r="C73" s="234"/>
      <c r="D73" s="234"/>
      <c r="E73" s="234"/>
      <c r="F73" s="234"/>
      <c r="G73" s="235"/>
      <c r="H73" s="236"/>
      <c r="I73" s="249"/>
      <c r="J73" s="250"/>
      <c r="K73" s="251"/>
      <c r="L73" s="252"/>
      <c r="M73" s="235"/>
      <c r="N73" s="253"/>
      <c r="O73" s="235"/>
      <c r="P73" s="235"/>
      <c r="Q73" s="253"/>
      <c r="R73" s="253"/>
      <c r="S73" s="283"/>
      <c r="T73" s="283"/>
      <c r="U73" s="283"/>
      <c r="V73" s="284"/>
      <c r="W73" s="283"/>
    </row>
    <row r="74" spans="2:25" ht="18.75">
      <c r="B74" s="234"/>
      <c r="C74" s="234"/>
      <c r="D74" s="1116" t="s">
        <v>1586</v>
      </c>
      <c r="E74" s="1116"/>
      <c r="F74" s="1116"/>
      <c r="G74" s="237"/>
      <c r="H74" s="238"/>
      <c r="I74" s="255"/>
      <c r="J74" s="256"/>
      <c r="K74" s="257"/>
      <c r="L74" s="258"/>
      <c r="N74" s="253"/>
      <c r="O74" s="1117" t="s">
        <v>1071</v>
      </c>
      <c r="P74" s="1117"/>
      <c r="Q74" s="1117"/>
      <c r="R74" s="1117"/>
      <c r="S74" s="287"/>
    </row>
    <row r="75" spans="2:25" ht="15.75">
      <c r="B75" s="234"/>
      <c r="C75" s="234"/>
      <c r="D75" s="1118" t="s">
        <v>1303</v>
      </c>
      <c r="E75" s="1118"/>
      <c r="F75" s="1118"/>
      <c r="G75" s="239"/>
      <c r="H75" s="240"/>
      <c r="I75" s="259"/>
      <c r="J75" s="260"/>
      <c r="K75" s="261"/>
      <c r="L75" s="262"/>
      <c r="N75" s="253"/>
      <c r="O75" s="1118" t="s">
        <v>1074</v>
      </c>
      <c r="P75" s="1118"/>
      <c r="Q75" s="1118"/>
      <c r="R75" s="1118"/>
      <c r="S75" s="239"/>
    </row>
    <row r="88" spans="2:23" ht="15.75">
      <c r="B88" s="241"/>
      <c r="C88" s="241"/>
      <c r="D88" s="242"/>
      <c r="E88" s="242"/>
      <c r="F88" s="242"/>
      <c r="G88" s="242"/>
      <c r="H88" s="243"/>
      <c r="I88" s="263"/>
      <c r="J88" s="264"/>
      <c r="K88" s="265"/>
      <c r="L88" s="266"/>
      <c r="M88" s="267"/>
      <c r="N88" s="267"/>
      <c r="O88" s="268"/>
      <c r="P88" s="269"/>
      <c r="Q88" s="288"/>
      <c r="R88" s="289"/>
      <c r="S88" s="289"/>
      <c r="T88" s="215"/>
      <c r="U88" s="215"/>
      <c r="V88" s="214"/>
      <c r="W88" s="215"/>
    </row>
    <row r="89" spans="2:23" ht="15.75">
      <c r="B89" s="241"/>
      <c r="C89" s="241"/>
      <c r="D89" s="242"/>
      <c r="E89" s="242"/>
      <c r="F89" s="242"/>
      <c r="G89" s="242"/>
      <c r="H89" s="243"/>
      <c r="I89" s="263"/>
      <c r="J89" s="264"/>
      <c r="K89" s="265"/>
      <c r="L89" s="266"/>
      <c r="M89" s="267"/>
      <c r="N89" s="267"/>
      <c r="O89" s="268"/>
      <c r="P89" s="269"/>
      <c r="Q89" s="288"/>
      <c r="R89" s="290"/>
      <c r="S89" s="290"/>
      <c r="T89" s="215"/>
      <c r="U89" s="215"/>
      <c r="V89" s="214"/>
      <c r="W89" s="215"/>
    </row>
    <row r="90" spans="2:23" ht="15.75">
      <c r="B90" s="241"/>
      <c r="C90" s="241"/>
      <c r="D90" s="242"/>
      <c r="E90" s="242"/>
      <c r="F90" s="242"/>
      <c r="G90" s="242"/>
      <c r="H90" s="243"/>
      <c r="I90" s="263"/>
      <c r="J90" s="264"/>
      <c r="K90" s="265"/>
      <c r="L90" s="266"/>
      <c r="M90" s="267"/>
      <c r="N90" s="267"/>
      <c r="O90" s="268"/>
      <c r="P90" s="269"/>
      <c r="Q90" s="288"/>
      <c r="R90" s="290"/>
      <c r="S90" s="290"/>
      <c r="T90" s="215"/>
      <c r="U90" s="215"/>
      <c r="V90" s="214"/>
      <c r="W90" s="215"/>
    </row>
    <row r="91" spans="2:23" ht="15.75">
      <c r="B91" s="241"/>
      <c r="C91" s="241"/>
      <c r="D91" s="242"/>
      <c r="E91" s="242"/>
      <c r="F91" s="242"/>
      <c r="G91" s="242"/>
      <c r="H91" s="243"/>
      <c r="I91" s="263"/>
      <c r="J91" s="264"/>
      <c r="K91" s="265"/>
      <c r="L91" s="266"/>
      <c r="M91" s="267"/>
      <c r="N91" s="267"/>
      <c r="O91" s="268"/>
      <c r="P91" s="269"/>
      <c r="Q91" s="288"/>
      <c r="R91" s="290"/>
      <c r="S91" s="290"/>
      <c r="T91" s="215"/>
      <c r="U91" s="215"/>
      <c r="V91" s="214"/>
      <c r="W91" s="215"/>
    </row>
    <row r="92" spans="2:23" ht="15.75">
      <c r="B92" s="241"/>
      <c r="C92" s="241"/>
      <c r="D92" s="242"/>
      <c r="E92" s="242"/>
      <c r="F92" s="242"/>
      <c r="G92" s="242"/>
      <c r="H92" s="243"/>
      <c r="I92" s="263"/>
      <c r="J92" s="264"/>
      <c r="K92" s="265"/>
      <c r="L92" s="266"/>
      <c r="M92" s="267"/>
      <c r="N92" s="267"/>
      <c r="O92" s="268"/>
      <c r="P92" s="269"/>
      <c r="Q92" s="288"/>
      <c r="R92" s="290"/>
      <c r="S92" s="290"/>
      <c r="T92" s="215"/>
      <c r="U92" s="215"/>
      <c r="V92" s="214"/>
      <c r="W92" s="215"/>
    </row>
    <row r="93" spans="2:23" ht="15.75">
      <c r="B93" s="241"/>
      <c r="C93" s="241"/>
      <c r="D93" s="242"/>
      <c r="E93" s="242"/>
      <c r="F93" s="242"/>
      <c r="G93" s="242"/>
      <c r="H93" s="243"/>
      <c r="I93" s="263"/>
      <c r="J93" s="264"/>
      <c r="K93" s="265"/>
      <c r="L93" s="266"/>
      <c r="M93" s="270"/>
      <c r="N93" s="270"/>
      <c r="O93" s="268"/>
      <c r="P93" s="269"/>
      <c r="Q93" s="288"/>
      <c r="R93" s="290"/>
      <c r="S93" s="290"/>
      <c r="T93" s="215"/>
      <c r="U93" s="215"/>
      <c r="V93" s="214"/>
      <c r="W93" s="215"/>
    </row>
    <row r="94" spans="2:23" ht="15.75">
      <c r="B94" s="241"/>
      <c r="C94" s="241"/>
      <c r="D94" s="244"/>
      <c r="E94" s="244"/>
      <c r="F94" s="244"/>
      <c r="G94" s="244"/>
      <c r="H94" s="245"/>
      <c r="I94" s="271"/>
      <c r="J94" s="272"/>
      <c r="K94" s="273"/>
      <c r="L94" s="274"/>
      <c r="M94" s="267"/>
      <c r="N94" s="267"/>
      <c r="O94" s="268"/>
      <c r="P94" s="269"/>
      <c r="Q94" s="288"/>
      <c r="R94" s="290"/>
      <c r="S94" s="290"/>
      <c r="T94" s="215"/>
      <c r="U94" s="215"/>
      <c r="V94" s="214"/>
      <c r="W94" s="215"/>
    </row>
    <row r="95" spans="2:23" ht="15.75">
      <c r="B95" s="241"/>
      <c r="C95" s="241"/>
      <c r="D95" s="242"/>
      <c r="E95" s="242"/>
      <c r="F95" s="242"/>
      <c r="G95" s="242"/>
      <c r="H95" s="243"/>
      <c r="I95" s="263"/>
      <c r="J95" s="264"/>
      <c r="K95" s="265"/>
      <c r="L95" s="266"/>
      <c r="M95" s="267"/>
      <c r="N95" s="267"/>
      <c r="O95" s="268"/>
      <c r="P95" s="269"/>
      <c r="Q95" s="288"/>
      <c r="R95" s="290"/>
      <c r="S95" s="290"/>
      <c r="T95" s="215"/>
      <c r="U95" s="215"/>
      <c r="V95" s="214"/>
      <c r="W95" s="215"/>
    </row>
    <row r="96" spans="2:23" ht="15.75">
      <c r="B96" s="241"/>
      <c r="C96" s="241"/>
      <c r="D96" s="242"/>
      <c r="E96" s="242"/>
      <c r="F96" s="242"/>
      <c r="G96" s="242"/>
      <c r="H96" s="243"/>
      <c r="I96" s="263"/>
      <c r="J96" s="264"/>
      <c r="K96" s="265"/>
      <c r="L96" s="266"/>
      <c r="M96" s="267"/>
      <c r="N96" s="267"/>
      <c r="O96" s="275"/>
      <c r="P96" s="275"/>
      <c r="Q96" s="288"/>
      <c r="R96" s="290"/>
      <c r="S96" s="290"/>
      <c r="T96" s="215"/>
      <c r="U96" s="215"/>
      <c r="V96" s="214"/>
      <c r="W96" s="215"/>
    </row>
    <row r="97" spans="2:25" ht="18.75">
      <c r="B97" s="246"/>
      <c r="C97" s="246"/>
      <c r="D97" s="246"/>
      <c r="E97" s="246"/>
      <c r="F97" s="246"/>
      <c r="G97" s="247"/>
      <c r="H97" s="248"/>
      <c r="I97" s="276"/>
      <c r="J97" s="277"/>
      <c r="K97" s="278"/>
      <c r="L97" s="279"/>
      <c r="M97" s="247"/>
      <c r="N97" s="280"/>
      <c r="O97" s="280"/>
      <c r="P97" s="280"/>
      <c r="Q97" s="291">
        <f>SUM(Q76:Q96)</f>
        <v>0</v>
      </c>
      <c r="R97" s="1119"/>
      <c r="S97" s="1119"/>
      <c r="T97" s="1119">
        <f>SUM(T76:U96)</f>
        <v>0</v>
      </c>
      <c r="U97" s="1119"/>
      <c r="V97" s="293"/>
      <c r="W97" s="292"/>
    </row>
    <row r="103" spans="2:25">
      <c r="Y103"/>
    </row>
    <row r="104" spans="2:25">
      <c r="Y104"/>
    </row>
    <row r="105" spans="2:25">
      <c r="Y105"/>
    </row>
    <row r="106" spans="2:25">
      <c r="Y106"/>
    </row>
    <row r="107" spans="2:25">
      <c r="Y107"/>
    </row>
    <row r="108" spans="2:25">
      <c r="Y108"/>
    </row>
    <row r="109" spans="2:25">
      <c r="Y109"/>
    </row>
    <row r="110" spans="2:25">
      <c r="Y110"/>
    </row>
    <row r="111" spans="2:25">
      <c r="Y111"/>
    </row>
    <row r="112" spans="2:25">
      <c r="Y112"/>
    </row>
    <row r="113" spans="25:25">
      <c r="Y113"/>
    </row>
    <row r="114" spans="25:25">
      <c r="Y114"/>
    </row>
    <row r="115" spans="25:25">
      <c r="Y115"/>
    </row>
    <row r="116" spans="25:25">
      <c r="Y116"/>
    </row>
    <row r="117" spans="25:25">
      <c r="Y117"/>
    </row>
    <row r="118" spans="25:25">
      <c r="Y118"/>
    </row>
    <row r="119" spans="25:25">
      <c r="Y119"/>
    </row>
    <row r="120" spans="25:25">
      <c r="Y120"/>
    </row>
    <row r="121" spans="25:25">
      <c r="Y121"/>
    </row>
    <row r="122" spans="25:25">
      <c r="Y122"/>
    </row>
    <row r="123" spans="25:25">
      <c r="Y123"/>
    </row>
    <row r="124" spans="25:25">
      <c r="Y124"/>
    </row>
    <row r="125" spans="25:25">
      <c r="Y125"/>
    </row>
    <row r="126" spans="25:25">
      <c r="Y126"/>
    </row>
    <row r="127" spans="25:25">
      <c r="Y127"/>
    </row>
    <row r="128" spans="25:25">
      <c r="Y128"/>
    </row>
    <row r="129" spans="25:25">
      <c r="Y129"/>
    </row>
    <row r="130" spans="25:25">
      <c r="Y130"/>
    </row>
    <row r="131" spans="25:25">
      <c r="Y131"/>
    </row>
    <row r="132" spans="25:25">
      <c r="Y132"/>
    </row>
    <row r="133" spans="25:25">
      <c r="Y133"/>
    </row>
    <row r="134" spans="25:25">
      <c r="Y134"/>
    </row>
    <row r="135" spans="25:25">
      <c r="Y135"/>
    </row>
    <row r="136" spans="25:25">
      <c r="Y136"/>
    </row>
    <row r="137" spans="25:25">
      <c r="Y137"/>
    </row>
    <row r="138" spans="25:25">
      <c r="Y138"/>
    </row>
    <row r="139" spans="25:25">
      <c r="Y139"/>
    </row>
    <row r="140" spans="25:25">
      <c r="Y140"/>
    </row>
    <row r="141" spans="25:25">
      <c r="Y141"/>
    </row>
    <row r="142" spans="25:25">
      <c r="Y142"/>
    </row>
    <row r="143" spans="25:25">
      <c r="Y143"/>
    </row>
    <row r="144" spans="25:25">
      <c r="Y144"/>
    </row>
    <row r="145" spans="25:26">
      <c r="Y145"/>
    </row>
    <row r="146" spans="25:26">
      <c r="Y146"/>
    </row>
    <row r="147" spans="25:26">
      <c r="Y147"/>
    </row>
    <row r="148" spans="25:26">
      <c r="Y148"/>
    </row>
    <row r="149" spans="25:26">
      <c r="Y149"/>
    </row>
    <row r="150" spans="25:26">
      <c r="Y150"/>
    </row>
    <row r="154" spans="25:26">
      <c r="Y154" s="63" t="e">
        <f>#REF!</f>
        <v>#REF!</v>
      </c>
      <c r="Z154" s="296" t="e">
        <f>#REF!</f>
        <v>#REF!</v>
      </c>
    </row>
    <row r="155" spans="25:26">
      <c r="Y155" s="63" t="e">
        <f>#REF!</f>
        <v>#REF!</v>
      </c>
      <c r="Z155" s="296" t="e">
        <f>#REF!</f>
        <v>#REF!</v>
      </c>
    </row>
    <row r="156" spans="25:26">
      <c r="Y156" s="63" t="e">
        <f>#REF!</f>
        <v>#REF!</v>
      </c>
      <c r="Z156" s="296" t="e">
        <f>#REF!</f>
        <v>#REF!</v>
      </c>
    </row>
    <row r="157" spans="25:26">
      <c r="Y157" s="63" t="e">
        <f>#REF!</f>
        <v>#REF!</v>
      </c>
      <c r="Z157" s="296" t="e">
        <f>#REF!</f>
        <v>#REF!</v>
      </c>
    </row>
    <row r="158" spans="25:26">
      <c r="Y158" s="63" t="e">
        <f>#REF!</f>
        <v>#REF!</v>
      </c>
      <c r="Z158" s="296" t="e">
        <f>#REF!</f>
        <v>#REF!</v>
      </c>
    </row>
    <row r="159" spans="25:26">
      <c r="Z159" s="297"/>
    </row>
    <row r="160" spans="25:26">
      <c r="Z160" s="297"/>
    </row>
    <row r="162" spans="24:29">
      <c r="X162" s="1120"/>
      <c r="Y162" s="837"/>
    </row>
    <row r="165" spans="24:29">
      <c r="AC165" s="297" t="e">
        <f>F56*0.024647906</f>
        <v>#REF!</v>
      </c>
    </row>
    <row r="169" spans="24:29">
      <c r="AC169" s="298" t="e">
        <f>G61-S49</f>
        <v>#REF!</v>
      </c>
    </row>
    <row r="170" spans="24:29">
      <c r="Z170" s="63">
        <f>3000000-S55</f>
        <v>1900000</v>
      </c>
    </row>
    <row r="172" spans="24:29">
      <c r="Y172" s="63" t="e">
        <f>S55-G61</f>
        <v>#REF!</v>
      </c>
    </row>
    <row r="173" spans="24:29">
      <c r="Z173">
        <v>2.4647906000000001E-2</v>
      </c>
    </row>
    <row r="175" spans="24:29">
      <c r="Z175">
        <v>3200000</v>
      </c>
    </row>
    <row r="176" spans="24:29">
      <c r="Y176" s="63" t="e">
        <f>S49-F56</f>
        <v>#REF!</v>
      </c>
      <c r="Z176" s="297">
        <f>Z175-S55</f>
        <v>2100000</v>
      </c>
    </row>
    <row r="183" spans="2:25">
      <c r="Y183"/>
    </row>
    <row r="184" spans="2:25">
      <c r="Y184"/>
    </row>
    <row r="185" spans="2:25">
      <c r="Y185"/>
    </row>
    <row r="186" spans="2:25">
      <c r="Y186"/>
    </row>
    <row r="187" spans="2:25">
      <c r="Y187"/>
    </row>
    <row r="188" spans="2:25">
      <c r="Y188"/>
    </row>
    <row r="189" spans="2:25">
      <c r="B189" s="294"/>
      <c r="C189" s="294"/>
      <c r="D189" s="294"/>
      <c r="E189" s="1121"/>
      <c r="F189" s="1121"/>
      <c r="G189" s="1121"/>
      <c r="H189" s="1121"/>
      <c r="I189" s="1121"/>
      <c r="J189" s="1121"/>
      <c r="K189" s="1121"/>
      <c r="L189" s="1121"/>
      <c r="M189" s="1121"/>
      <c r="N189" s="253"/>
      <c r="O189" s="235"/>
      <c r="P189" s="253"/>
      <c r="Q189" s="253"/>
      <c r="R189" s="253"/>
      <c r="S189" s="253"/>
      <c r="T189" s="253"/>
      <c r="U189" s="253"/>
      <c r="V189" s="295"/>
      <c r="W189" s="253"/>
      <c r="Y189"/>
    </row>
    <row r="190" spans="2:25">
      <c r="B190" s="294"/>
      <c r="C190" s="294"/>
      <c r="D190" s="294"/>
      <c r="E190" s="237"/>
      <c r="F190" s="237"/>
      <c r="G190" s="237"/>
      <c r="H190" s="238"/>
      <c r="I190" s="255"/>
      <c r="J190" s="256"/>
      <c r="K190" s="257"/>
      <c r="L190" s="258"/>
      <c r="M190" s="237"/>
      <c r="N190" s="253"/>
      <c r="O190" s="235"/>
      <c r="P190" s="253"/>
      <c r="Q190" s="253"/>
      <c r="R190" s="253"/>
      <c r="S190" s="253"/>
      <c r="T190" s="253"/>
      <c r="U190" s="253"/>
      <c r="V190" s="295"/>
      <c r="W190" s="253"/>
      <c r="Y190"/>
    </row>
    <row r="191" spans="2:25">
      <c r="Y191"/>
    </row>
    <row r="192" spans="2:25">
      <c r="Y192"/>
    </row>
    <row r="193" spans="25:25">
      <c r="Y193"/>
    </row>
    <row r="194" spans="25:25">
      <c r="Y194"/>
    </row>
    <row r="195" spans="25:25">
      <c r="Y195"/>
    </row>
    <row r="196" spans="25:25">
      <c r="Y196"/>
    </row>
    <row r="197" spans="25:25">
      <c r="Y197"/>
    </row>
    <row r="198" spans="25:25">
      <c r="Y198"/>
    </row>
    <row r="199" spans="25:25">
      <c r="Y199"/>
    </row>
    <row r="200" spans="25:25">
      <c r="Y200"/>
    </row>
    <row r="201" spans="25:25">
      <c r="Y201"/>
    </row>
    <row r="202" spans="25:25">
      <c r="Y202"/>
    </row>
    <row r="203" spans="25:25">
      <c r="Y203"/>
    </row>
    <row r="204" spans="25:25">
      <c r="Y204"/>
    </row>
    <row r="205" spans="25:25">
      <c r="Y205"/>
    </row>
    <row r="206" spans="25:25">
      <c r="Y206"/>
    </row>
    <row r="207" spans="25:25">
      <c r="Y207"/>
    </row>
    <row r="208" spans="25:25">
      <c r="Y208"/>
    </row>
    <row r="209" spans="25:25">
      <c r="Y209"/>
    </row>
    <row r="210" spans="25:25">
      <c r="Y210"/>
    </row>
    <row r="211" spans="25:25">
      <c r="Y211"/>
    </row>
    <row r="212" spans="25:25">
      <c r="Y212"/>
    </row>
    <row r="213" spans="25:25">
      <c r="Y213"/>
    </row>
    <row r="214" spans="25:25">
      <c r="Y214"/>
    </row>
    <row r="215" spans="25:25">
      <c r="Y215"/>
    </row>
    <row r="216" spans="25:25">
      <c r="Y216"/>
    </row>
    <row r="217" spans="25:25">
      <c r="Y217"/>
    </row>
    <row r="218" spans="25:25">
      <c r="Y218"/>
    </row>
    <row r="219" spans="25:25">
      <c r="Y219"/>
    </row>
    <row r="220" spans="25:25">
      <c r="Y220"/>
    </row>
    <row r="221" spans="25:25">
      <c r="Y221"/>
    </row>
    <row r="222" spans="25:25">
      <c r="Y222"/>
    </row>
    <row r="223" spans="25:25">
      <c r="Y223"/>
    </row>
    <row r="224" spans="25:25">
      <c r="Y224"/>
    </row>
    <row r="225" spans="25:25">
      <c r="Y225"/>
    </row>
    <row r="226" spans="25:25">
      <c r="Y226"/>
    </row>
    <row r="227" spans="25:25">
      <c r="Y227"/>
    </row>
    <row r="228" spans="25:25">
      <c r="Y228"/>
    </row>
    <row r="229" spans="25:25">
      <c r="Y229"/>
    </row>
    <row r="230" spans="25:25">
      <c r="Y230"/>
    </row>
    <row r="231" spans="25:25">
      <c r="Y231"/>
    </row>
    <row r="232" spans="25:25">
      <c r="Y232"/>
    </row>
    <row r="233" spans="25:25">
      <c r="Y233"/>
    </row>
    <row r="234" spans="25:25">
      <c r="Y234"/>
    </row>
    <row r="235" spans="25:25">
      <c r="Y235"/>
    </row>
    <row r="236" spans="25:25">
      <c r="Y236"/>
    </row>
    <row r="237" spans="25:25">
      <c r="Y237"/>
    </row>
    <row r="238" spans="25:25">
      <c r="Y238"/>
    </row>
    <row r="239" spans="25:25">
      <c r="Y239"/>
    </row>
    <row r="240" spans="25:25">
      <c r="Y240"/>
    </row>
    <row r="241" spans="25:25">
      <c r="Y241"/>
    </row>
    <row r="242" spans="25:25">
      <c r="Y242"/>
    </row>
    <row r="243" spans="25:25">
      <c r="Y243"/>
    </row>
    <row r="244" spans="25:25">
      <c r="Y244"/>
    </row>
    <row r="245" spans="25:25">
      <c r="Y245"/>
    </row>
    <row r="246" spans="25:25">
      <c r="Y246"/>
    </row>
    <row r="247" spans="25:25">
      <c r="Y247"/>
    </row>
    <row r="248" spans="25:25">
      <c r="Y248"/>
    </row>
    <row r="249" spans="25:25">
      <c r="Y249"/>
    </row>
    <row r="250" spans="25:25">
      <c r="Y250"/>
    </row>
    <row r="251" spans="25:25">
      <c r="Y251"/>
    </row>
    <row r="252" spans="25:25">
      <c r="Y252"/>
    </row>
    <row r="253" spans="25:25">
      <c r="Y253"/>
    </row>
    <row r="254" spans="25:25">
      <c r="Y254"/>
    </row>
    <row r="255" spans="25:25">
      <c r="Y255"/>
    </row>
    <row r="256" spans="25:25">
      <c r="Y256"/>
    </row>
    <row r="257" spans="25:25">
      <c r="Y257"/>
    </row>
    <row r="258" spans="25:25">
      <c r="Y258"/>
    </row>
    <row r="259" spans="25:25">
      <c r="Y259"/>
    </row>
    <row r="260" spans="25:25">
      <c r="Y260"/>
    </row>
    <row r="261" spans="25:25">
      <c r="Y261"/>
    </row>
    <row r="262" spans="25:25">
      <c r="Y262"/>
    </row>
    <row r="263" spans="25:25">
      <c r="Y263"/>
    </row>
    <row r="264" spans="25:25">
      <c r="Y264"/>
    </row>
    <row r="265" spans="25:25">
      <c r="Y265"/>
    </row>
    <row r="266" spans="25:25">
      <c r="Y266"/>
    </row>
    <row r="267" spans="25:25">
      <c r="Y267"/>
    </row>
    <row r="268" spans="25:25">
      <c r="Y268"/>
    </row>
    <row r="269" spans="25:25">
      <c r="Y269"/>
    </row>
    <row r="270" spans="25:25">
      <c r="Y270"/>
    </row>
    <row r="271" spans="25:25">
      <c r="Y271"/>
    </row>
    <row r="272" spans="25:25">
      <c r="Y272"/>
    </row>
    <row r="273" spans="25:25">
      <c r="Y273"/>
    </row>
    <row r="274" spans="25:25">
      <c r="Y274"/>
    </row>
    <row r="275" spans="25:25">
      <c r="Y275"/>
    </row>
    <row r="276" spans="25:25">
      <c r="Y276"/>
    </row>
    <row r="277" spans="25:25">
      <c r="Y277"/>
    </row>
    <row r="278" spans="25:25">
      <c r="Y278"/>
    </row>
    <row r="279" spans="25:25">
      <c r="Y279"/>
    </row>
    <row r="280" spans="25:25">
      <c r="Y280"/>
    </row>
    <row r="281" spans="25:25">
      <c r="Y281"/>
    </row>
    <row r="282" spans="25:25">
      <c r="Y282"/>
    </row>
    <row r="283" spans="25:25">
      <c r="Y283"/>
    </row>
    <row r="284" spans="25:25">
      <c r="Y284"/>
    </row>
    <row r="285" spans="25:25">
      <c r="Y285"/>
    </row>
    <row r="286" spans="25:25">
      <c r="Y286"/>
    </row>
    <row r="287" spans="25:25">
      <c r="Y287"/>
    </row>
    <row r="288" spans="25:25">
      <c r="Y288"/>
    </row>
    <row r="289" spans="25:25">
      <c r="Y289"/>
    </row>
    <row r="290" spans="25:25">
      <c r="Y290"/>
    </row>
    <row r="291" spans="25:25">
      <c r="Y291"/>
    </row>
    <row r="292" spans="25:25">
      <c r="Y292"/>
    </row>
    <row r="293" spans="25:25">
      <c r="Y293"/>
    </row>
    <row r="294" spans="25:25">
      <c r="Y294"/>
    </row>
    <row r="295" spans="25:25">
      <c r="Y295"/>
    </row>
    <row r="296" spans="25:25">
      <c r="Y296"/>
    </row>
    <row r="297" spans="25:25">
      <c r="Y297"/>
    </row>
    <row r="298" spans="25:25">
      <c r="Y298"/>
    </row>
    <row r="299" spans="25:25">
      <c r="Y299"/>
    </row>
    <row r="300" spans="25:25">
      <c r="Y300"/>
    </row>
    <row r="301" spans="25:25">
      <c r="Y301"/>
    </row>
    <row r="302" spans="25:25">
      <c r="Y302"/>
    </row>
    <row r="303" spans="25:25">
      <c r="Y303"/>
    </row>
    <row r="304" spans="25:25">
      <c r="Y304"/>
    </row>
    <row r="305" spans="25:25">
      <c r="Y305"/>
    </row>
    <row r="306" spans="25:25">
      <c r="Y306"/>
    </row>
    <row r="307" spans="25:25">
      <c r="Y307"/>
    </row>
    <row r="308" spans="25:25">
      <c r="Y308"/>
    </row>
    <row r="309" spans="25:25">
      <c r="Y309"/>
    </row>
    <row r="310" spans="25:25">
      <c r="Y310"/>
    </row>
    <row r="311" spans="25:25">
      <c r="Y311"/>
    </row>
    <row r="312" spans="25:25">
      <c r="Y312"/>
    </row>
    <row r="313" spans="25:25">
      <c r="Y313"/>
    </row>
    <row r="314" spans="25:25">
      <c r="Y314"/>
    </row>
    <row r="315" spans="25:25">
      <c r="Y315"/>
    </row>
    <row r="316" spans="25:25">
      <c r="Y316"/>
    </row>
    <row r="317" spans="25:25">
      <c r="Y317"/>
    </row>
    <row r="318" spans="25:25">
      <c r="Y318"/>
    </row>
    <row r="319" spans="25:25">
      <c r="Y319"/>
    </row>
    <row r="320" spans="25:25">
      <c r="Y320"/>
    </row>
    <row r="321" spans="25:25">
      <c r="Y321"/>
    </row>
    <row r="322" spans="25:25">
      <c r="Y322"/>
    </row>
    <row r="323" spans="25:25">
      <c r="Y323"/>
    </row>
    <row r="324" spans="25:25">
      <c r="Y324"/>
    </row>
    <row r="325" spans="25:25">
      <c r="Y325"/>
    </row>
    <row r="326" spans="25:25">
      <c r="Y326"/>
    </row>
    <row r="327" spans="25:25">
      <c r="Y327"/>
    </row>
    <row r="328" spans="25:25">
      <c r="Y328"/>
    </row>
    <row r="329" spans="25:25">
      <c r="Y329"/>
    </row>
    <row r="330" spans="25:25">
      <c r="Y330"/>
    </row>
    <row r="331" spans="25:25">
      <c r="Y331"/>
    </row>
    <row r="332" spans="25:25">
      <c r="Y332"/>
    </row>
    <row r="333" spans="25:25">
      <c r="Y333"/>
    </row>
    <row r="334" spans="25:25">
      <c r="Y334"/>
    </row>
    <row r="335" spans="25:25">
      <c r="Y335"/>
    </row>
    <row r="336" spans="25:25">
      <c r="Y336"/>
    </row>
    <row r="337" spans="25:25">
      <c r="Y337"/>
    </row>
    <row r="338" spans="25:25">
      <c r="Y338"/>
    </row>
    <row r="339" spans="25:25">
      <c r="Y339"/>
    </row>
    <row r="340" spans="25:25">
      <c r="Y340"/>
    </row>
    <row r="341" spans="25:25">
      <c r="Y341"/>
    </row>
    <row r="342" spans="25:25">
      <c r="Y342"/>
    </row>
    <row r="343" spans="25:25">
      <c r="Y343"/>
    </row>
    <row r="344" spans="25:25">
      <c r="Y344"/>
    </row>
    <row r="345" spans="25:25">
      <c r="Y345"/>
    </row>
    <row r="346" spans="25:25">
      <c r="Y346"/>
    </row>
    <row r="347" spans="25:25">
      <c r="Y347"/>
    </row>
    <row r="348" spans="25:25">
      <c r="Y348"/>
    </row>
    <row r="349" spans="25:25">
      <c r="Y349"/>
    </row>
    <row r="350" spans="25:25">
      <c r="Y350"/>
    </row>
    <row r="351" spans="25:25">
      <c r="Y351"/>
    </row>
    <row r="352" spans="25:25">
      <c r="Y352"/>
    </row>
    <row r="353" spans="25:25">
      <c r="Y353"/>
    </row>
    <row r="354" spans="25:25">
      <c r="Y354"/>
    </row>
    <row r="355" spans="25:25">
      <c r="Y355"/>
    </row>
    <row r="356" spans="25:25">
      <c r="Y356"/>
    </row>
    <row r="357" spans="25:25">
      <c r="Y357"/>
    </row>
    <row r="358" spans="25:25">
      <c r="Y358"/>
    </row>
    <row r="359" spans="25:25">
      <c r="Y359"/>
    </row>
    <row r="360" spans="25:25">
      <c r="Y360"/>
    </row>
    <row r="361" spans="25:25">
      <c r="Y361"/>
    </row>
    <row r="362" spans="25:25">
      <c r="Y362"/>
    </row>
    <row r="363" spans="25:25">
      <c r="Y363"/>
    </row>
    <row r="364" spans="25:25">
      <c r="Y364"/>
    </row>
    <row r="365" spans="25:25">
      <c r="Y365"/>
    </row>
    <row r="366" spans="25:25">
      <c r="Y366"/>
    </row>
    <row r="367" spans="25:25">
      <c r="Y367"/>
    </row>
    <row r="368" spans="25:25">
      <c r="Y368"/>
    </row>
    <row r="369" spans="25:25">
      <c r="Y369"/>
    </row>
    <row r="370" spans="25:25">
      <c r="Y370"/>
    </row>
    <row r="371" spans="25:25">
      <c r="Y371"/>
    </row>
    <row r="372" spans="25:25">
      <c r="Y372"/>
    </row>
    <row r="373" spans="25:25">
      <c r="Y373"/>
    </row>
    <row r="374" spans="25:25">
      <c r="Y374"/>
    </row>
    <row r="375" spans="25:25">
      <c r="Y375"/>
    </row>
    <row r="376" spans="25:25">
      <c r="Y376"/>
    </row>
    <row r="377" spans="25:25">
      <c r="Y377"/>
    </row>
    <row r="378" spans="25:25">
      <c r="Y378"/>
    </row>
    <row r="379" spans="25:25">
      <c r="Y379"/>
    </row>
    <row r="380" spans="25:25">
      <c r="Y380"/>
    </row>
    <row r="381" spans="25:25">
      <c r="Y381"/>
    </row>
    <row r="382" spans="25:25">
      <c r="Y382"/>
    </row>
    <row r="383" spans="25:25">
      <c r="Y383"/>
    </row>
    <row r="384" spans="25:25">
      <c r="Y384"/>
    </row>
    <row r="385" spans="25:25">
      <c r="Y385"/>
    </row>
    <row r="386" spans="25:25">
      <c r="Y386"/>
    </row>
    <row r="387" spans="25:25">
      <c r="Y387"/>
    </row>
    <row r="388" spans="25:25">
      <c r="Y388"/>
    </row>
    <row r="389" spans="25:25">
      <c r="Y389"/>
    </row>
    <row r="390" spans="25:25">
      <c r="Y390"/>
    </row>
    <row r="391" spans="25:25">
      <c r="Y391"/>
    </row>
    <row r="392" spans="25:25">
      <c r="Y392"/>
    </row>
    <row r="393" spans="25:25">
      <c r="Y393"/>
    </row>
    <row r="394" spans="25:25">
      <c r="Y394"/>
    </row>
    <row r="395" spans="25:25">
      <c r="Y395"/>
    </row>
    <row r="396" spans="25:25">
      <c r="Y396"/>
    </row>
    <row r="397" spans="25:25">
      <c r="Y397"/>
    </row>
    <row r="398" spans="25:25">
      <c r="Y398"/>
    </row>
    <row r="399" spans="25:25">
      <c r="Y399"/>
    </row>
    <row r="400" spans="25:25">
      <c r="Y400"/>
    </row>
    <row r="401" spans="25:25">
      <c r="Y401"/>
    </row>
    <row r="402" spans="25:25">
      <c r="Y402"/>
    </row>
    <row r="403" spans="25:25">
      <c r="Y403"/>
    </row>
    <row r="404" spans="25:25">
      <c r="Y404"/>
    </row>
    <row r="405" spans="25:25">
      <c r="Y405"/>
    </row>
    <row r="406" spans="25:25">
      <c r="Y406"/>
    </row>
    <row r="407" spans="25:25">
      <c r="Y407"/>
    </row>
    <row r="408" spans="25:25">
      <c r="Y408"/>
    </row>
    <row r="409" spans="25:25">
      <c r="Y409"/>
    </row>
    <row r="410" spans="25:25">
      <c r="Y410"/>
    </row>
    <row r="411" spans="25:25">
      <c r="Y411"/>
    </row>
    <row r="412" spans="25:25">
      <c r="Y412"/>
    </row>
    <row r="413" spans="25:25">
      <c r="Y413"/>
    </row>
    <row r="414" spans="25:25">
      <c r="Y414"/>
    </row>
    <row r="415" spans="25:25">
      <c r="Y415"/>
    </row>
    <row r="416" spans="25:25">
      <c r="Y416"/>
    </row>
    <row r="417" spans="25:25">
      <c r="Y417"/>
    </row>
    <row r="418" spans="25:25">
      <c r="Y418"/>
    </row>
    <row r="419" spans="25:25">
      <c r="Y419"/>
    </row>
    <row r="420" spans="25:25">
      <c r="Y420"/>
    </row>
    <row r="421" spans="25:25">
      <c r="Y421"/>
    </row>
    <row r="422" spans="25:25">
      <c r="Y422"/>
    </row>
    <row r="423" spans="25:25">
      <c r="Y423"/>
    </row>
    <row r="424" spans="25:25">
      <c r="Y424"/>
    </row>
    <row r="425" spans="25:25">
      <c r="Y425"/>
    </row>
    <row r="426" spans="25:25">
      <c r="Y426"/>
    </row>
    <row r="427" spans="25:25">
      <c r="Y427"/>
    </row>
    <row r="428" spans="25:25">
      <c r="Y428"/>
    </row>
    <row r="429" spans="25:25">
      <c r="Y429"/>
    </row>
    <row r="430" spans="25:25">
      <c r="Y430"/>
    </row>
    <row r="431" spans="25:25">
      <c r="Y431"/>
    </row>
    <row r="432" spans="25:25">
      <c r="Y432"/>
    </row>
    <row r="433" spans="25:25">
      <c r="Y433"/>
    </row>
    <row r="434" spans="25:25">
      <c r="Y434"/>
    </row>
    <row r="435" spans="25:25">
      <c r="Y435"/>
    </row>
    <row r="436" spans="25:25">
      <c r="Y436"/>
    </row>
    <row r="437" spans="25:25">
      <c r="Y437"/>
    </row>
    <row r="438" spans="25:25">
      <c r="Y438"/>
    </row>
    <row r="439" spans="25:25">
      <c r="Y439"/>
    </row>
    <row r="440" spans="25:25">
      <c r="Y440"/>
    </row>
    <row r="441" spans="25:25">
      <c r="Y441"/>
    </row>
    <row r="442" spans="25:25">
      <c r="Y442"/>
    </row>
    <row r="443" spans="25:25">
      <c r="Y443"/>
    </row>
    <row r="444" spans="25:25">
      <c r="Y444"/>
    </row>
    <row r="445" spans="25:25">
      <c r="Y445"/>
    </row>
    <row r="446" spans="25:25">
      <c r="Y446"/>
    </row>
    <row r="447" spans="25:25">
      <c r="Y447"/>
    </row>
    <row r="448" spans="25:25">
      <c r="Y448"/>
    </row>
    <row r="449" spans="25:25">
      <c r="Y449"/>
    </row>
    <row r="450" spans="25:25">
      <c r="Y450"/>
    </row>
    <row r="451" spans="25:25">
      <c r="Y451"/>
    </row>
    <row r="452" spans="25:25">
      <c r="Y452"/>
    </row>
    <row r="453" spans="25:25">
      <c r="Y453"/>
    </row>
    <row r="454" spans="25:25">
      <c r="Y454"/>
    </row>
    <row r="455" spans="25:25">
      <c r="Y455"/>
    </row>
    <row r="456" spans="25:25">
      <c r="Y456"/>
    </row>
    <row r="457" spans="25:25">
      <c r="Y457"/>
    </row>
    <row r="458" spans="25:25">
      <c r="Y458"/>
    </row>
    <row r="459" spans="25:25">
      <c r="Y459"/>
    </row>
    <row r="460" spans="25:25">
      <c r="Y460"/>
    </row>
    <row r="461" spans="25:25">
      <c r="Y461"/>
    </row>
    <row r="462" spans="25:25">
      <c r="Y462"/>
    </row>
    <row r="463" spans="25:25">
      <c r="Y463"/>
    </row>
    <row r="464" spans="25:25">
      <c r="Y464"/>
    </row>
    <row r="465" spans="25:25">
      <c r="Y465"/>
    </row>
    <row r="466" spans="25:25">
      <c r="Y466"/>
    </row>
    <row r="467" spans="25:25">
      <c r="Y467"/>
    </row>
    <row r="468" spans="25:25">
      <c r="Y468"/>
    </row>
    <row r="469" spans="25:25">
      <c r="Y469"/>
    </row>
    <row r="470" spans="25:25">
      <c r="Y470"/>
    </row>
    <row r="471" spans="25:25">
      <c r="Y471"/>
    </row>
    <row r="472" spans="25:25">
      <c r="Y472"/>
    </row>
    <row r="473" spans="25:25">
      <c r="Y473"/>
    </row>
    <row r="474" spans="25:25">
      <c r="Y474"/>
    </row>
    <row r="475" spans="25:25">
      <c r="Y475"/>
    </row>
    <row r="476" spans="25:25">
      <c r="Y476"/>
    </row>
    <row r="477" spans="25:25">
      <c r="Y477"/>
    </row>
    <row r="478" spans="25:25">
      <c r="Y478"/>
    </row>
    <row r="479" spans="25:25">
      <c r="Y479"/>
    </row>
    <row r="480" spans="25:25">
      <c r="Y480"/>
    </row>
    <row r="481" spans="25:25">
      <c r="Y481"/>
    </row>
    <row r="482" spans="25:25">
      <c r="Y482"/>
    </row>
    <row r="483" spans="25:25">
      <c r="Y483"/>
    </row>
    <row r="484" spans="25:25">
      <c r="Y484"/>
    </row>
    <row r="485" spans="25:25">
      <c r="Y485"/>
    </row>
    <row r="486" spans="25:25">
      <c r="Y486"/>
    </row>
    <row r="487" spans="25:25">
      <c r="Y487"/>
    </row>
    <row r="488" spans="25:25">
      <c r="Y488"/>
    </row>
    <row r="489" spans="25:25">
      <c r="Y489"/>
    </row>
    <row r="490" spans="25:25">
      <c r="Y490"/>
    </row>
    <row r="491" spans="25:25">
      <c r="Y491"/>
    </row>
    <row r="492" spans="25:25">
      <c r="Y492"/>
    </row>
    <row r="493" spans="25:25">
      <c r="Y493"/>
    </row>
    <row r="494" spans="25:25">
      <c r="Y494"/>
    </row>
    <row r="495" spans="25:25">
      <c r="Y495"/>
    </row>
    <row r="496" spans="25:25">
      <c r="Y496"/>
    </row>
    <row r="497" spans="25:25">
      <c r="Y497"/>
    </row>
    <row r="498" spans="25:25">
      <c r="Y498"/>
    </row>
    <row r="499" spans="25:25">
      <c r="Y499"/>
    </row>
    <row r="500" spans="25:25">
      <c r="Y500"/>
    </row>
    <row r="501" spans="25:25">
      <c r="Y501"/>
    </row>
    <row r="502" spans="25:25">
      <c r="Y502"/>
    </row>
    <row r="503" spans="25:25">
      <c r="Y503"/>
    </row>
    <row r="504" spans="25:25">
      <c r="Y504"/>
    </row>
    <row r="505" spans="25:25">
      <c r="Y505"/>
    </row>
    <row r="506" spans="25:25">
      <c r="Y506"/>
    </row>
    <row r="507" spans="25:25">
      <c r="Y507"/>
    </row>
    <row r="508" spans="25:25">
      <c r="Y508"/>
    </row>
    <row r="509" spans="25:25">
      <c r="Y509"/>
    </row>
    <row r="510" spans="25:25">
      <c r="Y510"/>
    </row>
    <row r="511" spans="25:25">
      <c r="Y511"/>
    </row>
    <row r="512" spans="25:25">
      <c r="Y512"/>
    </row>
    <row r="513" spans="25:25">
      <c r="Y513"/>
    </row>
    <row r="514" spans="25:25">
      <c r="Y514"/>
    </row>
    <row r="515" spans="25:25">
      <c r="Y515"/>
    </row>
    <row r="516" spans="25:25">
      <c r="Y516"/>
    </row>
    <row r="517" spans="25:25">
      <c r="Y517"/>
    </row>
    <row r="518" spans="25:25">
      <c r="Y518"/>
    </row>
    <row r="519" spans="25:25">
      <c r="Y519"/>
    </row>
    <row r="520" spans="25:25">
      <c r="Y520"/>
    </row>
    <row r="521" spans="25:25">
      <c r="Y521"/>
    </row>
    <row r="522" spans="25:25">
      <c r="Y522"/>
    </row>
    <row r="523" spans="25:25">
      <c r="Y523"/>
    </row>
    <row r="524" spans="25:25">
      <c r="Y524"/>
    </row>
    <row r="525" spans="25:25">
      <c r="Y525"/>
    </row>
    <row r="526" spans="25:25">
      <c r="Y526"/>
    </row>
    <row r="527" spans="25:25">
      <c r="Y527"/>
    </row>
    <row r="528" spans="25:25">
      <c r="Y528"/>
    </row>
    <row r="529" spans="25:25">
      <c r="Y529"/>
    </row>
    <row r="530" spans="25:25">
      <c r="Y530"/>
    </row>
    <row r="531" spans="25:25">
      <c r="Y531"/>
    </row>
    <row r="532" spans="25:25">
      <c r="Y532"/>
    </row>
    <row r="533" spans="25:25">
      <c r="Y533"/>
    </row>
    <row r="534" spans="25:25">
      <c r="Y534"/>
    </row>
    <row r="535" spans="25:25">
      <c r="Y535"/>
    </row>
    <row r="536" spans="25:25">
      <c r="Y536"/>
    </row>
    <row r="537" spans="25:25">
      <c r="Y537"/>
    </row>
    <row r="538" spans="25:25">
      <c r="Y538"/>
    </row>
    <row r="539" spans="25:25">
      <c r="Y539"/>
    </row>
    <row r="540" spans="25:25">
      <c r="Y540"/>
    </row>
    <row r="541" spans="25:25">
      <c r="Y541"/>
    </row>
    <row r="542" spans="25:25">
      <c r="Y542"/>
    </row>
    <row r="543" spans="25:25">
      <c r="Y543"/>
    </row>
    <row r="544" spans="25:25">
      <c r="Y544"/>
    </row>
    <row r="545" spans="25:25">
      <c r="Y545"/>
    </row>
    <row r="546" spans="25:25">
      <c r="Y546"/>
    </row>
    <row r="547" spans="25:25">
      <c r="Y547"/>
    </row>
    <row r="548" spans="25:25">
      <c r="Y548"/>
    </row>
    <row r="549" spans="25:25">
      <c r="Y549"/>
    </row>
    <row r="550" spans="25:25">
      <c r="Y550"/>
    </row>
    <row r="551" spans="25:25">
      <c r="Y551"/>
    </row>
    <row r="552" spans="25:25">
      <c r="Y552"/>
    </row>
    <row r="553" spans="25:25">
      <c r="Y553"/>
    </row>
    <row r="554" spans="25:25">
      <c r="Y554"/>
    </row>
    <row r="555" spans="25:25">
      <c r="Y555"/>
    </row>
    <row r="556" spans="25:25">
      <c r="Y556"/>
    </row>
    <row r="557" spans="25:25">
      <c r="Y557"/>
    </row>
    <row r="558" spans="25:25">
      <c r="Y558"/>
    </row>
    <row r="559" spans="25:25">
      <c r="Y559"/>
    </row>
    <row r="560" spans="25:25">
      <c r="Y560"/>
    </row>
    <row r="561" spans="25:25">
      <c r="Y561"/>
    </row>
    <row r="562" spans="25:25">
      <c r="Y562"/>
    </row>
    <row r="563" spans="25:25">
      <c r="Y563"/>
    </row>
    <row r="564" spans="25:25">
      <c r="Y564"/>
    </row>
    <row r="565" spans="25:25">
      <c r="Y565"/>
    </row>
    <row r="566" spans="25:25">
      <c r="Y566"/>
    </row>
    <row r="567" spans="25:25">
      <c r="Y567"/>
    </row>
    <row r="568" spans="25:25">
      <c r="Y568"/>
    </row>
    <row r="569" spans="25:25">
      <c r="Y569"/>
    </row>
    <row r="570" spans="25:25">
      <c r="Y570"/>
    </row>
    <row r="571" spans="25:25">
      <c r="Y571"/>
    </row>
    <row r="572" spans="25:25">
      <c r="Y572"/>
    </row>
    <row r="573" spans="25:25">
      <c r="Y573"/>
    </row>
    <row r="574" spans="25:25">
      <c r="Y574"/>
    </row>
    <row r="575" spans="25:25">
      <c r="Y575"/>
    </row>
    <row r="576" spans="25:25">
      <c r="Y576"/>
    </row>
    <row r="577" spans="25:25">
      <c r="Y577"/>
    </row>
    <row r="578" spans="25:25">
      <c r="Y578"/>
    </row>
    <row r="579" spans="25:25">
      <c r="Y579"/>
    </row>
    <row r="580" spans="25:25">
      <c r="Y580"/>
    </row>
    <row r="581" spans="25:25">
      <c r="Y581"/>
    </row>
    <row r="582" spans="25:25">
      <c r="Y582"/>
    </row>
    <row r="583" spans="25:25">
      <c r="Y583"/>
    </row>
    <row r="584" spans="25:25">
      <c r="Y584"/>
    </row>
    <row r="585" spans="25:25">
      <c r="Y585"/>
    </row>
    <row r="586" spans="25:25">
      <c r="Y586"/>
    </row>
    <row r="587" spans="25:25">
      <c r="Y587"/>
    </row>
    <row r="588" spans="25:25">
      <c r="Y588"/>
    </row>
    <row r="589" spans="25:25">
      <c r="Y589"/>
    </row>
    <row r="590" spans="25:25">
      <c r="Y590"/>
    </row>
    <row r="591" spans="25:25">
      <c r="Y591"/>
    </row>
    <row r="592" spans="25:25">
      <c r="Y592"/>
    </row>
    <row r="593" spans="25:25">
      <c r="Y593"/>
    </row>
    <row r="594" spans="25:25">
      <c r="Y594"/>
    </row>
    <row r="595" spans="25:25">
      <c r="Y595"/>
    </row>
    <row r="596" spans="25:25">
      <c r="Y596"/>
    </row>
    <row r="597" spans="25:25">
      <c r="Y597"/>
    </row>
    <row r="598" spans="25:25">
      <c r="Y598"/>
    </row>
    <row r="599" spans="25:25">
      <c r="Y599"/>
    </row>
    <row r="600" spans="25:25">
      <c r="Y600"/>
    </row>
    <row r="601" spans="25:25">
      <c r="Y601"/>
    </row>
    <row r="602" spans="25:25">
      <c r="Y602"/>
    </row>
    <row r="603" spans="25:25">
      <c r="Y603"/>
    </row>
    <row r="604" spans="25:25">
      <c r="Y604"/>
    </row>
    <row r="605" spans="25:25">
      <c r="Y605"/>
    </row>
    <row r="606" spans="25:25">
      <c r="Y606"/>
    </row>
    <row r="607" spans="25:25">
      <c r="Y607"/>
    </row>
    <row r="608" spans="25:25">
      <c r="Y608"/>
    </row>
    <row r="609" spans="25:25">
      <c r="Y609"/>
    </row>
    <row r="610" spans="25:25">
      <c r="Y610"/>
    </row>
    <row r="611" spans="25:25">
      <c r="Y611"/>
    </row>
    <row r="612" spans="25:25">
      <c r="Y612"/>
    </row>
    <row r="613" spans="25:25">
      <c r="Y613"/>
    </row>
    <row r="614" spans="25:25">
      <c r="Y614"/>
    </row>
    <row r="615" spans="25:25">
      <c r="Y615"/>
    </row>
    <row r="616" spans="25:25">
      <c r="Y616"/>
    </row>
    <row r="617" spans="25:25">
      <c r="Y617"/>
    </row>
    <row r="618" spans="25:25">
      <c r="Y618"/>
    </row>
    <row r="619" spans="25:25">
      <c r="Y619"/>
    </row>
    <row r="620" spans="25:25">
      <c r="Y620"/>
    </row>
    <row r="621" spans="25:25">
      <c r="Y621"/>
    </row>
    <row r="622" spans="25:25">
      <c r="Y622"/>
    </row>
    <row r="623" spans="25:25">
      <c r="Y623"/>
    </row>
    <row r="624" spans="25:25">
      <c r="Y624"/>
    </row>
    <row r="625" spans="25:25">
      <c r="Y625"/>
    </row>
    <row r="626" spans="25:25">
      <c r="Y626"/>
    </row>
    <row r="627" spans="25:25">
      <c r="Y627"/>
    </row>
    <row r="628" spans="25:25">
      <c r="Y628"/>
    </row>
    <row r="629" spans="25:25">
      <c r="Y629"/>
    </row>
    <row r="630" spans="25:25">
      <c r="Y630"/>
    </row>
    <row r="631" spans="25:25">
      <c r="Y631"/>
    </row>
    <row r="632" spans="25:25">
      <c r="Y632"/>
    </row>
    <row r="633" spans="25:25">
      <c r="Y633"/>
    </row>
    <row r="634" spans="25:25">
      <c r="Y634"/>
    </row>
    <row r="635" spans="25:25">
      <c r="Y635"/>
    </row>
    <row r="636" spans="25:25">
      <c r="Y636"/>
    </row>
    <row r="637" spans="25:25">
      <c r="Y637"/>
    </row>
    <row r="638" spans="25:25">
      <c r="Y638"/>
    </row>
    <row r="639" spans="25:25">
      <c r="Y639"/>
    </row>
    <row r="640" spans="25:25">
      <c r="Y640"/>
    </row>
    <row r="641" spans="25:25">
      <c r="Y641"/>
    </row>
    <row r="642" spans="25:25">
      <c r="Y642"/>
    </row>
    <row r="643" spans="25:25">
      <c r="Y643"/>
    </row>
    <row r="644" spans="25:25">
      <c r="Y644"/>
    </row>
    <row r="645" spans="25:25">
      <c r="Y645"/>
    </row>
    <row r="646" spans="25:25">
      <c r="Y646"/>
    </row>
    <row r="647" spans="25:25">
      <c r="Y647"/>
    </row>
    <row r="648" spans="25:25">
      <c r="Y648"/>
    </row>
    <row r="649" spans="25:25">
      <c r="Y649"/>
    </row>
    <row r="650" spans="25:25">
      <c r="Y650"/>
    </row>
    <row r="651" spans="25:25">
      <c r="Y651"/>
    </row>
    <row r="652" spans="25:25">
      <c r="Y652"/>
    </row>
    <row r="653" spans="25:25">
      <c r="Y653"/>
    </row>
    <row r="654" spans="25:25">
      <c r="Y654"/>
    </row>
    <row r="655" spans="25:25">
      <c r="Y655"/>
    </row>
    <row r="656" spans="25:25">
      <c r="Y656"/>
    </row>
    <row r="657" spans="25:25">
      <c r="Y657"/>
    </row>
    <row r="658" spans="25:25">
      <c r="Y658"/>
    </row>
    <row r="659" spans="25:25">
      <c r="Y659"/>
    </row>
    <row r="660" spans="25:25">
      <c r="Y660"/>
    </row>
    <row r="661" spans="25:25">
      <c r="Y661"/>
    </row>
    <row r="662" spans="25:25">
      <c r="Y662"/>
    </row>
    <row r="663" spans="25:25">
      <c r="Y663"/>
    </row>
    <row r="1886" spans="7:25">
      <c r="G1886">
        <f>[4]COVER!A104</f>
        <v>0</v>
      </c>
      <c r="Y1886"/>
    </row>
  </sheetData>
  <mergeCells count="176">
    <mergeCell ref="B1:U1"/>
    <mergeCell ref="B2:U2"/>
    <mergeCell ref="B3:U3"/>
    <mergeCell ref="B4:U4"/>
    <mergeCell ref="B7:U7"/>
    <mergeCell ref="E9:P9"/>
    <mergeCell ref="T9:U9"/>
    <mergeCell ref="E10:P10"/>
    <mergeCell ref="T10:U10"/>
    <mergeCell ref="E11:P11"/>
    <mergeCell ref="T11:U11"/>
    <mergeCell ref="S12:U12"/>
    <mergeCell ref="E13:F13"/>
    <mergeCell ref="E14:P14"/>
    <mergeCell ref="T14:U14"/>
    <mergeCell ref="E15:P15"/>
    <mergeCell ref="T15:U15"/>
    <mergeCell ref="E16:P16"/>
    <mergeCell ref="T16:U16"/>
    <mergeCell ref="B17:D17"/>
    <mergeCell ref="E17:P17"/>
    <mergeCell ref="O18:U18"/>
    <mergeCell ref="O19:Q19"/>
    <mergeCell ref="R19:U19"/>
    <mergeCell ref="B20:C20"/>
    <mergeCell ref="D20:M20"/>
    <mergeCell ref="O20:Q20"/>
    <mergeCell ref="B21:C21"/>
    <mergeCell ref="D21:M21"/>
    <mergeCell ref="O21:Q21"/>
    <mergeCell ref="B22:C22"/>
    <mergeCell ref="D22:M22"/>
    <mergeCell ref="O22:Q22"/>
    <mergeCell ref="B23:C23"/>
    <mergeCell ref="D23:M23"/>
    <mergeCell ref="B24:C24"/>
    <mergeCell ref="D24:M24"/>
    <mergeCell ref="O24:Q24"/>
    <mergeCell ref="B25:C25"/>
    <mergeCell ref="D25:M25"/>
    <mergeCell ref="B26:C26"/>
    <mergeCell ref="D26:M26"/>
    <mergeCell ref="B27:C27"/>
    <mergeCell ref="D27:M27"/>
    <mergeCell ref="O27:Q27"/>
    <mergeCell ref="B28:C28"/>
    <mergeCell ref="D28:M28"/>
    <mergeCell ref="O28:Q28"/>
    <mergeCell ref="B29:C29"/>
    <mergeCell ref="D29:M29"/>
    <mergeCell ref="B30:C30"/>
    <mergeCell ref="D30:M30"/>
    <mergeCell ref="B31:C31"/>
    <mergeCell ref="D31:M31"/>
    <mergeCell ref="O31:Q31"/>
    <mergeCell ref="B32:C32"/>
    <mergeCell ref="D32:M32"/>
    <mergeCell ref="O32:Q32"/>
    <mergeCell ref="R32:U32"/>
    <mergeCell ref="B33:U33"/>
    <mergeCell ref="T34:U34"/>
    <mergeCell ref="T35:U35"/>
    <mergeCell ref="B37:C37"/>
    <mergeCell ref="D37:G37"/>
    <mergeCell ref="M37:N37"/>
    <mergeCell ref="O37:P37"/>
    <mergeCell ref="R37:S37"/>
    <mergeCell ref="T37:U37"/>
    <mergeCell ref="B38:C38"/>
    <mergeCell ref="D38:G38"/>
    <mergeCell ref="M38:N38"/>
    <mergeCell ref="O38:P38"/>
    <mergeCell ref="R38:S38"/>
    <mergeCell ref="T38:U38"/>
    <mergeCell ref="B39:C39"/>
    <mergeCell ref="D39:G39"/>
    <mergeCell ref="M39:N39"/>
    <mergeCell ref="O39:P39"/>
    <mergeCell ref="R39:S39"/>
    <mergeCell ref="T39:U39"/>
    <mergeCell ref="B40:C40"/>
    <mergeCell ref="D40:G40"/>
    <mergeCell ref="M40:N40"/>
    <mergeCell ref="O40:P40"/>
    <mergeCell ref="T40:U40"/>
    <mergeCell ref="B41:C41"/>
    <mergeCell ref="D41:G41"/>
    <mergeCell ref="M41:N41"/>
    <mergeCell ref="O41:P41"/>
    <mergeCell ref="T41:U41"/>
    <mergeCell ref="B42:C42"/>
    <mergeCell ref="D42:G42"/>
    <mergeCell ref="M42:N42"/>
    <mergeCell ref="O42:P42"/>
    <mergeCell ref="T42:U42"/>
    <mergeCell ref="B43:C43"/>
    <mergeCell ref="D43:G43"/>
    <mergeCell ref="M43:N43"/>
    <mergeCell ref="O43:P43"/>
    <mergeCell ref="R43:S43"/>
    <mergeCell ref="T43:U43"/>
    <mergeCell ref="B44:C44"/>
    <mergeCell ref="D44:G44"/>
    <mergeCell ref="M44:N44"/>
    <mergeCell ref="O44:P44"/>
    <mergeCell ref="R44:S44"/>
    <mergeCell ref="T44:U44"/>
    <mergeCell ref="AA44:AC44"/>
    <mergeCell ref="B45:C45"/>
    <mergeCell ref="D45:G45"/>
    <mergeCell ref="M45:N45"/>
    <mergeCell ref="O45:P45"/>
    <mergeCell ref="R45:S45"/>
    <mergeCell ref="T45:U45"/>
    <mergeCell ref="B46:C46"/>
    <mergeCell ref="D46:G46"/>
    <mergeCell ref="M46:N46"/>
    <mergeCell ref="O46:P46"/>
    <mergeCell ref="R46:S46"/>
    <mergeCell ref="T46:U46"/>
    <mergeCell ref="B47:C47"/>
    <mergeCell ref="D47:G47"/>
    <mergeCell ref="M47:N47"/>
    <mergeCell ref="O47:P47"/>
    <mergeCell ref="R47:S47"/>
    <mergeCell ref="T47:U47"/>
    <mergeCell ref="F49:M49"/>
    <mergeCell ref="S49:U49"/>
    <mergeCell ref="F50:M50"/>
    <mergeCell ref="S50:U50"/>
    <mergeCell ref="F51:M51"/>
    <mergeCell ref="S51:U51"/>
    <mergeCell ref="F52:M52"/>
    <mergeCell ref="S52:U52"/>
    <mergeCell ref="F53:M53"/>
    <mergeCell ref="S53:U53"/>
    <mergeCell ref="S61:U61"/>
    <mergeCell ref="S62:U62"/>
    <mergeCell ref="C69:F69"/>
    <mergeCell ref="O69:R69"/>
    <mergeCell ref="D70:F70"/>
    <mergeCell ref="O70:R70"/>
    <mergeCell ref="S72:U72"/>
    <mergeCell ref="F54:M54"/>
    <mergeCell ref="F55:M55"/>
    <mergeCell ref="S55:U55"/>
    <mergeCell ref="F56:M56"/>
    <mergeCell ref="F57:M57"/>
    <mergeCell ref="F58:M58"/>
    <mergeCell ref="S58:U58"/>
    <mergeCell ref="F59:M59"/>
    <mergeCell ref="S59:U59"/>
    <mergeCell ref="D74:F74"/>
    <mergeCell ref="O74:R74"/>
    <mergeCell ref="D75:F75"/>
    <mergeCell ref="O75:R75"/>
    <mergeCell ref="R97:S97"/>
    <mergeCell ref="T97:U97"/>
    <mergeCell ref="X162:Y162"/>
    <mergeCell ref="E189:M189"/>
    <mergeCell ref="A18:A19"/>
    <mergeCell ref="H34:H35"/>
    <mergeCell ref="I34:I35"/>
    <mergeCell ref="J34:J35"/>
    <mergeCell ref="K34:K35"/>
    <mergeCell ref="L34:L35"/>
    <mergeCell ref="Q34:Q35"/>
    <mergeCell ref="B34:C35"/>
    <mergeCell ref="R34:S35"/>
    <mergeCell ref="D34:G35"/>
    <mergeCell ref="M34:N35"/>
    <mergeCell ref="O34:P35"/>
    <mergeCell ref="B18:C19"/>
    <mergeCell ref="D18:M19"/>
    <mergeCell ref="F60:M60"/>
    <mergeCell ref="G61:M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32"/>
  <sheetViews>
    <sheetView topLeftCell="A10"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>
        <f>'POW COVER'!B37</f>
        <v>803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COVER'!D37</f>
        <v>Structural excavation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COVER'!M37</f>
        <v>29.41</v>
      </c>
      <c r="G6" s="3" t="str">
        <f>'POW COVER'!O37</f>
        <v>cu.m.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f>F6/AF9</f>
        <v>1.838125</v>
      </c>
      <c r="G7" s="7" t="str">
        <f>""&amp;G6&amp;" per hour"</f>
        <v>cu.m.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  <c r="AF7">
        <v>10</v>
      </c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MAX(Q12:S15,Q20:S20)</f>
        <v>16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>
        <v>1</v>
      </c>
      <c r="O12" s="1244"/>
      <c r="P12" s="27"/>
      <c r="Q12" s="846">
        <v>16</v>
      </c>
      <c r="R12" s="847"/>
      <c r="S12" s="847"/>
      <c r="T12" s="849">
        <v>60</v>
      </c>
      <c r="U12" s="850"/>
      <c r="V12" s="850"/>
      <c r="W12" s="851"/>
      <c r="X12" s="849">
        <f>T12*Q12*N12</f>
        <v>960</v>
      </c>
      <c r="Y12" s="850"/>
      <c r="Z12" s="850"/>
      <c r="AA12" s="850"/>
      <c r="AB12" s="850"/>
      <c r="AC12" s="851"/>
    </row>
    <row r="13" spans="1:32" ht="16.5">
      <c r="A13" s="10"/>
      <c r="B13" s="13" t="s">
        <v>1601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>
        <v>2</v>
      </c>
      <c r="O13" s="1244"/>
      <c r="P13" s="27"/>
      <c r="Q13" s="846">
        <v>16</v>
      </c>
      <c r="R13" s="847"/>
      <c r="S13" s="847"/>
      <c r="T13" s="1251">
        <v>43.75</v>
      </c>
      <c r="U13" s="1252"/>
      <c r="V13" s="1252"/>
      <c r="W13" s="1253"/>
      <c r="X13" s="849">
        <f>T13*Q13*N13</f>
        <v>1400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>
        <v>2</v>
      </c>
      <c r="O14" s="1244"/>
      <c r="P14" s="28"/>
      <c r="Q14" s="847">
        <v>16</v>
      </c>
      <c r="R14" s="847"/>
      <c r="S14" s="847"/>
      <c r="T14" s="1248">
        <v>38.25</v>
      </c>
      <c r="U14" s="1249"/>
      <c r="V14" s="1249"/>
      <c r="W14" s="1250"/>
      <c r="X14" s="849">
        <f>T14*Q14*N14</f>
        <v>1224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/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3584</v>
      </c>
      <c r="Y16" s="1224"/>
      <c r="Z16" s="1224"/>
      <c r="AA16" s="1224"/>
      <c r="AB16" s="1224"/>
      <c r="AC16" s="1225"/>
    </row>
    <row r="17" spans="1:30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30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30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30" ht="16.5">
      <c r="A20" s="15"/>
      <c r="B20" s="13"/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43"/>
      <c r="O20" s="1244"/>
      <c r="P20" s="14"/>
      <c r="Q20" s="846"/>
      <c r="R20" s="847"/>
      <c r="S20" s="848"/>
      <c r="T20" s="1245"/>
      <c r="U20" s="1246"/>
      <c r="V20" s="1246"/>
      <c r="W20" s="1247"/>
      <c r="X20" s="849"/>
      <c r="Y20" s="850"/>
      <c r="Z20" s="850"/>
      <c r="AA20" s="850"/>
      <c r="AB20" s="850"/>
      <c r="AC20" s="851"/>
    </row>
    <row r="21" spans="1:30" ht="16.5">
      <c r="A21" s="1223" t="s">
        <v>1607</v>
      </c>
      <c r="B21" s="1224"/>
      <c r="C21" s="1224"/>
      <c r="D21" s="1224"/>
      <c r="E21" s="1224"/>
      <c r="F21" s="1224"/>
      <c r="G21" s="1224"/>
      <c r="H21" s="1224"/>
      <c r="I21" s="1224"/>
      <c r="J21" s="1224"/>
      <c r="K21" s="1224"/>
      <c r="L21" s="1224"/>
      <c r="M21" s="1224"/>
      <c r="N21" s="1224"/>
      <c r="O21" s="1224"/>
      <c r="P21" s="1224"/>
      <c r="Q21" s="1224"/>
      <c r="R21" s="1224"/>
      <c r="S21" s="1224"/>
      <c r="T21" s="1224"/>
      <c r="U21" s="1224"/>
      <c r="V21" s="1224"/>
      <c r="W21" s="1225"/>
      <c r="X21" s="1223">
        <f>SUM(X20:AC20)</f>
        <v>0</v>
      </c>
      <c r="Y21" s="1224"/>
      <c r="Z21" s="1224"/>
      <c r="AA21" s="1224"/>
      <c r="AB21" s="1224"/>
      <c r="AC21" s="1225"/>
    </row>
    <row r="22" spans="1:30">
      <c r="A22" s="9"/>
      <c r="B22" s="1229" t="s">
        <v>1608</v>
      </c>
      <c r="C22" s="1230"/>
      <c r="D22" s="1230"/>
      <c r="E22" s="1230"/>
      <c r="F22" s="1230"/>
      <c r="G22" s="1230"/>
      <c r="H22" s="1230"/>
      <c r="I22" s="1230"/>
      <c r="J22" s="1230"/>
      <c r="K22" s="1230"/>
      <c r="L22" s="1230"/>
      <c r="M22" s="1231"/>
      <c r="N22" s="1232" t="s">
        <v>1609</v>
      </c>
      <c r="O22" s="1233"/>
      <c r="P22" s="1234"/>
      <c r="Q22" s="1229" t="s">
        <v>1592</v>
      </c>
      <c r="R22" s="1230"/>
      <c r="S22" s="1231"/>
      <c r="T22" s="1229" t="s">
        <v>1610</v>
      </c>
      <c r="U22" s="1230"/>
      <c r="V22" s="1230"/>
      <c r="W22" s="1231"/>
      <c r="X22" s="1229" t="s">
        <v>1599</v>
      </c>
      <c r="Y22" s="1230"/>
      <c r="Z22" s="1230"/>
      <c r="AA22" s="1230"/>
      <c r="AB22" s="1230"/>
      <c r="AC22" s="1231"/>
    </row>
    <row r="23" spans="1:30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30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30" ht="16.5">
      <c r="A25" s="19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0"/>
      <c r="O25" s="30"/>
      <c r="P25" s="21"/>
      <c r="Q25" s="20"/>
      <c r="R25" s="21"/>
      <c r="S25" s="30"/>
      <c r="T25" s="20"/>
      <c r="U25" s="21"/>
      <c r="V25" s="21"/>
      <c r="W25" s="30"/>
      <c r="X25" s="20"/>
      <c r="Y25" s="21"/>
      <c r="Z25" s="21"/>
      <c r="AA25" s="21"/>
      <c r="AB25" s="21"/>
      <c r="AC25" s="30"/>
    </row>
    <row r="26" spans="1:30" ht="16.5">
      <c r="A26" s="1223" t="s">
        <v>1612</v>
      </c>
      <c r="B26" s="1226"/>
      <c r="C26" s="1226"/>
      <c r="D26" s="1226"/>
      <c r="E26" s="1226"/>
      <c r="F26" s="1226"/>
      <c r="G26" s="1226"/>
      <c r="H26" s="1226"/>
      <c r="I26" s="1226"/>
      <c r="J26" s="1226"/>
      <c r="K26" s="1226"/>
      <c r="L26" s="1226"/>
      <c r="M26" s="1226"/>
      <c r="N26" s="1226"/>
      <c r="O26" s="1226"/>
      <c r="P26" s="1226"/>
      <c r="Q26" s="1226"/>
      <c r="R26" s="1226"/>
      <c r="S26" s="1226"/>
      <c r="T26" s="1226"/>
      <c r="U26" s="1226"/>
      <c r="V26" s="1226"/>
      <c r="W26" s="1227"/>
      <c r="X26" s="1228">
        <f>SUM(X25:AC25)</f>
        <v>0</v>
      </c>
      <c r="Y26" s="1226"/>
      <c r="Z26" s="1226"/>
      <c r="AA26" s="1226"/>
      <c r="AB26" s="1226"/>
      <c r="AC26" s="1227"/>
    </row>
    <row r="27" spans="1:30" ht="16.5">
      <c r="A27" s="22" t="s">
        <v>1353</v>
      </c>
      <c r="B27" s="23" t="s">
        <v>1613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 t="s">
        <v>1614</v>
      </c>
      <c r="V27" s="23"/>
      <c r="W27" s="46"/>
      <c r="X27" s="1223">
        <f>X26+X21+X16</f>
        <v>3584</v>
      </c>
      <c r="Y27" s="1224"/>
      <c r="Z27" s="1224"/>
      <c r="AA27" s="1224"/>
      <c r="AB27" s="1224"/>
      <c r="AC27" s="1225"/>
      <c r="AD27" s="51">
        <f t="shared" ref="AD27:AD32" si="0">X27</f>
        <v>3584</v>
      </c>
    </row>
    <row r="28" spans="1:30" ht="16.5">
      <c r="A28" s="22" t="s">
        <v>1357</v>
      </c>
      <c r="B28" s="23" t="s">
        <v>1615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 t="s">
        <v>1616</v>
      </c>
      <c r="P28" s="23"/>
      <c r="Q28" s="23"/>
      <c r="R28" s="23"/>
      <c r="S28" s="23"/>
      <c r="T28" s="23"/>
      <c r="U28" s="23" t="s">
        <v>1617</v>
      </c>
      <c r="V28" s="23"/>
      <c r="W28" s="46"/>
      <c r="X28" s="1223">
        <f>0.15*X27</f>
        <v>537.6</v>
      </c>
      <c r="Y28" s="1224"/>
      <c r="Z28" s="1224"/>
      <c r="AA28" s="1224"/>
      <c r="AB28" s="1224"/>
      <c r="AC28" s="1225"/>
      <c r="AD28" s="51">
        <f t="shared" si="0"/>
        <v>537.6</v>
      </c>
    </row>
    <row r="29" spans="1:30" ht="16.5">
      <c r="A29" s="22" t="s">
        <v>1359</v>
      </c>
      <c r="B29" s="23" t="s">
        <v>1618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 t="s">
        <v>1619</v>
      </c>
      <c r="V29" s="23"/>
      <c r="W29" s="46"/>
      <c r="X29" s="1223">
        <f>0.1*X27</f>
        <v>358.40000000000003</v>
      </c>
      <c r="Y29" s="1224"/>
      <c r="Z29" s="1224"/>
      <c r="AA29" s="1224"/>
      <c r="AB29" s="1224"/>
      <c r="AC29" s="1225"/>
      <c r="AD29" s="51">
        <f t="shared" si="0"/>
        <v>358.40000000000003</v>
      </c>
    </row>
    <row r="30" spans="1:30" ht="16.5">
      <c r="A30" s="22" t="s">
        <v>1620</v>
      </c>
      <c r="B30" s="23" t="s">
        <v>1621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47"/>
      <c r="T30" s="23" t="s">
        <v>1622</v>
      </c>
      <c r="U30" s="23"/>
      <c r="V30" s="48"/>
      <c r="W30" s="14"/>
      <c r="X30" s="1223">
        <f>0.05*(X29+X28+X27)</f>
        <v>224</v>
      </c>
      <c r="Y30" s="1224"/>
      <c r="Z30" s="1224"/>
      <c r="AA30" s="1224"/>
      <c r="AB30" s="1224"/>
      <c r="AC30" s="1225"/>
      <c r="AD30" s="51">
        <f t="shared" si="0"/>
        <v>224</v>
      </c>
    </row>
    <row r="31" spans="1:30" ht="16.5">
      <c r="A31" s="22" t="s">
        <v>1623</v>
      </c>
      <c r="B31" s="24" t="s">
        <v>1624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4"/>
      <c r="T31" s="23" t="s">
        <v>1625</v>
      </c>
      <c r="U31" s="23"/>
      <c r="V31" s="23"/>
      <c r="W31" s="46"/>
      <c r="X31" s="1223">
        <f>X30+X29+X28+X27</f>
        <v>4704</v>
      </c>
      <c r="Y31" s="1224"/>
      <c r="Z31" s="1224"/>
      <c r="AA31" s="1224"/>
      <c r="AB31" s="1224"/>
      <c r="AC31" s="1225"/>
      <c r="AD31" s="51">
        <f t="shared" si="0"/>
        <v>4704</v>
      </c>
    </row>
    <row r="32" spans="1:30" ht="16.5">
      <c r="A32" s="22" t="s">
        <v>1626</v>
      </c>
      <c r="B32" s="24" t="s">
        <v>1627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 t="s">
        <v>1628</v>
      </c>
      <c r="V32" s="23"/>
      <c r="W32" s="46"/>
      <c r="X32" s="1223">
        <f>X31/F6</f>
        <v>159.94559673580414</v>
      </c>
      <c r="Y32" s="1224"/>
      <c r="Z32" s="1224"/>
      <c r="AA32" s="1224"/>
      <c r="AB32" s="1224"/>
      <c r="AC32" s="1225"/>
      <c r="AD32" s="51">
        <f t="shared" si="0"/>
        <v>159.94559673580414</v>
      </c>
    </row>
  </sheetData>
  <mergeCells count="58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A21:W21"/>
    <mergeCell ref="X21:AC21"/>
    <mergeCell ref="B22:M22"/>
    <mergeCell ref="N22:P22"/>
    <mergeCell ref="Q22:S22"/>
    <mergeCell ref="T22:W22"/>
    <mergeCell ref="X22:AC22"/>
    <mergeCell ref="X30:AC30"/>
    <mergeCell ref="X31:AC31"/>
    <mergeCell ref="X32:AC32"/>
    <mergeCell ref="A26:W26"/>
    <mergeCell ref="X26:AC26"/>
    <mergeCell ref="X27:AC27"/>
    <mergeCell ref="X28:AC28"/>
    <mergeCell ref="X29:AC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40"/>
  <sheetViews>
    <sheetView topLeftCell="A16"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 t="str">
        <f>'POW COVER'!B38</f>
        <v>SPL - 3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COVER'!D38</f>
        <v>Formworks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COVER'!M38</f>
        <v>300</v>
      </c>
      <c r="G6" s="3" t="s">
        <v>112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4</v>
      </c>
      <c r="G7" s="7" t="str">
        <f>""&amp;G6&amp;" per hour"</f>
        <v>sq.m.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>
        <f>T15*Q15*O15</f>
        <v>0</v>
      </c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5"/>
      <c r="B20" s="13"/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43"/>
      <c r="O20" s="1244"/>
      <c r="P20" s="14"/>
      <c r="Q20" s="846"/>
      <c r="R20" s="847"/>
      <c r="S20" s="848"/>
      <c r="T20" s="1245"/>
      <c r="U20" s="1246"/>
      <c r="V20" s="1246"/>
      <c r="W20" s="1247"/>
      <c r="X20" s="849"/>
      <c r="Y20" s="850"/>
      <c r="Z20" s="850"/>
      <c r="AA20" s="850"/>
      <c r="AB20" s="850"/>
      <c r="AC20" s="851"/>
    </row>
    <row r="21" spans="1:29" ht="16.5">
      <c r="A21" s="1223" t="s">
        <v>1607</v>
      </c>
      <c r="B21" s="1224"/>
      <c r="C21" s="1224"/>
      <c r="D21" s="1224"/>
      <c r="E21" s="1224"/>
      <c r="F21" s="1224"/>
      <c r="G21" s="1224"/>
      <c r="H21" s="1224"/>
      <c r="I21" s="1224"/>
      <c r="J21" s="1224"/>
      <c r="K21" s="1224"/>
      <c r="L21" s="1224"/>
      <c r="M21" s="1224"/>
      <c r="N21" s="1224"/>
      <c r="O21" s="1224"/>
      <c r="P21" s="1224"/>
      <c r="Q21" s="1224"/>
      <c r="R21" s="1224"/>
      <c r="S21" s="1224"/>
      <c r="T21" s="1224"/>
      <c r="U21" s="1224"/>
      <c r="V21" s="1224"/>
      <c r="W21" s="1225"/>
      <c r="X21" s="1223">
        <f>SUM(X20:AC20)</f>
        <v>0</v>
      </c>
      <c r="Y21" s="1224"/>
      <c r="Z21" s="1224"/>
      <c r="AA21" s="1224"/>
      <c r="AB21" s="1224"/>
      <c r="AC21" s="1225"/>
    </row>
    <row r="22" spans="1:29">
      <c r="A22" s="9"/>
      <c r="B22" s="1229" t="s">
        <v>1608</v>
      </c>
      <c r="C22" s="1230"/>
      <c r="D22" s="1230"/>
      <c r="E22" s="1230"/>
      <c r="F22" s="1230"/>
      <c r="G22" s="1230"/>
      <c r="H22" s="1230"/>
      <c r="I22" s="1230"/>
      <c r="J22" s="1230"/>
      <c r="K22" s="1230"/>
      <c r="L22" s="1230"/>
      <c r="M22" s="1231"/>
      <c r="N22" s="1232" t="s">
        <v>1609</v>
      </c>
      <c r="O22" s="1233"/>
      <c r="P22" s="1234"/>
      <c r="Q22" s="1229" t="s">
        <v>1592</v>
      </c>
      <c r="R22" s="1230"/>
      <c r="S22" s="1231"/>
      <c r="T22" s="1229" t="s">
        <v>1610</v>
      </c>
      <c r="U22" s="1230"/>
      <c r="V22" s="1230"/>
      <c r="W22" s="1231"/>
      <c r="X22" s="1229" t="s">
        <v>1599</v>
      </c>
      <c r="Y22" s="1230"/>
      <c r="Z22" s="1230"/>
      <c r="AA22" s="1230"/>
      <c r="AB22" s="1230"/>
      <c r="AC22" s="1231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1218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43" t="s">
        <v>585</v>
      </c>
      <c r="O25" s="1244"/>
      <c r="P25" s="14"/>
      <c r="Q25" s="849">
        <v>600</v>
      </c>
      <c r="R25" s="850"/>
      <c r="S25" s="851"/>
      <c r="T25" s="849"/>
      <c r="U25" s="850"/>
      <c r="V25" s="850"/>
      <c r="W25" s="851"/>
      <c r="X25" s="849">
        <f t="shared" ref="X25:X32" si="0">T25*Q25</f>
        <v>0</v>
      </c>
      <c r="Y25" s="850"/>
      <c r="Z25" s="850"/>
      <c r="AA25" s="850"/>
      <c r="AB25" s="850"/>
      <c r="AC25" s="851"/>
    </row>
    <row r="26" spans="1:29" ht="16.5">
      <c r="A26" s="15"/>
      <c r="B26" s="17" t="s">
        <v>1219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43" t="s">
        <v>585</v>
      </c>
      <c r="O26" s="1244"/>
      <c r="P26" s="14"/>
      <c r="Q26" s="846">
        <v>400</v>
      </c>
      <c r="R26" s="847"/>
      <c r="S26" s="848"/>
      <c r="T26" s="849"/>
      <c r="U26" s="850"/>
      <c r="V26" s="850"/>
      <c r="W26" s="851"/>
      <c r="X26" s="849">
        <f t="shared" si="0"/>
        <v>0</v>
      </c>
      <c r="Y26" s="850"/>
      <c r="Z26" s="850"/>
      <c r="AA26" s="850"/>
      <c r="AB26" s="850"/>
      <c r="AC26" s="851"/>
    </row>
    <row r="27" spans="1:29" ht="16.5">
      <c r="A27" s="15"/>
      <c r="B27" s="17" t="s">
        <v>1220</v>
      </c>
      <c r="N27" s="1243" t="s">
        <v>1221</v>
      </c>
      <c r="O27" s="1244"/>
      <c r="Q27" s="846">
        <v>10</v>
      </c>
      <c r="R27" s="847"/>
      <c r="S27" s="848"/>
      <c r="T27" s="849"/>
      <c r="U27" s="850"/>
      <c r="V27" s="850"/>
      <c r="W27" s="851"/>
      <c r="X27" s="849">
        <f t="shared" si="0"/>
        <v>0</v>
      </c>
      <c r="Y27" s="850"/>
      <c r="Z27" s="850"/>
      <c r="AA27" s="850"/>
      <c r="AB27" s="850"/>
      <c r="AC27" s="851"/>
    </row>
    <row r="28" spans="1:29" ht="16.5">
      <c r="A28" s="15"/>
      <c r="B28" s="13" t="s">
        <v>376</v>
      </c>
      <c r="N28" s="1243" t="s">
        <v>16</v>
      </c>
      <c r="O28" s="1244"/>
      <c r="Q28" s="846">
        <v>20</v>
      </c>
      <c r="R28" s="847"/>
      <c r="S28" s="848"/>
      <c r="T28" s="849"/>
      <c r="U28" s="850"/>
      <c r="V28" s="850"/>
      <c r="W28" s="851"/>
      <c r="X28" s="849">
        <f t="shared" si="0"/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1222</v>
      </c>
      <c r="N29" s="1243" t="s">
        <v>469</v>
      </c>
      <c r="O29" s="1244"/>
      <c r="Q29" s="846">
        <v>15</v>
      </c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8" t="s">
        <v>1223</v>
      </c>
      <c r="N30" s="1243" t="s">
        <v>1630</v>
      </c>
      <c r="O30" s="1244"/>
      <c r="Q30" s="846">
        <v>15</v>
      </c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8" t="s">
        <v>1224</v>
      </c>
      <c r="N31" s="1243" t="s">
        <v>1630</v>
      </c>
      <c r="O31" s="1244"/>
      <c r="Q31" s="846">
        <v>15</v>
      </c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8" t="s">
        <v>1225</v>
      </c>
      <c r="N32" s="1243" t="s">
        <v>1630</v>
      </c>
      <c r="O32" s="1244"/>
      <c r="Q32" s="846">
        <v>5</v>
      </c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5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266"/>
      <c r="O33" s="1267"/>
      <c r="P33" s="21"/>
      <c r="Q33" s="1268"/>
      <c r="R33" s="1269"/>
      <c r="S33" s="1270"/>
      <c r="T33" s="1271"/>
      <c r="U33" s="1272"/>
      <c r="V33" s="1272"/>
      <c r="W33" s="1273"/>
      <c r="X33" s="1271"/>
      <c r="Y33" s="1272"/>
      <c r="Z33" s="1272"/>
      <c r="AA33" s="1272"/>
      <c r="AB33" s="1272"/>
      <c r="AC33" s="1273"/>
    </row>
    <row r="34" spans="1:30" ht="16.5">
      <c r="A34" s="1223" t="s">
        <v>1612</v>
      </c>
      <c r="B34" s="1226"/>
      <c r="C34" s="1226"/>
      <c r="D34" s="1226"/>
      <c r="E34" s="1226"/>
      <c r="F34" s="1226"/>
      <c r="G34" s="1226"/>
      <c r="H34" s="1226"/>
      <c r="I34" s="1226"/>
      <c r="J34" s="1226"/>
      <c r="K34" s="1226"/>
      <c r="L34" s="1226"/>
      <c r="M34" s="1226"/>
      <c r="N34" s="1226"/>
      <c r="O34" s="1226"/>
      <c r="P34" s="1226"/>
      <c r="Q34" s="1226"/>
      <c r="R34" s="1226"/>
      <c r="S34" s="1226"/>
      <c r="T34" s="1226"/>
      <c r="U34" s="1226"/>
      <c r="V34" s="1226"/>
      <c r="W34" s="1227"/>
      <c r="X34" s="1228">
        <f>SUM(X25:AC33)</f>
        <v>0</v>
      </c>
      <c r="Y34" s="1226"/>
      <c r="Z34" s="1226"/>
      <c r="AA34" s="1226"/>
      <c r="AB34" s="1226"/>
      <c r="AC34" s="122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23">
        <f>X34+X21+X16</f>
        <v>0</v>
      </c>
      <c r="Y35" s="1224"/>
      <c r="Z35" s="1224"/>
      <c r="AA35" s="1224"/>
      <c r="AB35" s="1224"/>
      <c r="AC35" s="122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23">
        <f>0.15*X35</f>
        <v>0</v>
      </c>
      <c r="Y36" s="1224"/>
      <c r="Z36" s="1224"/>
      <c r="AA36" s="1224"/>
      <c r="AB36" s="1224"/>
      <c r="AC36" s="122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23">
        <f>0.1*X35</f>
        <v>0</v>
      </c>
      <c r="Y37" s="1224"/>
      <c r="Z37" s="1224"/>
      <c r="AA37" s="1224"/>
      <c r="AB37" s="1224"/>
      <c r="AC37" s="122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23">
        <f>0.05*(X37+X36+X35)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23">
        <f>X38+X37+X36+X35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23">
        <f>X39/F6</f>
        <v>0</v>
      </c>
      <c r="Y40" s="1224"/>
      <c r="Z40" s="1224"/>
      <c r="AA40" s="1224"/>
      <c r="AB40" s="1224"/>
      <c r="AC40" s="1225"/>
      <c r="AD40" s="51">
        <f t="shared" si="1"/>
        <v>0</v>
      </c>
    </row>
  </sheetData>
  <mergeCells count="94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A21:W21"/>
    <mergeCell ref="X21:AC21"/>
    <mergeCell ref="B22:M22"/>
    <mergeCell ref="N22:P22"/>
    <mergeCell ref="Q22:S22"/>
    <mergeCell ref="T22:W22"/>
    <mergeCell ref="X22:AC22"/>
    <mergeCell ref="N25:O25"/>
    <mergeCell ref="Q25:S25"/>
    <mergeCell ref="T25:W25"/>
    <mergeCell ref="X25:AC25"/>
    <mergeCell ref="N26:O26"/>
    <mergeCell ref="Q26:S26"/>
    <mergeCell ref="T26:W26"/>
    <mergeCell ref="X26:AC26"/>
    <mergeCell ref="N27:O27"/>
    <mergeCell ref="Q27:S27"/>
    <mergeCell ref="T27:W27"/>
    <mergeCell ref="X27:AC27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N33:O33"/>
    <mergeCell ref="Q33:S33"/>
    <mergeCell ref="T33:W33"/>
    <mergeCell ref="X33:AC33"/>
    <mergeCell ref="A34:W34"/>
    <mergeCell ref="X34:AC34"/>
    <mergeCell ref="X40:AC40"/>
    <mergeCell ref="X35:AC35"/>
    <mergeCell ref="X36:AC36"/>
    <mergeCell ref="X37:AC37"/>
    <mergeCell ref="X38:AC38"/>
    <mergeCell ref="X39:AC3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44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 t="str">
        <f>'POW COVER'!B39</f>
        <v>900(7)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COVER'!D39</f>
        <v>Reinforce Concrete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COVER'!M39</f>
        <v>8.7210000000000001</v>
      </c>
      <c r="G6" s="3" t="str">
        <f>'POW COVER'!O39</f>
        <v>cu.m.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2</v>
      </c>
      <c r="G7" s="7" t="str">
        <f>""&amp;G6&amp;" per hour"</f>
        <v>cu.m.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MAX(Q12:S15,Q20:S23)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/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5"/>
      <c r="B20" s="13" t="s">
        <v>1631</v>
      </c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43"/>
      <c r="O20" s="1244"/>
      <c r="P20" s="14"/>
      <c r="Q20" s="846"/>
      <c r="R20" s="847"/>
      <c r="S20" s="848"/>
      <c r="T20" s="1245"/>
      <c r="U20" s="1246"/>
      <c r="V20" s="1246"/>
      <c r="W20" s="1247"/>
      <c r="X20" s="849">
        <f>T20*Q20*N20</f>
        <v>0</v>
      </c>
      <c r="Y20" s="850"/>
      <c r="Z20" s="850"/>
      <c r="AA20" s="850"/>
      <c r="AB20" s="850"/>
      <c r="AC20" s="851"/>
    </row>
    <row r="21" spans="1:29" ht="16.5">
      <c r="A21" s="15"/>
      <c r="B21" s="13" t="s">
        <v>1632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243"/>
      <c r="O21" s="1244"/>
      <c r="P21" s="14"/>
      <c r="Q21" s="846"/>
      <c r="R21" s="847"/>
      <c r="S21" s="848"/>
      <c r="T21" s="1245"/>
      <c r="U21" s="1246"/>
      <c r="V21" s="1246"/>
      <c r="W21" s="1247"/>
      <c r="X21" s="849">
        <f>T21*Q21*N21</f>
        <v>0</v>
      </c>
      <c r="Y21" s="850"/>
      <c r="Z21" s="850"/>
      <c r="AA21" s="850"/>
      <c r="AB21" s="850"/>
      <c r="AC21" s="851"/>
    </row>
    <row r="22" spans="1:29" ht="16.5">
      <c r="A22" s="15"/>
      <c r="B22" s="13" t="s">
        <v>178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243"/>
      <c r="O22" s="1244"/>
      <c r="P22" s="14"/>
      <c r="Q22" s="846"/>
      <c r="R22" s="847"/>
      <c r="S22" s="848"/>
      <c r="T22" s="1245"/>
      <c r="U22" s="1246"/>
      <c r="V22" s="1246"/>
      <c r="W22" s="1247"/>
      <c r="X22" s="849">
        <f>T22*Q22*N22</f>
        <v>0</v>
      </c>
      <c r="Y22" s="850"/>
      <c r="Z22" s="850"/>
      <c r="AA22" s="850"/>
      <c r="AB22" s="850"/>
      <c r="AC22" s="851"/>
    </row>
    <row r="23" spans="1:29" ht="16.5">
      <c r="A23" s="15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243"/>
      <c r="O23" s="1244"/>
      <c r="P23" s="14"/>
      <c r="Q23" s="846"/>
      <c r="R23" s="847"/>
      <c r="S23" s="848"/>
      <c r="T23" s="1245"/>
      <c r="U23" s="1246"/>
      <c r="V23" s="1246"/>
      <c r="W23" s="1247"/>
      <c r="X23" s="849"/>
      <c r="Y23" s="850"/>
      <c r="Z23" s="850"/>
      <c r="AA23" s="850"/>
      <c r="AB23" s="850"/>
      <c r="AC23" s="851"/>
    </row>
    <row r="24" spans="1:29" ht="16.5">
      <c r="A24" s="1223" t="s">
        <v>1607</v>
      </c>
      <c r="B24" s="1224"/>
      <c r="C24" s="1224"/>
      <c r="D24" s="1224"/>
      <c r="E24" s="1224"/>
      <c r="F24" s="1224"/>
      <c r="G24" s="1224"/>
      <c r="H24" s="1224"/>
      <c r="I24" s="1224"/>
      <c r="J24" s="1224"/>
      <c r="K24" s="1224"/>
      <c r="L24" s="1224"/>
      <c r="M24" s="1224"/>
      <c r="N24" s="1224"/>
      <c r="O24" s="1224"/>
      <c r="P24" s="1224"/>
      <c r="Q24" s="1224"/>
      <c r="R24" s="1224"/>
      <c r="S24" s="1224"/>
      <c r="T24" s="1224"/>
      <c r="U24" s="1224"/>
      <c r="V24" s="1224"/>
      <c r="W24" s="1225"/>
      <c r="X24" s="1223">
        <f>SUM(X20:AC23)</f>
        <v>0</v>
      </c>
      <c r="Y24" s="1224"/>
      <c r="Z24" s="1224"/>
      <c r="AA24" s="1224"/>
      <c r="AB24" s="1224"/>
      <c r="AC24" s="1225"/>
    </row>
    <row r="25" spans="1:29">
      <c r="A25" s="9"/>
      <c r="B25" s="1229" t="s">
        <v>1608</v>
      </c>
      <c r="C25" s="1230"/>
      <c r="D25" s="1230"/>
      <c r="E25" s="1230"/>
      <c r="F25" s="1230"/>
      <c r="G25" s="1230"/>
      <c r="H25" s="1230"/>
      <c r="I25" s="1230"/>
      <c r="J25" s="1230"/>
      <c r="K25" s="1230"/>
      <c r="L25" s="1230"/>
      <c r="M25" s="1231"/>
      <c r="N25" s="1232" t="s">
        <v>1609</v>
      </c>
      <c r="O25" s="1233"/>
      <c r="P25" s="1234"/>
      <c r="Q25" s="1229" t="s">
        <v>1592</v>
      </c>
      <c r="R25" s="1230"/>
      <c r="S25" s="1231"/>
      <c r="T25" s="1229" t="s">
        <v>1610</v>
      </c>
      <c r="U25" s="1230"/>
      <c r="V25" s="1230"/>
      <c r="W25" s="1231"/>
      <c r="X25" s="1229" t="s">
        <v>1599</v>
      </c>
      <c r="Y25" s="1230"/>
      <c r="Z25" s="1230"/>
      <c r="AA25" s="1230"/>
      <c r="AB25" s="1230"/>
      <c r="AC25" s="1231"/>
    </row>
    <row r="26" spans="1:29" ht="16.5">
      <c r="A26" s="15" t="s">
        <v>1350</v>
      </c>
      <c r="B26" s="11" t="s">
        <v>1611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1"/>
      <c r="O26" s="25"/>
      <c r="P26" s="12"/>
      <c r="Q26" s="32"/>
      <c r="R26" s="33"/>
      <c r="S26" s="44"/>
      <c r="T26" s="34"/>
      <c r="U26" s="35"/>
      <c r="V26" s="35"/>
      <c r="W26" s="36"/>
      <c r="X26" s="37"/>
      <c r="Y26" s="50"/>
      <c r="Z26" s="50"/>
      <c r="AA26" s="50"/>
      <c r="AB26" s="50"/>
      <c r="AC26" s="25"/>
    </row>
    <row r="27" spans="1:29" ht="16.5">
      <c r="A27" s="15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3"/>
      <c r="O27" s="26"/>
      <c r="P27" s="14"/>
      <c r="Q27" s="38"/>
      <c r="R27" s="39"/>
      <c r="S27" s="45"/>
      <c r="T27" s="40"/>
      <c r="U27" s="41"/>
      <c r="V27" s="41"/>
      <c r="W27" s="42"/>
      <c r="X27" s="43"/>
      <c r="Y27" s="3"/>
      <c r="Z27" s="3"/>
      <c r="AA27" s="3"/>
      <c r="AB27" s="3"/>
      <c r="AC27" s="26"/>
    </row>
    <row r="28" spans="1:29" ht="16.5">
      <c r="A28" s="15"/>
      <c r="B28" s="13" t="s">
        <v>1633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243" t="s">
        <v>969</v>
      </c>
      <c r="O28" s="1244"/>
      <c r="P28" s="14"/>
      <c r="Q28" s="849">
        <v>84</v>
      </c>
      <c r="R28" s="850"/>
      <c r="S28" s="851"/>
      <c r="T28" s="849"/>
      <c r="U28" s="850"/>
      <c r="V28" s="850"/>
      <c r="W28" s="851"/>
      <c r="X28" s="849">
        <f t="shared" ref="X28:X36" si="0">T28*Q28</f>
        <v>0</v>
      </c>
      <c r="Y28" s="850"/>
      <c r="Z28" s="850"/>
      <c r="AA28" s="850"/>
      <c r="AB28" s="850"/>
      <c r="AC28" s="851"/>
    </row>
    <row r="29" spans="1:29" ht="16.5">
      <c r="A29" s="15"/>
      <c r="B29" s="17" t="s">
        <v>1634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243" t="s">
        <v>350</v>
      </c>
      <c r="O29" s="1244"/>
      <c r="P29" s="14"/>
      <c r="Q29" s="846">
        <v>75</v>
      </c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7" t="s">
        <v>1635</v>
      </c>
      <c r="N30" s="1243" t="s">
        <v>350</v>
      </c>
      <c r="O30" s="1244"/>
      <c r="Q30" s="846">
        <v>72</v>
      </c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1271</v>
      </c>
      <c r="N31" s="1243" t="s">
        <v>23</v>
      </c>
      <c r="O31" s="1244"/>
      <c r="Q31" s="846">
        <f>8.72*0.5</f>
        <v>4.3600000000000003</v>
      </c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3" t="s">
        <v>1636</v>
      </c>
      <c r="N32" s="1243" t="s">
        <v>373</v>
      </c>
      <c r="O32" s="1244"/>
      <c r="Q32" s="846">
        <v>10</v>
      </c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5"/>
      <c r="B33" s="18" t="s">
        <v>1637</v>
      </c>
      <c r="N33" s="1243" t="s">
        <v>238</v>
      </c>
      <c r="O33" s="1244"/>
      <c r="Q33" s="846">
        <v>10</v>
      </c>
      <c r="R33" s="847"/>
      <c r="S33" s="848"/>
      <c r="T33" s="849"/>
      <c r="U33" s="850"/>
      <c r="V33" s="850"/>
      <c r="W33" s="851"/>
      <c r="X33" s="849">
        <f t="shared" si="0"/>
        <v>0</v>
      </c>
      <c r="Y33" s="850"/>
      <c r="Z33" s="850"/>
      <c r="AA33" s="850"/>
      <c r="AB33" s="850"/>
      <c r="AC33" s="851"/>
    </row>
    <row r="34" spans="1:30" ht="16.5">
      <c r="A34" s="15"/>
      <c r="B34" s="18" t="s">
        <v>1638</v>
      </c>
      <c r="N34" s="1243" t="s">
        <v>23</v>
      </c>
      <c r="O34" s="1244"/>
      <c r="Q34" s="846">
        <v>8.7200000000000006</v>
      </c>
      <c r="R34" s="847"/>
      <c r="S34" s="848"/>
      <c r="T34" s="849"/>
      <c r="U34" s="850"/>
      <c r="V34" s="850"/>
      <c r="W34" s="851"/>
      <c r="X34" s="849">
        <f t="shared" si="0"/>
        <v>0</v>
      </c>
      <c r="Y34" s="850"/>
      <c r="Z34" s="850"/>
      <c r="AA34" s="850"/>
      <c r="AB34" s="850"/>
      <c r="AC34" s="851"/>
    </row>
    <row r="35" spans="1:30" ht="16.5">
      <c r="A35" s="15"/>
      <c r="B35" s="18" t="s">
        <v>1639</v>
      </c>
      <c r="N35" s="1243" t="s">
        <v>21</v>
      </c>
      <c r="O35" s="1244"/>
      <c r="Q35" s="846">
        <v>11</v>
      </c>
      <c r="R35" s="847"/>
      <c r="S35" s="848"/>
      <c r="T35" s="849"/>
      <c r="U35" s="850"/>
      <c r="V35" s="850"/>
      <c r="W35" s="851"/>
      <c r="X35" s="849">
        <f t="shared" si="0"/>
        <v>0</v>
      </c>
      <c r="Y35" s="850"/>
      <c r="Z35" s="850"/>
      <c r="AA35" s="850"/>
      <c r="AB35" s="850"/>
      <c r="AC35" s="851"/>
    </row>
    <row r="36" spans="1:30" ht="16.5">
      <c r="A36" s="15"/>
      <c r="B36" s="18" t="s">
        <v>1640</v>
      </c>
      <c r="N36" s="1243" t="s">
        <v>112</v>
      </c>
      <c r="O36" s="1244"/>
      <c r="Q36" s="846">
        <v>1.35</v>
      </c>
      <c r="R36" s="847"/>
      <c r="S36" s="848"/>
      <c r="T36" s="849"/>
      <c r="U36" s="850"/>
      <c r="V36" s="850"/>
      <c r="W36" s="851"/>
      <c r="X36" s="849">
        <f t="shared" si="0"/>
        <v>0</v>
      </c>
      <c r="Y36" s="850"/>
      <c r="Z36" s="850"/>
      <c r="AA36" s="850"/>
      <c r="AB36" s="850"/>
      <c r="AC36" s="851"/>
    </row>
    <row r="37" spans="1:30" ht="16.5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0"/>
      <c r="O37" s="30"/>
      <c r="P37" s="21"/>
      <c r="Q37" s="20"/>
      <c r="R37" s="21"/>
      <c r="S37" s="30"/>
      <c r="T37" s="20"/>
      <c r="U37" s="21"/>
      <c r="V37" s="21"/>
      <c r="W37" s="30"/>
      <c r="X37" s="20"/>
      <c r="Y37" s="21"/>
      <c r="Z37" s="21"/>
      <c r="AA37" s="21"/>
      <c r="AB37" s="21"/>
      <c r="AC37" s="30"/>
    </row>
    <row r="38" spans="1:30" ht="16.5">
      <c r="A38" s="1223" t="s">
        <v>1612</v>
      </c>
      <c r="B38" s="1226"/>
      <c r="C38" s="1226"/>
      <c r="D38" s="1226"/>
      <c r="E38" s="1226"/>
      <c r="F38" s="1226"/>
      <c r="G38" s="1226"/>
      <c r="H38" s="1226"/>
      <c r="I38" s="1226"/>
      <c r="J38" s="1226"/>
      <c r="K38" s="1226"/>
      <c r="L38" s="1226"/>
      <c r="M38" s="1226"/>
      <c r="N38" s="1226"/>
      <c r="O38" s="1226"/>
      <c r="P38" s="1226"/>
      <c r="Q38" s="1226"/>
      <c r="R38" s="1226"/>
      <c r="S38" s="1226"/>
      <c r="T38" s="1226"/>
      <c r="U38" s="1226"/>
      <c r="V38" s="1226"/>
      <c r="W38" s="1227"/>
      <c r="X38" s="1228">
        <f>SUM(X28:AC37)</f>
        <v>0</v>
      </c>
      <c r="Y38" s="1226"/>
      <c r="Z38" s="1226"/>
      <c r="AA38" s="1226"/>
      <c r="AB38" s="1226"/>
      <c r="AC38" s="1227"/>
    </row>
    <row r="39" spans="1:30" ht="16.5">
      <c r="A39" s="22" t="s">
        <v>1353</v>
      </c>
      <c r="B39" s="23" t="s">
        <v>1613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 t="s">
        <v>1614</v>
      </c>
      <c r="V39" s="23"/>
      <c r="W39" s="46"/>
      <c r="X39" s="1223">
        <f>X38+X24+X16</f>
        <v>0</v>
      </c>
      <c r="Y39" s="1224"/>
      <c r="Z39" s="1224"/>
      <c r="AA39" s="1224"/>
      <c r="AB39" s="1224"/>
      <c r="AC39" s="1225"/>
      <c r="AD39" s="51">
        <f t="shared" ref="AD39:AD44" si="1">X39</f>
        <v>0</v>
      </c>
    </row>
    <row r="40" spans="1:30" ht="16.5">
      <c r="A40" s="22" t="s">
        <v>1357</v>
      </c>
      <c r="B40" s="23" t="s">
        <v>1615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 t="s">
        <v>1616</v>
      </c>
      <c r="P40" s="23"/>
      <c r="Q40" s="23"/>
      <c r="R40" s="23"/>
      <c r="S40" s="23"/>
      <c r="T40" s="23"/>
      <c r="U40" s="23" t="s">
        <v>1617</v>
      </c>
      <c r="V40" s="23"/>
      <c r="W40" s="46"/>
      <c r="X40" s="1223">
        <f>0.15*X39</f>
        <v>0</v>
      </c>
      <c r="Y40" s="1224"/>
      <c r="Z40" s="1224"/>
      <c r="AA40" s="1224"/>
      <c r="AB40" s="1224"/>
      <c r="AC40" s="1225"/>
      <c r="AD40" s="51">
        <f t="shared" si="1"/>
        <v>0</v>
      </c>
    </row>
    <row r="41" spans="1:30" ht="16.5">
      <c r="A41" s="22" t="s">
        <v>1359</v>
      </c>
      <c r="B41" s="23" t="s">
        <v>1618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 t="s">
        <v>1619</v>
      </c>
      <c r="V41" s="23"/>
      <c r="W41" s="46"/>
      <c r="X41" s="1223">
        <f>0.1*X39</f>
        <v>0</v>
      </c>
      <c r="Y41" s="1224"/>
      <c r="Z41" s="1224"/>
      <c r="AA41" s="1224"/>
      <c r="AB41" s="1224"/>
      <c r="AC41" s="1225"/>
      <c r="AD41" s="51">
        <f t="shared" si="1"/>
        <v>0</v>
      </c>
    </row>
    <row r="42" spans="1:30" ht="16.5">
      <c r="A42" s="22" t="s">
        <v>1620</v>
      </c>
      <c r="B42" s="23" t="s">
        <v>1621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47"/>
      <c r="T42" s="23" t="s">
        <v>1622</v>
      </c>
      <c r="U42" s="23"/>
      <c r="V42" s="48"/>
      <c r="W42" s="14"/>
      <c r="X42" s="1223">
        <f>0.05*(X41+X40+X39)</f>
        <v>0</v>
      </c>
      <c r="Y42" s="1224"/>
      <c r="Z42" s="1224"/>
      <c r="AA42" s="1224"/>
      <c r="AB42" s="1224"/>
      <c r="AC42" s="1225"/>
      <c r="AD42" s="51">
        <f t="shared" si="1"/>
        <v>0</v>
      </c>
    </row>
    <row r="43" spans="1:30" ht="16.5">
      <c r="A43" s="22" t="s">
        <v>1623</v>
      </c>
      <c r="B43" s="24" t="s">
        <v>1624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14"/>
      <c r="T43" s="23" t="s">
        <v>1625</v>
      </c>
      <c r="U43" s="23"/>
      <c r="V43" s="23"/>
      <c r="W43" s="46"/>
      <c r="X43" s="1223">
        <f>X42+X41+X40+X39</f>
        <v>0</v>
      </c>
      <c r="Y43" s="1224"/>
      <c r="Z43" s="1224"/>
      <c r="AA43" s="1224"/>
      <c r="AB43" s="1224"/>
      <c r="AC43" s="1225"/>
      <c r="AD43" s="51">
        <f t="shared" si="1"/>
        <v>0</v>
      </c>
    </row>
    <row r="44" spans="1:30" ht="16.5">
      <c r="A44" s="22" t="s">
        <v>1626</v>
      </c>
      <c r="B44" s="24" t="s">
        <v>1627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 t="s">
        <v>1628</v>
      </c>
      <c r="V44" s="23"/>
      <c r="W44" s="46"/>
      <c r="X44" s="1223">
        <f>X43/F6</f>
        <v>0</v>
      </c>
      <c r="Y44" s="1224"/>
      <c r="Z44" s="1224"/>
      <c r="AA44" s="1224"/>
      <c r="AB44" s="1224"/>
      <c r="AC44" s="1225"/>
      <c r="AD44" s="51">
        <f t="shared" si="1"/>
        <v>0</v>
      </c>
    </row>
  </sheetData>
  <mergeCells count="106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N21:O21"/>
    <mergeCell ref="Q21:S21"/>
    <mergeCell ref="T21:W21"/>
    <mergeCell ref="X21:AC21"/>
    <mergeCell ref="N22:O22"/>
    <mergeCell ref="Q22:S22"/>
    <mergeCell ref="T22:W22"/>
    <mergeCell ref="X22:AC22"/>
    <mergeCell ref="N23:O23"/>
    <mergeCell ref="Q23:S23"/>
    <mergeCell ref="T23:W23"/>
    <mergeCell ref="X23:AC23"/>
    <mergeCell ref="A24:W24"/>
    <mergeCell ref="X24:AC24"/>
    <mergeCell ref="B25:M25"/>
    <mergeCell ref="N25:P25"/>
    <mergeCell ref="Q25:S25"/>
    <mergeCell ref="T25:W25"/>
    <mergeCell ref="X25:AC25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N33:O33"/>
    <mergeCell ref="Q33:S33"/>
    <mergeCell ref="T33:W33"/>
    <mergeCell ref="X33:AC33"/>
    <mergeCell ref="N34:O34"/>
    <mergeCell ref="Q34:S34"/>
    <mergeCell ref="T34:W34"/>
    <mergeCell ref="X34:AC34"/>
    <mergeCell ref="X39:AC39"/>
    <mergeCell ref="X40:AC40"/>
    <mergeCell ref="X41:AC41"/>
    <mergeCell ref="X42:AC42"/>
    <mergeCell ref="X43:AC43"/>
    <mergeCell ref="X44:AC44"/>
    <mergeCell ref="N35:O35"/>
    <mergeCell ref="Q35:S35"/>
    <mergeCell ref="T35:W35"/>
    <mergeCell ref="X35:AC35"/>
    <mergeCell ref="N36:O36"/>
    <mergeCell ref="Q36:S36"/>
    <mergeCell ref="T36:W36"/>
    <mergeCell ref="X36:AC36"/>
    <mergeCell ref="A38:W38"/>
    <mergeCell ref="X38:AC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42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>
        <f>'POW COVER'!B40</f>
        <v>1047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COVER'!D40</f>
        <v>Steel Works ( support ) ( 6.5m )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COVER'!M40</f>
        <v>18</v>
      </c>
      <c r="G6" s="3" t="str">
        <f>'POW COVER'!O40</f>
        <v>sets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0.1</v>
      </c>
      <c r="G7" s="7" t="str">
        <f>""&amp;G6&amp;" per hour"</f>
        <v>sets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MAX(Q12:S15,Q20:S22)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>
        <f>T15*Q15*O15</f>
        <v>0</v>
      </c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5"/>
      <c r="B20" s="13" t="s">
        <v>179</v>
      </c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43"/>
      <c r="O20" s="1244"/>
      <c r="P20" s="14"/>
      <c r="Q20" s="846"/>
      <c r="R20" s="847"/>
      <c r="S20" s="848"/>
      <c r="T20" s="1245"/>
      <c r="U20" s="1246"/>
      <c r="V20" s="1246"/>
      <c r="W20" s="1247"/>
      <c r="X20" s="849">
        <f>T20*Q20*N20</f>
        <v>0</v>
      </c>
      <c r="Y20" s="850"/>
      <c r="Z20" s="850"/>
      <c r="AA20" s="850"/>
      <c r="AB20" s="850"/>
      <c r="AC20" s="851"/>
    </row>
    <row r="21" spans="1:29" ht="16.5">
      <c r="A21" s="15"/>
      <c r="B21" s="13" t="s">
        <v>1641</v>
      </c>
      <c r="C21" s="14"/>
      <c r="D21" s="52"/>
      <c r="E21" s="52"/>
      <c r="F21" s="52"/>
      <c r="G21" s="52"/>
      <c r="H21" s="52"/>
      <c r="I21" s="14"/>
      <c r="J21" s="14"/>
      <c r="K21" s="14"/>
      <c r="L21" s="14"/>
      <c r="M21" s="14"/>
      <c r="N21" s="29"/>
      <c r="O21" s="27"/>
      <c r="P21" s="14"/>
      <c r="Q21" s="38"/>
      <c r="R21" s="39"/>
      <c r="S21" s="45"/>
      <c r="T21" s="53"/>
      <c r="U21" s="54"/>
      <c r="V21" s="54"/>
      <c r="W21" s="55"/>
      <c r="X21" s="849">
        <f>T21*Q21*N21</f>
        <v>0</v>
      </c>
      <c r="Y21" s="850"/>
      <c r="Z21" s="850"/>
      <c r="AA21" s="850"/>
      <c r="AB21" s="850"/>
      <c r="AC21" s="851"/>
    </row>
    <row r="22" spans="1:29" ht="16.5">
      <c r="A22" s="15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243"/>
      <c r="O22" s="1244"/>
      <c r="P22" s="14"/>
      <c r="Q22" s="846"/>
      <c r="R22" s="847"/>
      <c r="S22" s="848"/>
      <c r="T22" s="1245"/>
      <c r="U22" s="1246"/>
      <c r="V22" s="1246"/>
      <c r="W22" s="1247"/>
      <c r="X22" s="849"/>
      <c r="Y22" s="850"/>
      <c r="Z22" s="850"/>
      <c r="AA22" s="850"/>
      <c r="AB22" s="850"/>
      <c r="AC22" s="851"/>
    </row>
    <row r="23" spans="1:29" ht="16.5">
      <c r="A23" s="1223" t="s">
        <v>1607</v>
      </c>
      <c r="B23" s="1224"/>
      <c r="C23" s="1224"/>
      <c r="D23" s="1224"/>
      <c r="E23" s="1224"/>
      <c r="F23" s="1224"/>
      <c r="G23" s="1224"/>
      <c r="H23" s="1224"/>
      <c r="I23" s="1224"/>
      <c r="J23" s="1224"/>
      <c r="K23" s="1224"/>
      <c r="L23" s="1224"/>
      <c r="M23" s="1224"/>
      <c r="N23" s="1224"/>
      <c r="O23" s="1224"/>
      <c r="P23" s="1224"/>
      <c r="Q23" s="1224"/>
      <c r="R23" s="1224"/>
      <c r="S23" s="1224"/>
      <c r="T23" s="1224"/>
      <c r="U23" s="1224"/>
      <c r="V23" s="1224"/>
      <c r="W23" s="1225"/>
      <c r="X23" s="1223">
        <f>SUM(X20:AC22)</f>
        <v>0</v>
      </c>
      <c r="Y23" s="1224"/>
      <c r="Z23" s="1224"/>
      <c r="AA23" s="1224"/>
      <c r="AB23" s="1224"/>
      <c r="AC23" s="1225"/>
    </row>
    <row r="24" spans="1:29">
      <c r="A24" s="9"/>
      <c r="B24" s="1229" t="s">
        <v>1608</v>
      </c>
      <c r="C24" s="1230"/>
      <c r="D24" s="1230"/>
      <c r="E24" s="1230"/>
      <c r="F24" s="1230"/>
      <c r="G24" s="1230"/>
      <c r="H24" s="1230"/>
      <c r="I24" s="1230"/>
      <c r="J24" s="1230"/>
      <c r="K24" s="1230"/>
      <c r="L24" s="1230"/>
      <c r="M24" s="1231"/>
      <c r="N24" s="1232" t="s">
        <v>1609</v>
      </c>
      <c r="O24" s="1233"/>
      <c r="P24" s="1234"/>
      <c r="Q24" s="1229" t="s">
        <v>1592</v>
      </c>
      <c r="R24" s="1230"/>
      <c r="S24" s="1231"/>
      <c r="T24" s="1229" t="s">
        <v>1610</v>
      </c>
      <c r="U24" s="1230"/>
      <c r="V24" s="1230"/>
      <c r="W24" s="1231"/>
      <c r="X24" s="1229" t="s">
        <v>1599</v>
      </c>
      <c r="Y24" s="1230"/>
      <c r="Z24" s="1230"/>
      <c r="AA24" s="1230"/>
      <c r="AB24" s="1230"/>
      <c r="AC24" s="1231"/>
    </row>
    <row r="25" spans="1:29" ht="16.5">
      <c r="A25" s="15" t="s">
        <v>1350</v>
      </c>
      <c r="B25" s="11" t="s">
        <v>1611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1"/>
      <c r="O25" s="25"/>
      <c r="P25" s="12"/>
      <c r="Q25" s="32"/>
      <c r="R25" s="33"/>
      <c r="S25" s="44"/>
      <c r="T25" s="34"/>
      <c r="U25" s="35"/>
      <c r="V25" s="35"/>
      <c r="W25" s="36"/>
      <c r="X25" s="37"/>
      <c r="Y25" s="50"/>
      <c r="Z25" s="50"/>
      <c r="AA25" s="50"/>
      <c r="AB25" s="50"/>
      <c r="AC25" s="25"/>
    </row>
    <row r="26" spans="1:29" ht="16.5">
      <c r="A26" s="15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3"/>
      <c r="O26" s="26"/>
      <c r="P26" s="14"/>
      <c r="Q26" s="38"/>
      <c r="R26" s="39"/>
      <c r="S26" s="45"/>
      <c r="T26" s="40"/>
      <c r="U26" s="41"/>
      <c r="V26" s="41"/>
      <c r="W26" s="42"/>
      <c r="X26" s="43"/>
      <c r="Y26" s="3"/>
      <c r="Z26" s="3"/>
      <c r="AA26" s="3"/>
      <c r="AB26" s="3"/>
      <c r="AC26" s="26"/>
    </row>
    <row r="27" spans="1:29" ht="16.5">
      <c r="A27" s="15"/>
      <c r="B27" s="13" t="s">
        <v>1642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243" t="s">
        <v>350</v>
      </c>
      <c r="O27" s="1244"/>
      <c r="P27" s="14"/>
      <c r="Q27" s="849"/>
      <c r="R27" s="850"/>
      <c r="S27" s="851"/>
      <c r="T27" s="849"/>
      <c r="U27" s="850"/>
      <c r="V27" s="850"/>
      <c r="W27" s="851"/>
      <c r="X27" s="849">
        <f t="shared" ref="X27:X34" si="0">T27*Q27</f>
        <v>0</v>
      </c>
      <c r="Y27" s="850"/>
      <c r="Z27" s="850"/>
      <c r="AA27" s="850"/>
      <c r="AB27" s="850"/>
      <c r="AC27" s="851"/>
    </row>
    <row r="28" spans="1:29" ht="16.5">
      <c r="A28" s="15"/>
      <c r="B28" s="13" t="s">
        <v>1643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243" t="s">
        <v>350</v>
      </c>
      <c r="O28" s="1244"/>
      <c r="P28" s="14"/>
      <c r="Q28" s="846"/>
      <c r="R28" s="847"/>
      <c r="S28" s="848"/>
      <c r="T28" s="849"/>
      <c r="U28" s="850"/>
      <c r="V28" s="850"/>
      <c r="W28" s="851"/>
      <c r="X28" s="849">
        <f t="shared" si="0"/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1644</v>
      </c>
      <c r="N29" s="1243" t="s">
        <v>350</v>
      </c>
      <c r="O29" s="1244"/>
      <c r="Q29" s="846"/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3" t="s">
        <v>1645</v>
      </c>
      <c r="N30" s="1243" t="s">
        <v>350</v>
      </c>
      <c r="O30" s="1244"/>
      <c r="Q30" s="846"/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1646</v>
      </c>
      <c r="N31" s="1243" t="s">
        <v>350</v>
      </c>
      <c r="O31" s="1244"/>
      <c r="Q31" s="846"/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3" t="s">
        <v>1647</v>
      </c>
      <c r="N32" s="1243" t="s">
        <v>350</v>
      </c>
      <c r="O32" s="1244"/>
      <c r="Q32" s="846"/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5"/>
      <c r="B33" s="18" t="s">
        <v>1648</v>
      </c>
      <c r="N33" s="1243" t="s">
        <v>238</v>
      </c>
      <c r="O33" s="1244"/>
      <c r="Q33" s="846"/>
      <c r="R33" s="847"/>
      <c r="S33" s="848"/>
      <c r="T33" s="849"/>
      <c r="U33" s="850"/>
      <c r="V33" s="850"/>
      <c r="W33" s="851"/>
      <c r="X33" s="849">
        <f t="shared" si="0"/>
        <v>0</v>
      </c>
      <c r="Y33" s="850"/>
      <c r="Z33" s="850"/>
      <c r="AA33" s="850"/>
      <c r="AB33" s="850"/>
      <c r="AC33" s="851"/>
    </row>
    <row r="34" spans="1:30" ht="16.5">
      <c r="A34" s="15"/>
      <c r="B34" s="18" t="s">
        <v>1649</v>
      </c>
      <c r="N34" s="1243" t="s">
        <v>21</v>
      </c>
      <c r="O34" s="1244"/>
      <c r="Q34" s="846"/>
      <c r="R34" s="847"/>
      <c r="S34" s="848"/>
      <c r="T34" s="849"/>
      <c r="U34" s="850"/>
      <c r="V34" s="850"/>
      <c r="W34" s="851"/>
      <c r="X34" s="849">
        <f t="shared" si="0"/>
        <v>0</v>
      </c>
      <c r="Y34" s="850"/>
      <c r="Z34" s="850"/>
      <c r="AA34" s="850"/>
      <c r="AB34" s="850"/>
      <c r="AC34" s="851"/>
    </row>
    <row r="35" spans="1:30" ht="16.5">
      <c r="A35" s="1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0"/>
      <c r="O35" s="30"/>
      <c r="P35" s="21"/>
      <c r="Q35" s="20"/>
      <c r="R35" s="21"/>
      <c r="S35" s="30"/>
      <c r="T35" s="20"/>
      <c r="U35" s="21"/>
      <c r="V35" s="21"/>
      <c r="W35" s="30"/>
      <c r="X35" s="20"/>
      <c r="Y35" s="21"/>
      <c r="Z35" s="21"/>
      <c r="AA35" s="21"/>
      <c r="AB35" s="21"/>
      <c r="AC35" s="30"/>
    </row>
    <row r="36" spans="1:30" ht="16.5">
      <c r="A36" s="1223" t="s">
        <v>1612</v>
      </c>
      <c r="B36" s="1226"/>
      <c r="C36" s="1226"/>
      <c r="D36" s="1226"/>
      <c r="E36" s="1226"/>
      <c r="F36" s="1226"/>
      <c r="G36" s="1226"/>
      <c r="H36" s="1226"/>
      <c r="I36" s="1226"/>
      <c r="J36" s="1226"/>
      <c r="K36" s="1226"/>
      <c r="L36" s="1226"/>
      <c r="M36" s="1226"/>
      <c r="N36" s="1226"/>
      <c r="O36" s="1226"/>
      <c r="P36" s="1226"/>
      <c r="Q36" s="1226"/>
      <c r="R36" s="1226"/>
      <c r="S36" s="1226"/>
      <c r="T36" s="1226"/>
      <c r="U36" s="1226"/>
      <c r="V36" s="1226"/>
      <c r="W36" s="1227"/>
      <c r="X36" s="1228">
        <f>SUM(X27:AC35)</f>
        <v>0</v>
      </c>
      <c r="Y36" s="1226"/>
      <c r="Z36" s="1226"/>
      <c r="AA36" s="1226"/>
      <c r="AB36" s="1226"/>
      <c r="AC36" s="1227"/>
    </row>
    <row r="37" spans="1:30" ht="16.5">
      <c r="A37" s="22" t="s">
        <v>1353</v>
      </c>
      <c r="B37" s="23" t="s">
        <v>1613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1614</v>
      </c>
      <c r="V37" s="23"/>
      <c r="W37" s="46"/>
      <c r="X37" s="1223">
        <f>X36+X23+X16</f>
        <v>0</v>
      </c>
      <c r="Y37" s="1224"/>
      <c r="Z37" s="1224"/>
      <c r="AA37" s="1224"/>
      <c r="AB37" s="1224"/>
      <c r="AC37" s="1225"/>
      <c r="AD37" s="51">
        <f t="shared" ref="AD37:AD42" si="1">X37</f>
        <v>0</v>
      </c>
    </row>
    <row r="38" spans="1:30" ht="16.5">
      <c r="A38" s="22" t="s">
        <v>1357</v>
      </c>
      <c r="B38" s="23" t="s">
        <v>1615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 t="s">
        <v>1616</v>
      </c>
      <c r="P38" s="23"/>
      <c r="Q38" s="23"/>
      <c r="R38" s="23"/>
      <c r="S38" s="23"/>
      <c r="T38" s="23"/>
      <c r="U38" s="23" t="s">
        <v>1617</v>
      </c>
      <c r="V38" s="23"/>
      <c r="W38" s="46"/>
      <c r="X38" s="1223">
        <f>0.15*X37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1359</v>
      </c>
      <c r="B39" s="23" t="s">
        <v>1618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 t="s">
        <v>1619</v>
      </c>
      <c r="V39" s="23"/>
      <c r="W39" s="46"/>
      <c r="X39" s="1223">
        <f>0.1*X37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1620</v>
      </c>
      <c r="B40" s="23" t="s">
        <v>1621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47"/>
      <c r="T40" s="23" t="s">
        <v>1622</v>
      </c>
      <c r="U40" s="23"/>
      <c r="V40" s="48"/>
      <c r="W40" s="14"/>
      <c r="X40" s="1223">
        <f>0.05*(X39+X38+X37)</f>
        <v>0</v>
      </c>
      <c r="Y40" s="1224"/>
      <c r="Z40" s="1224"/>
      <c r="AA40" s="1224"/>
      <c r="AB40" s="1224"/>
      <c r="AC40" s="1225"/>
      <c r="AD40" s="51">
        <f t="shared" si="1"/>
        <v>0</v>
      </c>
    </row>
    <row r="41" spans="1:30" ht="16.5">
      <c r="A41" s="22" t="s">
        <v>1623</v>
      </c>
      <c r="B41" s="24" t="s">
        <v>1624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14"/>
      <c r="T41" s="23" t="s">
        <v>1625</v>
      </c>
      <c r="U41" s="23"/>
      <c r="V41" s="23"/>
      <c r="W41" s="46"/>
      <c r="X41" s="1223">
        <f>X40+X39+X38+X37</f>
        <v>0</v>
      </c>
      <c r="Y41" s="1224"/>
      <c r="Z41" s="1224"/>
      <c r="AA41" s="1224"/>
      <c r="AB41" s="1224"/>
      <c r="AC41" s="1225"/>
      <c r="AD41" s="51">
        <f t="shared" si="1"/>
        <v>0</v>
      </c>
    </row>
    <row r="42" spans="1:30" ht="16.5">
      <c r="A42" s="22" t="s">
        <v>1626</v>
      </c>
      <c r="B42" s="24" t="s">
        <v>1627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 t="s">
        <v>1628</v>
      </c>
      <c r="V42" s="23"/>
      <c r="W42" s="46"/>
      <c r="X42" s="1223">
        <f>X41/F6</f>
        <v>0</v>
      </c>
      <c r="Y42" s="1224"/>
      <c r="Z42" s="1224"/>
      <c r="AA42" s="1224"/>
      <c r="AB42" s="1224"/>
      <c r="AC42" s="1225"/>
      <c r="AD42" s="51">
        <f t="shared" si="1"/>
        <v>0</v>
      </c>
    </row>
  </sheetData>
  <mergeCells count="95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X21:AC21"/>
    <mergeCell ref="N22:O22"/>
    <mergeCell ref="Q22:S22"/>
    <mergeCell ref="T22:W22"/>
    <mergeCell ref="X22:AC22"/>
    <mergeCell ref="A23:W23"/>
    <mergeCell ref="X23:AC23"/>
    <mergeCell ref="B24:M24"/>
    <mergeCell ref="N24:P24"/>
    <mergeCell ref="Q24:S24"/>
    <mergeCell ref="T24:W24"/>
    <mergeCell ref="X24:AC24"/>
    <mergeCell ref="N27:O27"/>
    <mergeCell ref="Q27:S27"/>
    <mergeCell ref="T27:W27"/>
    <mergeCell ref="X27:AC27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N33:O33"/>
    <mergeCell ref="Q33:S33"/>
    <mergeCell ref="T33:W33"/>
    <mergeCell ref="X33:AC33"/>
    <mergeCell ref="N34:O34"/>
    <mergeCell ref="Q34:S34"/>
    <mergeCell ref="T34:W34"/>
    <mergeCell ref="X34:AC34"/>
    <mergeCell ref="X40:AC40"/>
    <mergeCell ref="X41:AC41"/>
    <mergeCell ref="X42:AC42"/>
    <mergeCell ref="A36:W36"/>
    <mergeCell ref="X36:AC36"/>
    <mergeCell ref="X37:AC37"/>
    <mergeCell ref="X38:AC38"/>
    <mergeCell ref="X39:AC3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2"/>
  <sheetViews>
    <sheetView topLeftCell="A16"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 t="str">
        <f>'POW COVER'!B41</f>
        <v>1047(1)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COVER'!D41</f>
        <v>Steel Works ( GIRT 1 ) ( 13.41m )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COVER'!M41</f>
        <v>17</v>
      </c>
      <c r="G6" s="3" t="str">
        <f>'POW COVER'!O41</f>
        <v>sets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15</v>
      </c>
      <c r="G7" s="7" t="str">
        <f>""&amp;G6&amp;" per hour"</f>
        <v>sets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MAX(Q12:S15,Q20:S23)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>
        <f>T15*Q15*O15</f>
        <v>0</v>
      </c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5"/>
      <c r="B20" s="13" t="s">
        <v>179</v>
      </c>
      <c r="C20" s="14"/>
      <c r="D20" s="52"/>
      <c r="E20" s="52"/>
      <c r="F20" s="52"/>
      <c r="G20" s="52"/>
      <c r="H20" s="52"/>
      <c r="I20" s="14"/>
      <c r="J20" s="14"/>
      <c r="K20" s="14"/>
      <c r="L20" s="14"/>
      <c r="M20" s="14"/>
      <c r="N20" s="1243"/>
      <c r="O20" s="1244"/>
      <c r="P20" s="14"/>
      <c r="Q20" s="846"/>
      <c r="R20" s="847"/>
      <c r="S20" s="848"/>
      <c r="T20" s="1245"/>
      <c r="U20" s="1246"/>
      <c r="V20" s="1246"/>
      <c r="W20" s="1247"/>
      <c r="X20" s="849">
        <f>T20*Q20*N20</f>
        <v>0</v>
      </c>
      <c r="Y20" s="850"/>
      <c r="Z20" s="850"/>
      <c r="AA20" s="850"/>
      <c r="AB20" s="850"/>
      <c r="AC20" s="851"/>
    </row>
    <row r="21" spans="1:29" ht="16.5">
      <c r="A21" s="15"/>
      <c r="B21" s="13" t="s">
        <v>1650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243"/>
      <c r="O21" s="1244"/>
      <c r="P21" s="14"/>
      <c r="Q21" s="846"/>
      <c r="R21" s="847"/>
      <c r="S21" s="848"/>
      <c r="T21" s="1245"/>
      <c r="U21" s="1246"/>
      <c r="V21" s="1246"/>
      <c r="W21" s="1247"/>
      <c r="X21" s="849">
        <f>T21*Q21*N21</f>
        <v>0</v>
      </c>
      <c r="Y21" s="850"/>
      <c r="Z21" s="850"/>
      <c r="AA21" s="850"/>
      <c r="AB21" s="850"/>
      <c r="AC21" s="851"/>
    </row>
    <row r="22" spans="1:29" ht="16.5">
      <c r="A22" s="15"/>
      <c r="B22" s="13" t="s">
        <v>1548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243"/>
      <c r="O22" s="1244"/>
      <c r="P22" s="14"/>
      <c r="Q22" s="846"/>
      <c r="R22" s="847"/>
      <c r="S22" s="848"/>
      <c r="T22" s="1245"/>
      <c r="U22" s="1246"/>
      <c r="V22" s="1246"/>
      <c r="W22" s="1247"/>
      <c r="X22" s="849">
        <f>T22*Q22*N22</f>
        <v>0</v>
      </c>
      <c r="Y22" s="850"/>
      <c r="Z22" s="850"/>
      <c r="AA22" s="850"/>
      <c r="AB22" s="850"/>
      <c r="AC22" s="851"/>
    </row>
    <row r="23" spans="1:29" ht="16.5">
      <c r="A23" s="16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266"/>
      <c r="O23" s="1267"/>
      <c r="P23" s="14"/>
      <c r="Q23" s="1268"/>
      <c r="R23" s="1269"/>
      <c r="S23" s="1270"/>
      <c r="T23" s="1274"/>
      <c r="U23" s="1275"/>
      <c r="V23" s="1275"/>
      <c r="W23" s="1276"/>
      <c r="X23" s="1271"/>
      <c r="Y23" s="1272"/>
      <c r="Z23" s="1272"/>
      <c r="AA23" s="1272"/>
      <c r="AB23" s="1272"/>
      <c r="AC23" s="1273"/>
    </row>
    <row r="24" spans="1:29" ht="16.5">
      <c r="A24" s="1223" t="s">
        <v>1607</v>
      </c>
      <c r="B24" s="1224"/>
      <c r="C24" s="1224"/>
      <c r="D24" s="1224"/>
      <c r="E24" s="1224"/>
      <c r="F24" s="1224"/>
      <c r="G24" s="1224"/>
      <c r="H24" s="1224"/>
      <c r="I24" s="1224"/>
      <c r="J24" s="1224"/>
      <c r="K24" s="1224"/>
      <c r="L24" s="1224"/>
      <c r="M24" s="1224"/>
      <c r="N24" s="1224"/>
      <c r="O24" s="1224"/>
      <c r="P24" s="1224"/>
      <c r="Q24" s="1224"/>
      <c r="R24" s="1224"/>
      <c r="S24" s="1224"/>
      <c r="T24" s="1224"/>
      <c r="U24" s="1224"/>
      <c r="V24" s="1224"/>
      <c r="W24" s="1225"/>
      <c r="X24" s="1223">
        <f>SUM(X20:AC23)</f>
        <v>0</v>
      </c>
      <c r="Y24" s="1224"/>
      <c r="Z24" s="1224"/>
      <c r="AA24" s="1224"/>
      <c r="AB24" s="1224"/>
      <c r="AC24" s="1225"/>
    </row>
    <row r="25" spans="1:29">
      <c r="A25" s="9"/>
      <c r="B25" s="1229" t="s">
        <v>1608</v>
      </c>
      <c r="C25" s="1230"/>
      <c r="D25" s="1230"/>
      <c r="E25" s="1230"/>
      <c r="F25" s="1230"/>
      <c r="G25" s="1230"/>
      <c r="H25" s="1230"/>
      <c r="I25" s="1230"/>
      <c r="J25" s="1230"/>
      <c r="K25" s="1230"/>
      <c r="L25" s="1230"/>
      <c r="M25" s="1231"/>
      <c r="N25" s="1232" t="s">
        <v>1609</v>
      </c>
      <c r="O25" s="1233"/>
      <c r="P25" s="1234"/>
      <c r="Q25" s="1229" t="s">
        <v>1592</v>
      </c>
      <c r="R25" s="1230"/>
      <c r="S25" s="1231"/>
      <c r="T25" s="1229" t="s">
        <v>1610</v>
      </c>
      <c r="U25" s="1230"/>
      <c r="V25" s="1230"/>
      <c r="W25" s="1231"/>
      <c r="X25" s="1229" t="s">
        <v>1599</v>
      </c>
      <c r="Y25" s="1230"/>
      <c r="Z25" s="1230"/>
      <c r="AA25" s="1230"/>
      <c r="AB25" s="1230"/>
      <c r="AC25" s="1231"/>
    </row>
    <row r="26" spans="1:29" ht="16.5">
      <c r="A26" s="15" t="s">
        <v>1350</v>
      </c>
      <c r="B26" s="11" t="s">
        <v>1611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1"/>
      <c r="O26" s="25"/>
      <c r="P26" s="12"/>
      <c r="Q26" s="32"/>
      <c r="R26" s="33"/>
      <c r="S26" s="44"/>
      <c r="T26" s="34"/>
      <c r="U26" s="35"/>
      <c r="V26" s="35"/>
      <c r="W26" s="36"/>
      <c r="X26" s="37"/>
      <c r="Y26" s="50"/>
      <c r="Z26" s="50"/>
      <c r="AA26" s="50"/>
      <c r="AB26" s="50"/>
      <c r="AC26" s="25"/>
    </row>
    <row r="27" spans="1:29" ht="16.5">
      <c r="A27" s="15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3"/>
      <c r="O27" s="26"/>
      <c r="P27" s="14"/>
      <c r="Q27" s="38"/>
      <c r="R27" s="39"/>
      <c r="S27" s="45"/>
      <c r="T27" s="40"/>
      <c r="U27" s="41"/>
      <c r="V27" s="41"/>
      <c r="W27" s="42"/>
      <c r="X27" s="43"/>
      <c r="Y27" s="3"/>
      <c r="Z27" s="3"/>
      <c r="AA27" s="3"/>
      <c r="AB27" s="3"/>
      <c r="AC27" s="26"/>
    </row>
    <row r="28" spans="1:29" ht="16.5">
      <c r="A28" s="15"/>
      <c r="B28" s="13" t="s">
        <v>1651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243" t="s">
        <v>299</v>
      </c>
      <c r="O28" s="1244"/>
      <c r="P28" s="14"/>
      <c r="Q28" s="849"/>
      <c r="R28" s="850"/>
      <c r="S28" s="851"/>
      <c r="T28" s="849"/>
      <c r="U28" s="850"/>
      <c r="V28" s="850"/>
      <c r="W28" s="851"/>
      <c r="X28" s="849">
        <f t="shared" ref="X28:X34" si="0">T28*Q28</f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1652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243" t="s">
        <v>299</v>
      </c>
      <c r="O29" s="1244"/>
      <c r="P29" s="14"/>
      <c r="Q29" s="846"/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7" t="s">
        <v>1653</v>
      </c>
      <c r="N30" s="1243" t="s">
        <v>350</v>
      </c>
      <c r="O30" s="1244"/>
      <c r="Q30" s="846"/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1654</v>
      </c>
      <c r="N31" s="1243" t="s">
        <v>21</v>
      </c>
      <c r="O31" s="1244"/>
      <c r="Q31" s="846"/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3" t="s">
        <v>687</v>
      </c>
      <c r="N32" s="1243" t="s">
        <v>691</v>
      </c>
      <c r="O32" s="1244"/>
      <c r="Q32" s="846"/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5"/>
      <c r="B33" s="18" t="s">
        <v>1655</v>
      </c>
      <c r="N33" s="1243" t="s">
        <v>1656</v>
      </c>
      <c r="O33" s="1244"/>
      <c r="Q33" s="846"/>
      <c r="R33" s="847"/>
      <c r="S33" s="848"/>
      <c r="T33" s="849"/>
      <c r="U33" s="850"/>
      <c r="V33" s="850"/>
      <c r="W33" s="851"/>
      <c r="X33" s="849">
        <f t="shared" si="0"/>
        <v>0</v>
      </c>
      <c r="Y33" s="850"/>
      <c r="Z33" s="850"/>
      <c r="AA33" s="850"/>
      <c r="AB33" s="850"/>
      <c r="AC33" s="851"/>
    </row>
    <row r="34" spans="1:30" ht="16.5">
      <c r="A34" s="15"/>
      <c r="B34" s="18" t="s">
        <v>1657</v>
      </c>
      <c r="N34" s="1243" t="s">
        <v>373</v>
      </c>
      <c r="O34" s="1244"/>
      <c r="Q34" s="846"/>
      <c r="R34" s="847"/>
      <c r="S34" s="848"/>
      <c r="T34" s="849"/>
      <c r="U34" s="850"/>
      <c r="V34" s="850"/>
      <c r="W34" s="851"/>
      <c r="X34" s="849">
        <f t="shared" si="0"/>
        <v>0</v>
      </c>
      <c r="Y34" s="850"/>
      <c r="Z34" s="850"/>
      <c r="AA34" s="850"/>
      <c r="AB34" s="850"/>
      <c r="AC34" s="851"/>
    </row>
    <row r="35" spans="1:30" ht="16.5">
      <c r="A35" s="1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0"/>
      <c r="O35" s="30"/>
      <c r="P35" s="21"/>
      <c r="Q35" s="20"/>
      <c r="R35" s="21"/>
      <c r="S35" s="30"/>
      <c r="T35" s="20"/>
      <c r="U35" s="21"/>
      <c r="V35" s="21"/>
      <c r="W35" s="30"/>
      <c r="X35" s="20"/>
      <c r="Y35" s="21"/>
      <c r="Z35" s="21"/>
      <c r="AA35" s="21"/>
      <c r="AB35" s="21"/>
      <c r="AC35" s="30"/>
    </row>
    <row r="36" spans="1:30" ht="16.5">
      <c r="A36" s="1223" t="s">
        <v>1612</v>
      </c>
      <c r="B36" s="1226"/>
      <c r="C36" s="1226"/>
      <c r="D36" s="1226"/>
      <c r="E36" s="1226"/>
      <c r="F36" s="1226"/>
      <c r="G36" s="1226"/>
      <c r="H36" s="1226"/>
      <c r="I36" s="1226"/>
      <c r="J36" s="1226"/>
      <c r="K36" s="1226"/>
      <c r="L36" s="1226"/>
      <c r="M36" s="1226"/>
      <c r="N36" s="1226"/>
      <c r="O36" s="1226"/>
      <c r="P36" s="1226"/>
      <c r="Q36" s="1226"/>
      <c r="R36" s="1226"/>
      <c r="S36" s="1226"/>
      <c r="T36" s="1226"/>
      <c r="U36" s="1226"/>
      <c r="V36" s="1226"/>
      <c r="W36" s="1227"/>
      <c r="X36" s="1228">
        <f>SUM(X28:AC35)</f>
        <v>0</v>
      </c>
      <c r="Y36" s="1226"/>
      <c r="Z36" s="1226"/>
      <c r="AA36" s="1226"/>
      <c r="AB36" s="1226"/>
      <c r="AC36" s="1227"/>
    </row>
    <row r="37" spans="1:30" ht="16.5">
      <c r="A37" s="22" t="s">
        <v>1353</v>
      </c>
      <c r="B37" s="23" t="s">
        <v>1613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1614</v>
      </c>
      <c r="V37" s="23"/>
      <c r="W37" s="46"/>
      <c r="X37" s="1223">
        <f>X36+X24+X16</f>
        <v>0</v>
      </c>
      <c r="Y37" s="1224"/>
      <c r="Z37" s="1224"/>
      <c r="AA37" s="1224"/>
      <c r="AB37" s="1224"/>
      <c r="AC37" s="1225"/>
      <c r="AD37" s="51">
        <f t="shared" ref="AD37:AD42" si="1">X37</f>
        <v>0</v>
      </c>
    </row>
    <row r="38" spans="1:30" ht="16.5">
      <c r="A38" s="22" t="s">
        <v>1357</v>
      </c>
      <c r="B38" s="23" t="s">
        <v>1615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 t="s">
        <v>1616</v>
      </c>
      <c r="P38" s="23"/>
      <c r="Q38" s="23"/>
      <c r="R38" s="23"/>
      <c r="S38" s="23"/>
      <c r="T38" s="23"/>
      <c r="U38" s="23" t="s">
        <v>1617</v>
      </c>
      <c r="V38" s="23"/>
      <c r="W38" s="46"/>
      <c r="X38" s="1223">
        <f>0.15*X37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1359</v>
      </c>
      <c r="B39" s="23" t="s">
        <v>1618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 t="s">
        <v>1619</v>
      </c>
      <c r="V39" s="23"/>
      <c r="W39" s="46"/>
      <c r="X39" s="1223">
        <f>0.1*X37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1620</v>
      </c>
      <c r="B40" s="23" t="s">
        <v>1621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47"/>
      <c r="T40" s="23" t="s">
        <v>1622</v>
      </c>
      <c r="U40" s="23"/>
      <c r="V40" s="48"/>
      <c r="W40" s="14"/>
      <c r="X40" s="1223">
        <f>0.05*(X39+X38+X37)</f>
        <v>0</v>
      </c>
      <c r="Y40" s="1224"/>
      <c r="Z40" s="1224"/>
      <c r="AA40" s="1224"/>
      <c r="AB40" s="1224"/>
      <c r="AC40" s="1225"/>
      <c r="AD40" s="51">
        <f t="shared" si="1"/>
        <v>0</v>
      </c>
    </row>
    <row r="41" spans="1:30" ht="16.5">
      <c r="A41" s="22" t="s">
        <v>1623</v>
      </c>
      <c r="B41" s="24" t="s">
        <v>1624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14"/>
      <c r="T41" s="23" t="s">
        <v>1625</v>
      </c>
      <c r="U41" s="23"/>
      <c r="V41" s="23"/>
      <c r="W41" s="46"/>
      <c r="X41" s="1223">
        <f>X40+X39+X38+X37</f>
        <v>0</v>
      </c>
      <c r="Y41" s="1224"/>
      <c r="Z41" s="1224"/>
      <c r="AA41" s="1224"/>
      <c r="AB41" s="1224"/>
      <c r="AC41" s="1225"/>
      <c r="AD41" s="51">
        <f t="shared" si="1"/>
        <v>0</v>
      </c>
    </row>
    <row r="42" spans="1:30" ht="16.5">
      <c r="A42" s="22" t="s">
        <v>1626</v>
      </c>
      <c r="B42" s="24" t="s">
        <v>1627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 t="s">
        <v>1628</v>
      </c>
      <c r="V42" s="23"/>
      <c r="W42" s="46"/>
      <c r="X42" s="1223">
        <f>X41/F6</f>
        <v>0</v>
      </c>
      <c r="Y42" s="1224"/>
      <c r="Z42" s="1224"/>
      <c r="AA42" s="1224"/>
      <c r="AB42" s="1224"/>
      <c r="AC42" s="1225"/>
      <c r="AD42" s="51">
        <f t="shared" si="1"/>
        <v>0</v>
      </c>
    </row>
  </sheetData>
  <mergeCells count="98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N21:O21"/>
    <mergeCell ref="Q21:S21"/>
    <mergeCell ref="T21:W21"/>
    <mergeCell ref="X21:AC21"/>
    <mergeCell ref="N22:O22"/>
    <mergeCell ref="Q22:S22"/>
    <mergeCell ref="T22:W22"/>
    <mergeCell ref="X22:AC22"/>
    <mergeCell ref="N23:O23"/>
    <mergeCell ref="Q23:S23"/>
    <mergeCell ref="T23:W23"/>
    <mergeCell ref="X23:AC23"/>
    <mergeCell ref="A24:W24"/>
    <mergeCell ref="X24:AC24"/>
    <mergeCell ref="B25:M25"/>
    <mergeCell ref="N25:P25"/>
    <mergeCell ref="Q25:S25"/>
    <mergeCell ref="T25:W25"/>
    <mergeCell ref="X25:AC25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N33:O33"/>
    <mergeCell ref="Q33:S33"/>
    <mergeCell ref="T33:W33"/>
    <mergeCell ref="X33:AC33"/>
    <mergeCell ref="N34:O34"/>
    <mergeCell ref="Q34:S34"/>
    <mergeCell ref="T34:W34"/>
    <mergeCell ref="X34:AC34"/>
    <mergeCell ref="A36:W36"/>
    <mergeCell ref="X36:AC36"/>
    <mergeCell ref="X42:AC42"/>
    <mergeCell ref="X37:AC37"/>
    <mergeCell ref="X38:AC38"/>
    <mergeCell ref="X39:AC39"/>
    <mergeCell ref="X40:AC40"/>
    <mergeCell ref="X41:AC4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 t="str">
        <f>'POW COVER'!B42</f>
        <v>1047(2)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COVER'!D42</f>
        <v>Steel Works ( GIRT 2 ) ( 12.13m )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COVER'!M42</f>
        <v>17</v>
      </c>
      <c r="G6" s="3" t="str">
        <f>'POW COVER'!O42</f>
        <v>sets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5</v>
      </c>
      <c r="G7" s="7" t="str">
        <f>""&amp;G6&amp;" per hour"</f>
        <v>sets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/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66"/>
      <c r="O20" s="1267"/>
      <c r="P20" s="14"/>
      <c r="Q20" s="1268"/>
      <c r="R20" s="1269"/>
      <c r="S20" s="1270"/>
      <c r="T20" s="1274"/>
      <c r="U20" s="1275"/>
      <c r="V20" s="1275"/>
      <c r="W20" s="1276"/>
      <c r="X20" s="1271"/>
      <c r="Y20" s="1272"/>
      <c r="Z20" s="1272"/>
      <c r="AA20" s="1272"/>
      <c r="AB20" s="1272"/>
      <c r="AC20" s="1273"/>
    </row>
    <row r="21" spans="1:29" ht="16.5">
      <c r="A21" s="1223" t="s">
        <v>1607</v>
      </c>
      <c r="B21" s="1224"/>
      <c r="C21" s="1224"/>
      <c r="D21" s="1224"/>
      <c r="E21" s="1224"/>
      <c r="F21" s="1224"/>
      <c r="G21" s="1224"/>
      <c r="H21" s="1224"/>
      <c r="I21" s="1224"/>
      <c r="J21" s="1224"/>
      <c r="K21" s="1224"/>
      <c r="L21" s="1224"/>
      <c r="M21" s="1224"/>
      <c r="N21" s="1224"/>
      <c r="O21" s="1224"/>
      <c r="P21" s="1224"/>
      <c r="Q21" s="1224"/>
      <c r="R21" s="1224"/>
      <c r="S21" s="1224"/>
      <c r="T21" s="1224"/>
      <c r="U21" s="1224"/>
      <c r="V21" s="1224"/>
      <c r="W21" s="1225"/>
      <c r="X21" s="1223">
        <f>SUM(X20:AC20)</f>
        <v>0</v>
      </c>
      <c r="Y21" s="1224"/>
      <c r="Z21" s="1224"/>
      <c r="AA21" s="1224"/>
      <c r="AB21" s="1224"/>
      <c r="AC21" s="1225"/>
    </row>
    <row r="22" spans="1:29">
      <c r="A22" s="9"/>
      <c r="B22" s="1229" t="s">
        <v>1608</v>
      </c>
      <c r="C22" s="1230"/>
      <c r="D22" s="1230"/>
      <c r="E22" s="1230"/>
      <c r="F22" s="1230"/>
      <c r="G22" s="1230"/>
      <c r="H22" s="1230"/>
      <c r="I22" s="1230"/>
      <c r="J22" s="1230"/>
      <c r="K22" s="1230"/>
      <c r="L22" s="1230"/>
      <c r="M22" s="1231"/>
      <c r="N22" s="1232" t="s">
        <v>1609</v>
      </c>
      <c r="O22" s="1233"/>
      <c r="P22" s="1234"/>
      <c r="Q22" s="1229" t="s">
        <v>1592</v>
      </c>
      <c r="R22" s="1230"/>
      <c r="S22" s="1231"/>
      <c r="T22" s="1229" t="s">
        <v>1610</v>
      </c>
      <c r="U22" s="1230"/>
      <c r="V22" s="1230"/>
      <c r="W22" s="1231"/>
      <c r="X22" s="1229" t="s">
        <v>1599</v>
      </c>
      <c r="Y22" s="1230"/>
      <c r="Z22" s="1230"/>
      <c r="AA22" s="1230"/>
      <c r="AB22" s="1230"/>
      <c r="AC22" s="1231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43"/>
      <c r="O25" s="1244"/>
      <c r="P25" s="14"/>
      <c r="Q25" s="849"/>
      <c r="R25" s="850"/>
      <c r="S25" s="851"/>
      <c r="T25" s="849"/>
      <c r="U25" s="850"/>
      <c r="V25" s="850"/>
      <c r="W25" s="851"/>
      <c r="X25" s="849">
        <f t="shared" ref="X25:X32" si="0">T25*Q25</f>
        <v>0</v>
      </c>
      <c r="Y25" s="850"/>
      <c r="Z25" s="850"/>
      <c r="AA25" s="850"/>
      <c r="AB25" s="850"/>
      <c r="AC25" s="851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43"/>
      <c r="O26" s="1244"/>
      <c r="P26" s="14"/>
      <c r="Q26" s="846"/>
      <c r="R26" s="847"/>
      <c r="S26" s="848"/>
      <c r="T26" s="849"/>
      <c r="U26" s="850"/>
      <c r="V26" s="850"/>
      <c r="W26" s="851"/>
      <c r="X26" s="849">
        <f t="shared" si="0"/>
        <v>0</v>
      </c>
      <c r="Y26" s="850"/>
      <c r="Z26" s="850"/>
      <c r="AA26" s="850"/>
      <c r="AB26" s="850"/>
      <c r="AC26" s="851"/>
    </row>
    <row r="27" spans="1:29" ht="16.5">
      <c r="A27" s="15"/>
      <c r="B27" s="17" t="s">
        <v>1660</v>
      </c>
      <c r="N27" s="1243"/>
      <c r="O27" s="1244"/>
      <c r="Q27" s="846"/>
      <c r="R27" s="847"/>
      <c r="S27" s="848"/>
      <c r="T27" s="849"/>
      <c r="U27" s="850"/>
      <c r="V27" s="850"/>
      <c r="W27" s="851"/>
      <c r="X27" s="849">
        <f t="shared" si="0"/>
        <v>0</v>
      </c>
      <c r="Y27" s="850"/>
      <c r="Z27" s="850"/>
      <c r="AA27" s="850"/>
      <c r="AB27" s="850"/>
      <c r="AC27" s="851"/>
    </row>
    <row r="28" spans="1:29" ht="16.5">
      <c r="A28" s="15"/>
      <c r="B28" s="13" t="s">
        <v>1661</v>
      </c>
      <c r="N28" s="1243"/>
      <c r="O28" s="1244"/>
      <c r="Q28" s="846"/>
      <c r="R28" s="847"/>
      <c r="S28" s="848"/>
      <c r="T28" s="849"/>
      <c r="U28" s="850"/>
      <c r="V28" s="850"/>
      <c r="W28" s="851"/>
      <c r="X28" s="849">
        <f t="shared" si="0"/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1662</v>
      </c>
      <c r="N29" s="1243"/>
      <c r="O29" s="1244"/>
      <c r="Q29" s="846"/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3" t="s">
        <v>1663</v>
      </c>
      <c r="N30" s="1243"/>
      <c r="O30" s="1244"/>
      <c r="Q30" s="846"/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1664</v>
      </c>
      <c r="N31" s="1243"/>
      <c r="O31" s="1244"/>
      <c r="Q31" s="846"/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8"/>
      <c r="N32" s="1243"/>
      <c r="O32" s="1244"/>
      <c r="Q32" s="846"/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23" t="s">
        <v>1612</v>
      </c>
      <c r="B34" s="1226"/>
      <c r="C34" s="1226"/>
      <c r="D34" s="1226"/>
      <c r="E34" s="1226"/>
      <c r="F34" s="1226"/>
      <c r="G34" s="1226"/>
      <c r="H34" s="1226"/>
      <c r="I34" s="1226"/>
      <c r="J34" s="1226"/>
      <c r="K34" s="1226"/>
      <c r="L34" s="1226"/>
      <c r="M34" s="1226"/>
      <c r="N34" s="1226"/>
      <c r="O34" s="1226"/>
      <c r="P34" s="1226"/>
      <c r="Q34" s="1226"/>
      <c r="R34" s="1226"/>
      <c r="S34" s="1226"/>
      <c r="T34" s="1226"/>
      <c r="U34" s="1226"/>
      <c r="V34" s="1226"/>
      <c r="W34" s="1227"/>
      <c r="X34" s="1228">
        <f>SUM(X25:AC33)</f>
        <v>0</v>
      </c>
      <c r="Y34" s="1226"/>
      <c r="Z34" s="1226"/>
      <c r="AA34" s="1226"/>
      <c r="AB34" s="1226"/>
      <c r="AC34" s="122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23">
        <f>X34+X21+X16</f>
        <v>0</v>
      </c>
      <c r="Y35" s="1224"/>
      <c r="Z35" s="1224"/>
      <c r="AA35" s="1224"/>
      <c r="AB35" s="1224"/>
      <c r="AC35" s="122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23">
        <f>0.15*X35</f>
        <v>0</v>
      </c>
      <c r="Y36" s="1224"/>
      <c r="Z36" s="1224"/>
      <c r="AA36" s="1224"/>
      <c r="AB36" s="1224"/>
      <c r="AC36" s="122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23">
        <f>0.1*X35</f>
        <v>0</v>
      </c>
      <c r="Y37" s="1224"/>
      <c r="Z37" s="1224"/>
      <c r="AA37" s="1224"/>
      <c r="AB37" s="1224"/>
      <c r="AC37" s="122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23">
        <f>0.05*(X37+X36+X35)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23">
        <f>X38+X37+X36+X35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23">
        <f>X39/F6</f>
        <v>0</v>
      </c>
      <c r="Y40" s="1224"/>
      <c r="Z40" s="1224"/>
      <c r="AA40" s="1224"/>
      <c r="AB40" s="1224"/>
      <c r="AC40" s="1225"/>
      <c r="AD40" s="51">
        <f t="shared" si="1"/>
        <v>0</v>
      </c>
    </row>
  </sheetData>
  <mergeCells count="90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A21:W21"/>
    <mergeCell ref="X21:AC21"/>
    <mergeCell ref="B22:M22"/>
    <mergeCell ref="N22:P22"/>
    <mergeCell ref="Q22:S22"/>
    <mergeCell ref="T22:W22"/>
    <mergeCell ref="X22:AC22"/>
    <mergeCell ref="N25:O25"/>
    <mergeCell ref="Q25:S25"/>
    <mergeCell ref="T25:W25"/>
    <mergeCell ref="X25:AC25"/>
    <mergeCell ref="N26:O26"/>
    <mergeCell ref="Q26:S26"/>
    <mergeCell ref="T26:W26"/>
    <mergeCell ref="X26:AC26"/>
    <mergeCell ref="N27:O27"/>
    <mergeCell ref="Q27:S27"/>
    <mergeCell ref="T27:W27"/>
    <mergeCell ref="X27:AC27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X38:AC38"/>
    <mergeCell ref="X39:AC39"/>
    <mergeCell ref="X40:AC40"/>
    <mergeCell ref="A34:W34"/>
    <mergeCell ref="X34:AC34"/>
    <mergeCell ref="X35:AC35"/>
    <mergeCell ref="X36:AC36"/>
    <mergeCell ref="X37:AC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 t="str">
        <f>'POW COVER'!B43</f>
        <v>1047(3)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COVER'!D43</f>
        <v>Steel Works ( TRUSS 1 ) ( 9.74m )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COVER'!M43</f>
        <v>18</v>
      </c>
      <c r="G6" s="3" t="str">
        <f>'POW COVER'!O43</f>
        <v>sets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5</v>
      </c>
      <c r="G7" s="7" t="str">
        <f>""&amp;G6&amp;" per hour"</f>
        <v>sets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/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66"/>
      <c r="O20" s="1267"/>
      <c r="P20" s="14"/>
      <c r="Q20" s="1268"/>
      <c r="R20" s="1269"/>
      <c r="S20" s="1270"/>
      <c r="T20" s="1274"/>
      <c r="U20" s="1275"/>
      <c r="V20" s="1275"/>
      <c r="W20" s="1276"/>
      <c r="X20" s="1271"/>
      <c r="Y20" s="1272"/>
      <c r="Z20" s="1272"/>
      <c r="AA20" s="1272"/>
      <c r="AB20" s="1272"/>
      <c r="AC20" s="1273"/>
    </row>
    <row r="21" spans="1:29" ht="16.5">
      <c r="A21" s="1223" t="s">
        <v>1607</v>
      </c>
      <c r="B21" s="1224"/>
      <c r="C21" s="1224"/>
      <c r="D21" s="1224"/>
      <c r="E21" s="1224"/>
      <c r="F21" s="1224"/>
      <c r="G21" s="1224"/>
      <c r="H21" s="1224"/>
      <c r="I21" s="1224"/>
      <c r="J21" s="1224"/>
      <c r="K21" s="1224"/>
      <c r="L21" s="1224"/>
      <c r="M21" s="1224"/>
      <c r="N21" s="1224"/>
      <c r="O21" s="1224"/>
      <c r="P21" s="1224"/>
      <c r="Q21" s="1224"/>
      <c r="R21" s="1224"/>
      <c r="S21" s="1224"/>
      <c r="T21" s="1224"/>
      <c r="U21" s="1224"/>
      <c r="V21" s="1224"/>
      <c r="W21" s="1225"/>
      <c r="X21" s="1223">
        <f>SUM(X20:AC20)</f>
        <v>0</v>
      </c>
      <c r="Y21" s="1224"/>
      <c r="Z21" s="1224"/>
      <c r="AA21" s="1224"/>
      <c r="AB21" s="1224"/>
      <c r="AC21" s="1225"/>
    </row>
    <row r="22" spans="1:29">
      <c r="A22" s="9"/>
      <c r="B22" s="1229" t="s">
        <v>1608</v>
      </c>
      <c r="C22" s="1230"/>
      <c r="D22" s="1230"/>
      <c r="E22" s="1230"/>
      <c r="F22" s="1230"/>
      <c r="G22" s="1230"/>
      <c r="H22" s="1230"/>
      <c r="I22" s="1230"/>
      <c r="J22" s="1230"/>
      <c r="K22" s="1230"/>
      <c r="L22" s="1230"/>
      <c r="M22" s="1231"/>
      <c r="N22" s="1232" t="s">
        <v>1609</v>
      </c>
      <c r="O22" s="1233"/>
      <c r="P22" s="1234"/>
      <c r="Q22" s="1229" t="s">
        <v>1592</v>
      </c>
      <c r="R22" s="1230"/>
      <c r="S22" s="1231"/>
      <c r="T22" s="1229" t="s">
        <v>1610</v>
      </c>
      <c r="U22" s="1230"/>
      <c r="V22" s="1230"/>
      <c r="W22" s="1231"/>
      <c r="X22" s="1229" t="s">
        <v>1599</v>
      </c>
      <c r="Y22" s="1230"/>
      <c r="Z22" s="1230"/>
      <c r="AA22" s="1230"/>
      <c r="AB22" s="1230"/>
      <c r="AC22" s="1231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43"/>
      <c r="O25" s="1244"/>
      <c r="P25" s="14"/>
      <c r="Q25" s="849"/>
      <c r="R25" s="850"/>
      <c r="S25" s="851"/>
      <c r="T25" s="849"/>
      <c r="U25" s="850"/>
      <c r="V25" s="850"/>
      <c r="W25" s="851"/>
      <c r="X25" s="849">
        <f t="shared" ref="X25:X32" si="0">T25*Q25</f>
        <v>0</v>
      </c>
      <c r="Y25" s="850"/>
      <c r="Z25" s="850"/>
      <c r="AA25" s="850"/>
      <c r="AB25" s="850"/>
      <c r="AC25" s="851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43"/>
      <c r="O26" s="1244"/>
      <c r="P26" s="14"/>
      <c r="Q26" s="846"/>
      <c r="R26" s="847"/>
      <c r="S26" s="848"/>
      <c r="T26" s="849"/>
      <c r="U26" s="850"/>
      <c r="V26" s="850"/>
      <c r="W26" s="851"/>
      <c r="X26" s="849">
        <f t="shared" si="0"/>
        <v>0</v>
      </c>
      <c r="Y26" s="850"/>
      <c r="Z26" s="850"/>
      <c r="AA26" s="850"/>
      <c r="AB26" s="850"/>
      <c r="AC26" s="851"/>
    </row>
    <row r="27" spans="1:29" ht="16.5">
      <c r="A27" s="15"/>
      <c r="B27" s="17" t="s">
        <v>1660</v>
      </c>
      <c r="N27" s="1243"/>
      <c r="O27" s="1244"/>
      <c r="Q27" s="846"/>
      <c r="R27" s="847"/>
      <c r="S27" s="848"/>
      <c r="T27" s="849"/>
      <c r="U27" s="850"/>
      <c r="V27" s="850"/>
      <c r="W27" s="851"/>
      <c r="X27" s="849">
        <f t="shared" si="0"/>
        <v>0</v>
      </c>
      <c r="Y27" s="850"/>
      <c r="Z27" s="850"/>
      <c r="AA27" s="850"/>
      <c r="AB27" s="850"/>
      <c r="AC27" s="851"/>
    </row>
    <row r="28" spans="1:29" ht="16.5">
      <c r="A28" s="15"/>
      <c r="B28" s="13" t="s">
        <v>1661</v>
      </c>
      <c r="N28" s="1243"/>
      <c r="O28" s="1244"/>
      <c r="Q28" s="846"/>
      <c r="R28" s="847"/>
      <c r="S28" s="848"/>
      <c r="T28" s="849"/>
      <c r="U28" s="850"/>
      <c r="V28" s="850"/>
      <c r="W28" s="851"/>
      <c r="X28" s="849">
        <f t="shared" si="0"/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1662</v>
      </c>
      <c r="N29" s="1243"/>
      <c r="O29" s="1244"/>
      <c r="Q29" s="846"/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3" t="s">
        <v>1663</v>
      </c>
      <c r="N30" s="1243"/>
      <c r="O30" s="1244"/>
      <c r="Q30" s="846"/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1664</v>
      </c>
      <c r="N31" s="1243"/>
      <c r="O31" s="1244"/>
      <c r="Q31" s="846"/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8"/>
      <c r="N32" s="1243"/>
      <c r="O32" s="1244"/>
      <c r="Q32" s="846"/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23" t="s">
        <v>1612</v>
      </c>
      <c r="B34" s="1226"/>
      <c r="C34" s="1226"/>
      <c r="D34" s="1226"/>
      <c r="E34" s="1226"/>
      <c r="F34" s="1226"/>
      <c r="G34" s="1226"/>
      <c r="H34" s="1226"/>
      <c r="I34" s="1226"/>
      <c r="J34" s="1226"/>
      <c r="K34" s="1226"/>
      <c r="L34" s="1226"/>
      <c r="M34" s="1226"/>
      <c r="N34" s="1226"/>
      <c r="O34" s="1226"/>
      <c r="P34" s="1226"/>
      <c r="Q34" s="1226"/>
      <c r="R34" s="1226"/>
      <c r="S34" s="1226"/>
      <c r="T34" s="1226"/>
      <c r="U34" s="1226"/>
      <c r="V34" s="1226"/>
      <c r="W34" s="1227"/>
      <c r="X34" s="1228">
        <f>SUM(X25:AC33)</f>
        <v>0</v>
      </c>
      <c r="Y34" s="1226"/>
      <c r="Z34" s="1226"/>
      <c r="AA34" s="1226"/>
      <c r="AB34" s="1226"/>
      <c r="AC34" s="122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23">
        <f>X34+X21+X16</f>
        <v>0</v>
      </c>
      <c r="Y35" s="1224"/>
      <c r="Z35" s="1224"/>
      <c r="AA35" s="1224"/>
      <c r="AB35" s="1224"/>
      <c r="AC35" s="122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23">
        <f>0.15*X35</f>
        <v>0</v>
      </c>
      <c r="Y36" s="1224"/>
      <c r="Z36" s="1224"/>
      <c r="AA36" s="1224"/>
      <c r="AB36" s="1224"/>
      <c r="AC36" s="122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23">
        <f>0.1*X35</f>
        <v>0</v>
      </c>
      <c r="Y37" s="1224"/>
      <c r="Z37" s="1224"/>
      <c r="AA37" s="1224"/>
      <c r="AB37" s="1224"/>
      <c r="AC37" s="122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23">
        <f>0.05*(X37+X36+X35)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23">
        <f>X38+X37+X36+X35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23">
        <f>X39/F6</f>
        <v>0</v>
      </c>
      <c r="Y40" s="1224"/>
      <c r="Z40" s="1224"/>
      <c r="AA40" s="1224"/>
      <c r="AB40" s="1224"/>
      <c r="AC40" s="1225"/>
      <c r="AD40" s="51">
        <f t="shared" si="1"/>
        <v>0</v>
      </c>
    </row>
  </sheetData>
  <mergeCells count="90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A21:W21"/>
    <mergeCell ref="X21:AC21"/>
    <mergeCell ref="B22:M22"/>
    <mergeCell ref="N22:P22"/>
    <mergeCell ref="Q22:S22"/>
    <mergeCell ref="T22:W22"/>
    <mergeCell ref="X22:AC22"/>
    <mergeCell ref="N25:O25"/>
    <mergeCell ref="Q25:S25"/>
    <mergeCell ref="T25:W25"/>
    <mergeCell ref="X25:AC25"/>
    <mergeCell ref="N26:O26"/>
    <mergeCell ref="Q26:S26"/>
    <mergeCell ref="T26:W26"/>
    <mergeCell ref="X26:AC26"/>
    <mergeCell ref="N27:O27"/>
    <mergeCell ref="Q27:S27"/>
    <mergeCell ref="T27:W27"/>
    <mergeCell ref="X27:AC27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X38:AC38"/>
    <mergeCell ref="X39:AC39"/>
    <mergeCell ref="X40:AC40"/>
    <mergeCell ref="A34:W34"/>
    <mergeCell ref="X34:AC34"/>
    <mergeCell ref="X35:AC35"/>
    <mergeCell ref="X36:AC36"/>
    <mergeCell ref="X37:AC3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 t="str">
        <f>'POW COVER'!B44</f>
        <v>903(1)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COVER'!D44</f>
        <v>Roofing Works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COVER'!M44</f>
        <v>165.24</v>
      </c>
      <c r="G6" s="3" t="str">
        <f>'POW COVER'!O44</f>
        <v>sq.m.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5</v>
      </c>
      <c r="G7" s="7" t="str">
        <f>""&amp;G6&amp;" per hour"</f>
        <v>sq.m.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/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66"/>
      <c r="O20" s="1267"/>
      <c r="P20" s="14"/>
      <c r="Q20" s="1268"/>
      <c r="R20" s="1269"/>
      <c r="S20" s="1270"/>
      <c r="T20" s="1274"/>
      <c r="U20" s="1275"/>
      <c r="V20" s="1275"/>
      <c r="W20" s="1276"/>
      <c r="X20" s="1271"/>
      <c r="Y20" s="1272"/>
      <c r="Z20" s="1272"/>
      <c r="AA20" s="1272"/>
      <c r="AB20" s="1272"/>
      <c r="AC20" s="1273"/>
    </row>
    <row r="21" spans="1:29" ht="16.5">
      <c r="A21" s="1223" t="s">
        <v>1607</v>
      </c>
      <c r="B21" s="1224"/>
      <c r="C21" s="1224"/>
      <c r="D21" s="1224"/>
      <c r="E21" s="1224"/>
      <c r="F21" s="1224"/>
      <c r="G21" s="1224"/>
      <c r="H21" s="1224"/>
      <c r="I21" s="1224"/>
      <c r="J21" s="1224"/>
      <c r="K21" s="1224"/>
      <c r="L21" s="1224"/>
      <c r="M21" s="1224"/>
      <c r="N21" s="1224"/>
      <c r="O21" s="1224"/>
      <c r="P21" s="1224"/>
      <c r="Q21" s="1224"/>
      <c r="R21" s="1224"/>
      <c r="S21" s="1224"/>
      <c r="T21" s="1224"/>
      <c r="U21" s="1224"/>
      <c r="V21" s="1224"/>
      <c r="W21" s="1225"/>
      <c r="X21" s="1223">
        <f>SUM(X20:AC20)</f>
        <v>0</v>
      </c>
      <c r="Y21" s="1224"/>
      <c r="Z21" s="1224"/>
      <c r="AA21" s="1224"/>
      <c r="AB21" s="1224"/>
      <c r="AC21" s="1225"/>
    </row>
    <row r="22" spans="1:29">
      <c r="A22" s="9"/>
      <c r="B22" s="1229" t="s">
        <v>1608</v>
      </c>
      <c r="C22" s="1230"/>
      <c r="D22" s="1230"/>
      <c r="E22" s="1230"/>
      <c r="F22" s="1230"/>
      <c r="G22" s="1230"/>
      <c r="H22" s="1230"/>
      <c r="I22" s="1230"/>
      <c r="J22" s="1230"/>
      <c r="K22" s="1230"/>
      <c r="L22" s="1230"/>
      <c r="M22" s="1231"/>
      <c r="N22" s="1232" t="s">
        <v>1609</v>
      </c>
      <c r="O22" s="1233"/>
      <c r="P22" s="1234"/>
      <c r="Q22" s="1229" t="s">
        <v>1592</v>
      </c>
      <c r="R22" s="1230"/>
      <c r="S22" s="1231"/>
      <c r="T22" s="1229" t="s">
        <v>1610</v>
      </c>
      <c r="U22" s="1230"/>
      <c r="V22" s="1230"/>
      <c r="W22" s="1231"/>
      <c r="X22" s="1229" t="s">
        <v>1599</v>
      </c>
      <c r="Y22" s="1230"/>
      <c r="Z22" s="1230"/>
      <c r="AA22" s="1230"/>
      <c r="AB22" s="1230"/>
      <c r="AC22" s="1231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43"/>
      <c r="O25" s="1244"/>
      <c r="P25" s="14"/>
      <c r="Q25" s="849"/>
      <c r="R25" s="850"/>
      <c r="S25" s="851"/>
      <c r="T25" s="849"/>
      <c r="U25" s="850"/>
      <c r="V25" s="850"/>
      <c r="W25" s="851"/>
      <c r="X25" s="849">
        <f t="shared" ref="X25:X32" si="0">T25*Q25</f>
        <v>0</v>
      </c>
      <c r="Y25" s="850"/>
      <c r="Z25" s="850"/>
      <c r="AA25" s="850"/>
      <c r="AB25" s="850"/>
      <c r="AC25" s="851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43"/>
      <c r="O26" s="1244"/>
      <c r="P26" s="14"/>
      <c r="Q26" s="846"/>
      <c r="R26" s="847"/>
      <c r="S26" s="848"/>
      <c r="T26" s="849"/>
      <c r="U26" s="850"/>
      <c r="V26" s="850"/>
      <c r="W26" s="851"/>
      <c r="X26" s="849">
        <f t="shared" si="0"/>
        <v>0</v>
      </c>
      <c r="Y26" s="850"/>
      <c r="Z26" s="850"/>
      <c r="AA26" s="850"/>
      <c r="AB26" s="850"/>
      <c r="AC26" s="851"/>
    </row>
    <row r="27" spans="1:29" ht="16.5">
      <c r="A27" s="15"/>
      <c r="B27" s="17" t="s">
        <v>1660</v>
      </c>
      <c r="N27" s="1243"/>
      <c r="O27" s="1244"/>
      <c r="Q27" s="846"/>
      <c r="R27" s="847"/>
      <c r="S27" s="848"/>
      <c r="T27" s="849"/>
      <c r="U27" s="850"/>
      <c r="V27" s="850"/>
      <c r="W27" s="851"/>
      <c r="X27" s="849">
        <f t="shared" si="0"/>
        <v>0</v>
      </c>
      <c r="Y27" s="850"/>
      <c r="Z27" s="850"/>
      <c r="AA27" s="850"/>
      <c r="AB27" s="850"/>
      <c r="AC27" s="851"/>
    </row>
    <row r="28" spans="1:29" ht="16.5">
      <c r="A28" s="15"/>
      <c r="B28" s="13" t="s">
        <v>1661</v>
      </c>
      <c r="N28" s="1243"/>
      <c r="O28" s="1244"/>
      <c r="Q28" s="846"/>
      <c r="R28" s="847"/>
      <c r="S28" s="848"/>
      <c r="T28" s="849"/>
      <c r="U28" s="850"/>
      <c r="V28" s="850"/>
      <c r="W28" s="851"/>
      <c r="X28" s="849">
        <f t="shared" si="0"/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1662</v>
      </c>
      <c r="N29" s="1243"/>
      <c r="O29" s="1244"/>
      <c r="Q29" s="846"/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3" t="s">
        <v>1663</v>
      </c>
      <c r="N30" s="1243"/>
      <c r="O30" s="1244"/>
      <c r="Q30" s="846"/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1664</v>
      </c>
      <c r="N31" s="1243"/>
      <c r="O31" s="1244"/>
      <c r="Q31" s="846"/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8"/>
      <c r="N32" s="1243"/>
      <c r="O32" s="1244"/>
      <c r="Q32" s="846"/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23" t="s">
        <v>1612</v>
      </c>
      <c r="B34" s="1226"/>
      <c r="C34" s="1226"/>
      <c r="D34" s="1226"/>
      <c r="E34" s="1226"/>
      <c r="F34" s="1226"/>
      <c r="G34" s="1226"/>
      <c r="H34" s="1226"/>
      <c r="I34" s="1226"/>
      <c r="J34" s="1226"/>
      <c r="K34" s="1226"/>
      <c r="L34" s="1226"/>
      <c r="M34" s="1226"/>
      <c r="N34" s="1226"/>
      <c r="O34" s="1226"/>
      <c r="P34" s="1226"/>
      <c r="Q34" s="1226"/>
      <c r="R34" s="1226"/>
      <c r="S34" s="1226"/>
      <c r="T34" s="1226"/>
      <c r="U34" s="1226"/>
      <c r="V34" s="1226"/>
      <c r="W34" s="1227"/>
      <c r="X34" s="1228">
        <f>SUM(X25:AC33)</f>
        <v>0</v>
      </c>
      <c r="Y34" s="1226"/>
      <c r="Z34" s="1226"/>
      <c r="AA34" s="1226"/>
      <c r="AB34" s="1226"/>
      <c r="AC34" s="122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23">
        <f>X34+X21+X16</f>
        <v>0</v>
      </c>
      <c r="Y35" s="1224"/>
      <c r="Z35" s="1224"/>
      <c r="AA35" s="1224"/>
      <c r="AB35" s="1224"/>
      <c r="AC35" s="122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23">
        <f>0.15*X35</f>
        <v>0</v>
      </c>
      <c r="Y36" s="1224"/>
      <c r="Z36" s="1224"/>
      <c r="AA36" s="1224"/>
      <c r="AB36" s="1224"/>
      <c r="AC36" s="122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23">
        <f>0.1*X35</f>
        <v>0</v>
      </c>
      <c r="Y37" s="1224"/>
      <c r="Z37" s="1224"/>
      <c r="AA37" s="1224"/>
      <c r="AB37" s="1224"/>
      <c r="AC37" s="122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23">
        <f>0.05*(X37+X36+X35)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23">
        <f>X38+X37+X36+X35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23">
        <f>X39/F6</f>
        <v>0</v>
      </c>
      <c r="Y40" s="1224"/>
      <c r="Z40" s="1224"/>
      <c r="AA40" s="1224"/>
      <c r="AB40" s="1224"/>
      <c r="AC40" s="1225"/>
      <c r="AD40" s="51">
        <f t="shared" si="1"/>
        <v>0</v>
      </c>
    </row>
  </sheetData>
  <mergeCells count="90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A21:W21"/>
    <mergeCell ref="X21:AC21"/>
    <mergeCell ref="B22:M22"/>
    <mergeCell ref="N22:P22"/>
    <mergeCell ref="Q22:S22"/>
    <mergeCell ref="T22:W22"/>
    <mergeCell ref="X22:AC22"/>
    <mergeCell ref="N25:O25"/>
    <mergeCell ref="Q25:S25"/>
    <mergeCell ref="T25:W25"/>
    <mergeCell ref="X25:AC25"/>
    <mergeCell ref="N26:O26"/>
    <mergeCell ref="Q26:S26"/>
    <mergeCell ref="T26:W26"/>
    <mergeCell ref="X26:AC26"/>
    <mergeCell ref="N27:O27"/>
    <mergeCell ref="Q27:S27"/>
    <mergeCell ref="T27:W27"/>
    <mergeCell ref="X27:AC27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X38:AC38"/>
    <mergeCell ref="X39:AC39"/>
    <mergeCell ref="X40:AC40"/>
    <mergeCell ref="A34:W34"/>
    <mergeCell ref="X34:AC34"/>
    <mergeCell ref="X35:AC35"/>
    <mergeCell ref="X36:AC36"/>
    <mergeCell ref="X37:AC3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>
        <f>'POW COVER'!B45</f>
        <v>1027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COVER'!D45</f>
        <v>Painting Works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COVER'!M45</f>
        <v>1</v>
      </c>
      <c r="G6" s="3" t="str">
        <f>'POW COVER'!O45</f>
        <v>lumpsum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5</v>
      </c>
      <c r="G7" s="7" t="str">
        <f>""&amp;G6&amp;" per hour"</f>
        <v>lumpsum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/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66"/>
      <c r="O20" s="1267"/>
      <c r="P20" s="14"/>
      <c r="Q20" s="1268"/>
      <c r="R20" s="1269"/>
      <c r="S20" s="1270"/>
      <c r="T20" s="1274"/>
      <c r="U20" s="1275"/>
      <c r="V20" s="1275"/>
      <c r="W20" s="1276"/>
      <c r="X20" s="1271"/>
      <c r="Y20" s="1272"/>
      <c r="Z20" s="1272"/>
      <c r="AA20" s="1272"/>
      <c r="AB20" s="1272"/>
      <c r="AC20" s="1273"/>
    </row>
    <row r="21" spans="1:29" ht="16.5">
      <c r="A21" s="1223" t="s">
        <v>1607</v>
      </c>
      <c r="B21" s="1224"/>
      <c r="C21" s="1224"/>
      <c r="D21" s="1224"/>
      <c r="E21" s="1224"/>
      <c r="F21" s="1224"/>
      <c r="G21" s="1224"/>
      <c r="H21" s="1224"/>
      <c r="I21" s="1224"/>
      <c r="J21" s="1224"/>
      <c r="K21" s="1224"/>
      <c r="L21" s="1224"/>
      <c r="M21" s="1224"/>
      <c r="N21" s="1224"/>
      <c r="O21" s="1224"/>
      <c r="P21" s="1224"/>
      <c r="Q21" s="1224"/>
      <c r="R21" s="1224"/>
      <c r="S21" s="1224"/>
      <c r="T21" s="1224"/>
      <c r="U21" s="1224"/>
      <c r="V21" s="1224"/>
      <c r="W21" s="1225"/>
      <c r="X21" s="1223">
        <f>SUM(X20:AC20)</f>
        <v>0</v>
      </c>
      <c r="Y21" s="1224"/>
      <c r="Z21" s="1224"/>
      <c r="AA21" s="1224"/>
      <c r="AB21" s="1224"/>
      <c r="AC21" s="1225"/>
    </row>
    <row r="22" spans="1:29">
      <c r="A22" s="9"/>
      <c r="B22" s="1229" t="s">
        <v>1608</v>
      </c>
      <c r="C22" s="1230"/>
      <c r="D22" s="1230"/>
      <c r="E22" s="1230"/>
      <c r="F22" s="1230"/>
      <c r="G22" s="1230"/>
      <c r="H22" s="1230"/>
      <c r="I22" s="1230"/>
      <c r="J22" s="1230"/>
      <c r="K22" s="1230"/>
      <c r="L22" s="1230"/>
      <c r="M22" s="1231"/>
      <c r="N22" s="1232" t="s">
        <v>1609</v>
      </c>
      <c r="O22" s="1233"/>
      <c r="P22" s="1234"/>
      <c r="Q22" s="1229" t="s">
        <v>1592</v>
      </c>
      <c r="R22" s="1230"/>
      <c r="S22" s="1231"/>
      <c r="T22" s="1229" t="s">
        <v>1610</v>
      </c>
      <c r="U22" s="1230"/>
      <c r="V22" s="1230"/>
      <c r="W22" s="1231"/>
      <c r="X22" s="1229" t="s">
        <v>1599</v>
      </c>
      <c r="Y22" s="1230"/>
      <c r="Z22" s="1230"/>
      <c r="AA22" s="1230"/>
      <c r="AB22" s="1230"/>
      <c r="AC22" s="1231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43"/>
      <c r="O25" s="1244"/>
      <c r="P25" s="14"/>
      <c r="Q25" s="849"/>
      <c r="R25" s="850"/>
      <c r="S25" s="851"/>
      <c r="T25" s="849"/>
      <c r="U25" s="850"/>
      <c r="V25" s="850"/>
      <c r="W25" s="851"/>
      <c r="X25" s="849">
        <f t="shared" ref="X25:X32" si="0">T25*Q25</f>
        <v>0</v>
      </c>
      <c r="Y25" s="850"/>
      <c r="Z25" s="850"/>
      <c r="AA25" s="850"/>
      <c r="AB25" s="850"/>
      <c r="AC25" s="851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43"/>
      <c r="O26" s="1244"/>
      <c r="P26" s="14"/>
      <c r="Q26" s="846"/>
      <c r="R26" s="847"/>
      <c r="S26" s="848"/>
      <c r="T26" s="849"/>
      <c r="U26" s="850"/>
      <c r="V26" s="850"/>
      <c r="W26" s="851"/>
      <c r="X26" s="849">
        <f t="shared" si="0"/>
        <v>0</v>
      </c>
      <c r="Y26" s="850"/>
      <c r="Z26" s="850"/>
      <c r="AA26" s="850"/>
      <c r="AB26" s="850"/>
      <c r="AC26" s="851"/>
    </row>
    <row r="27" spans="1:29" ht="16.5">
      <c r="A27" s="15"/>
      <c r="B27" s="17" t="s">
        <v>1660</v>
      </c>
      <c r="N27" s="1243"/>
      <c r="O27" s="1244"/>
      <c r="Q27" s="846"/>
      <c r="R27" s="847"/>
      <c r="S27" s="848"/>
      <c r="T27" s="849"/>
      <c r="U27" s="850"/>
      <c r="V27" s="850"/>
      <c r="W27" s="851"/>
      <c r="X27" s="849">
        <f t="shared" si="0"/>
        <v>0</v>
      </c>
      <c r="Y27" s="850"/>
      <c r="Z27" s="850"/>
      <c r="AA27" s="850"/>
      <c r="AB27" s="850"/>
      <c r="AC27" s="851"/>
    </row>
    <row r="28" spans="1:29" ht="16.5">
      <c r="A28" s="15"/>
      <c r="B28" s="13" t="s">
        <v>1661</v>
      </c>
      <c r="N28" s="1243"/>
      <c r="O28" s="1244"/>
      <c r="Q28" s="846"/>
      <c r="R28" s="847"/>
      <c r="S28" s="848"/>
      <c r="T28" s="849"/>
      <c r="U28" s="850"/>
      <c r="V28" s="850"/>
      <c r="W28" s="851"/>
      <c r="X28" s="849">
        <f t="shared" si="0"/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1662</v>
      </c>
      <c r="N29" s="1243"/>
      <c r="O29" s="1244"/>
      <c r="Q29" s="846"/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3" t="s">
        <v>1663</v>
      </c>
      <c r="N30" s="1243"/>
      <c r="O30" s="1244"/>
      <c r="Q30" s="846"/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1664</v>
      </c>
      <c r="N31" s="1243"/>
      <c r="O31" s="1244"/>
      <c r="Q31" s="846"/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8"/>
      <c r="N32" s="1243"/>
      <c r="O32" s="1244"/>
      <c r="Q32" s="846"/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23" t="s">
        <v>1612</v>
      </c>
      <c r="B34" s="1226"/>
      <c r="C34" s="1226"/>
      <c r="D34" s="1226"/>
      <c r="E34" s="1226"/>
      <c r="F34" s="1226"/>
      <c r="G34" s="1226"/>
      <c r="H34" s="1226"/>
      <c r="I34" s="1226"/>
      <c r="J34" s="1226"/>
      <c r="K34" s="1226"/>
      <c r="L34" s="1226"/>
      <c r="M34" s="1226"/>
      <c r="N34" s="1226"/>
      <c r="O34" s="1226"/>
      <c r="P34" s="1226"/>
      <c r="Q34" s="1226"/>
      <c r="R34" s="1226"/>
      <c r="S34" s="1226"/>
      <c r="T34" s="1226"/>
      <c r="U34" s="1226"/>
      <c r="V34" s="1226"/>
      <c r="W34" s="1227"/>
      <c r="X34" s="1228">
        <f>SUM(X25:AC33)</f>
        <v>0</v>
      </c>
      <c r="Y34" s="1226"/>
      <c r="Z34" s="1226"/>
      <c r="AA34" s="1226"/>
      <c r="AB34" s="1226"/>
      <c r="AC34" s="122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23">
        <f>X34+X21+X16</f>
        <v>0</v>
      </c>
      <c r="Y35" s="1224"/>
      <c r="Z35" s="1224"/>
      <c r="AA35" s="1224"/>
      <c r="AB35" s="1224"/>
      <c r="AC35" s="122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23">
        <f>0.15*X35</f>
        <v>0</v>
      </c>
      <c r="Y36" s="1224"/>
      <c r="Z36" s="1224"/>
      <c r="AA36" s="1224"/>
      <c r="AB36" s="1224"/>
      <c r="AC36" s="122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23">
        <f>0.1*X35</f>
        <v>0</v>
      </c>
      <c r="Y37" s="1224"/>
      <c r="Z37" s="1224"/>
      <c r="AA37" s="1224"/>
      <c r="AB37" s="1224"/>
      <c r="AC37" s="122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23">
        <f>0.05*(X37+X36+X35)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23">
        <f>X38+X37+X36+X35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23">
        <f>X39/F6</f>
        <v>0</v>
      </c>
      <c r="Y40" s="1224"/>
      <c r="Z40" s="1224"/>
      <c r="AA40" s="1224"/>
      <c r="AB40" s="1224"/>
      <c r="AC40" s="1225"/>
      <c r="AD40" s="51">
        <f t="shared" si="1"/>
        <v>0</v>
      </c>
    </row>
  </sheetData>
  <mergeCells count="90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A21:W21"/>
    <mergeCell ref="X21:AC21"/>
    <mergeCell ref="B22:M22"/>
    <mergeCell ref="N22:P22"/>
    <mergeCell ref="Q22:S22"/>
    <mergeCell ref="T22:W22"/>
    <mergeCell ref="X22:AC22"/>
    <mergeCell ref="N25:O25"/>
    <mergeCell ref="Q25:S25"/>
    <mergeCell ref="T25:W25"/>
    <mergeCell ref="X25:AC25"/>
    <mergeCell ref="N26:O26"/>
    <mergeCell ref="Q26:S26"/>
    <mergeCell ref="T26:W26"/>
    <mergeCell ref="X26:AC26"/>
    <mergeCell ref="N27:O27"/>
    <mergeCell ref="Q27:S27"/>
    <mergeCell ref="T27:W27"/>
    <mergeCell ref="X27:AC27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X38:AC38"/>
    <mergeCell ref="X39:AC39"/>
    <mergeCell ref="X40:AC40"/>
    <mergeCell ref="A34:W34"/>
    <mergeCell ref="X34:AC34"/>
    <mergeCell ref="X35:AC35"/>
    <mergeCell ref="X36:AC36"/>
    <mergeCell ref="X37:AC3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40"/>
  <sheetViews>
    <sheetView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 t="str">
        <f>'POW COVER'!B46</f>
        <v>SPL - 2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COVER'!D46</f>
        <v>Billboards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COVER'!M46</f>
        <v>1</v>
      </c>
      <c r="G6" s="3" t="str">
        <f>'POW COVER'!O46</f>
        <v>lumpsum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5</v>
      </c>
      <c r="G7" s="7" t="str">
        <f>""&amp;G6&amp;" per hour"</f>
        <v>lumpsum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/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66"/>
      <c r="O20" s="1267"/>
      <c r="P20" s="14"/>
      <c r="Q20" s="1268"/>
      <c r="R20" s="1269"/>
      <c r="S20" s="1270"/>
      <c r="T20" s="1274"/>
      <c r="U20" s="1275"/>
      <c r="V20" s="1275"/>
      <c r="W20" s="1276"/>
      <c r="X20" s="1271"/>
      <c r="Y20" s="1272"/>
      <c r="Z20" s="1272"/>
      <c r="AA20" s="1272"/>
      <c r="AB20" s="1272"/>
      <c r="AC20" s="1273"/>
    </row>
    <row r="21" spans="1:29" ht="16.5">
      <c r="A21" s="1223" t="s">
        <v>1607</v>
      </c>
      <c r="B21" s="1224"/>
      <c r="C21" s="1224"/>
      <c r="D21" s="1224"/>
      <c r="E21" s="1224"/>
      <c r="F21" s="1224"/>
      <c r="G21" s="1224"/>
      <c r="H21" s="1224"/>
      <c r="I21" s="1224"/>
      <c r="J21" s="1224"/>
      <c r="K21" s="1224"/>
      <c r="L21" s="1224"/>
      <c r="M21" s="1224"/>
      <c r="N21" s="1224"/>
      <c r="O21" s="1224"/>
      <c r="P21" s="1224"/>
      <c r="Q21" s="1224"/>
      <c r="R21" s="1224"/>
      <c r="S21" s="1224"/>
      <c r="T21" s="1224"/>
      <c r="U21" s="1224"/>
      <c r="V21" s="1224"/>
      <c r="W21" s="1225"/>
      <c r="X21" s="1223">
        <f>SUM(X20:AC20)</f>
        <v>0</v>
      </c>
      <c r="Y21" s="1224"/>
      <c r="Z21" s="1224"/>
      <c r="AA21" s="1224"/>
      <c r="AB21" s="1224"/>
      <c r="AC21" s="1225"/>
    </row>
    <row r="22" spans="1:29">
      <c r="A22" s="9"/>
      <c r="B22" s="1229" t="s">
        <v>1608</v>
      </c>
      <c r="C22" s="1230"/>
      <c r="D22" s="1230"/>
      <c r="E22" s="1230"/>
      <c r="F22" s="1230"/>
      <c r="G22" s="1230"/>
      <c r="H22" s="1230"/>
      <c r="I22" s="1230"/>
      <c r="J22" s="1230"/>
      <c r="K22" s="1230"/>
      <c r="L22" s="1230"/>
      <c r="M22" s="1231"/>
      <c r="N22" s="1232" t="s">
        <v>1609</v>
      </c>
      <c r="O22" s="1233"/>
      <c r="P22" s="1234"/>
      <c r="Q22" s="1229" t="s">
        <v>1592</v>
      </c>
      <c r="R22" s="1230"/>
      <c r="S22" s="1231"/>
      <c r="T22" s="1229" t="s">
        <v>1610</v>
      </c>
      <c r="U22" s="1230"/>
      <c r="V22" s="1230"/>
      <c r="W22" s="1231"/>
      <c r="X22" s="1229" t="s">
        <v>1599</v>
      </c>
      <c r="Y22" s="1230"/>
      <c r="Z22" s="1230"/>
      <c r="AA22" s="1230"/>
      <c r="AB22" s="1230"/>
      <c r="AC22" s="1231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43"/>
      <c r="O25" s="1244"/>
      <c r="P25" s="14"/>
      <c r="Q25" s="849"/>
      <c r="R25" s="850"/>
      <c r="S25" s="851"/>
      <c r="T25" s="849"/>
      <c r="U25" s="850"/>
      <c r="V25" s="850"/>
      <c r="W25" s="851"/>
      <c r="X25" s="849">
        <f t="shared" ref="X25:X32" si="0">T25*Q25</f>
        <v>0</v>
      </c>
      <c r="Y25" s="850"/>
      <c r="Z25" s="850"/>
      <c r="AA25" s="850"/>
      <c r="AB25" s="850"/>
      <c r="AC25" s="851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43"/>
      <c r="O26" s="1244"/>
      <c r="P26" s="14"/>
      <c r="Q26" s="846"/>
      <c r="R26" s="847"/>
      <c r="S26" s="848"/>
      <c r="T26" s="849"/>
      <c r="U26" s="850"/>
      <c r="V26" s="850"/>
      <c r="W26" s="851"/>
      <c r="X26" s="849">
        <f t="shared" si="0"/>
        <v>0</v>
      </c>
      <c r="Y26" s="850"/>
      <c r="Z26" s="850"/>
      <c r="AA26" s="850"/>
      <c r="AB26" s="850"/>
      <c r="AC26" s="851"/>
    </row>
    <row r="27" spans="1:29" ht="16.5">
      <c r="A27" s="15"/>
      <c r="B27" s="17" t="s">
        <v>1660</v>
      </c>
      <c r="N27" s="1243"/>
      <c r="O27" s="1244"/>
      <c r="Q27" s="846"/>
      <c r="R27" s="847"/>
      <c r="S27" s="848"/>
      <c r="T27" s="849"/>
      <c r="U27" s="850"/>
      <c r="V27" s="850"/>
      <c r="W27" s="851"/>
      <c r="X27" s="849">
        <f t="shared" si="0"/>
        <v>0</v>
      </c>
      <c r="Y27" s="850"/>
      <c r="Z27" s="850"/>
      <c r="AA27" s="850"/>
      <c r="AB27" s="850"/>
      <c r="AC27" s="851"/>
    </row>
    <row r="28" spans="1:29" ht="16.5">
      <c r="A28" s="15"/>
      <c r="B28" s="13" t="s">
        <v>1661</v>
      </c>
      <c r="N28" s="1243"/>
      <c r="O28" s="1244"/>
      <c r="Q28" s="846"/>
      <c r="R28" s="847"/>
      <c r="S28" s="848"/>
      <c r="T28" s="849"/>
      <c r="U28" s="850"/>
      <c r="V28" s="850"/>
      <c r="W28" s="851"/>
      <c r="X28" s="849">
        <f t="shared" si="0"/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1662</v>
      </c>
      <c r="N29" s="1243"/>
      <c r="O29" s="1244"/>
      <c r="Q29" s="846"/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3" t="s">
        <v>1663</v>
      </c>
      <c r="N30" s="1243"/>
      <c r="O30" s="1244"/>
      <c r="Q30" s="846"/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1664</v>
      </c>
      <c r="N31" s="1243"/>
      <c r="O31" s="1244"/>
      <c r="Q31" s="846"/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8"/>
      <c r="N32" s="1243"/>
      <c r="O32" s="1244"/>
      <c r="Q32" s="846"/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23" t="s">
        <v>1612</v>
      </c>
      <c r="B34" s="1226"/>
      <c r="C34" s="1226"/>
      <c r="D34" s="1226"/>
      <c r="E34" s="1226"/>
      <c r="F34" s="1226"/>
      <c r="G34" s="1226"/>
      <c r="H34" s="1226"/>
      <c r="I34" s="1226"/>
      <c r="J34" s="1226"/>
      <c r="K34" s="1226"/>
      <c r="L34" s="1226"/>
      <c r="M34" s="1226"/>
      <c r="N34" s="1226"/>
      <c r="O34" s="1226"/>
      <c r="P34" s="1226"/>
      <c r="Q34" s="1226"/>
      <c r="R34" s="1226"/>
      <c r="S34" s="1226"/>
      <c r="T34" s="1226"/>
      <c r="U34" s="1226"/>
      <c r="V34" s="1226"/>
      <c r="W34" s="1227"/>
      <c r="X34" s="1228">
        <f>SUM(X25:AC33)</f>
        <v>0</v>
      </c>
      <c r="Y34" s="1226"/>
      <c r="Z34" s="1226"/>
      <c r="AA34" s="1226"/>
      <c r="AB34" s="1226"/>
      <c r="AC34" s="122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23">
        <f>X34+X21+X16</f>
        <v>0</v>
      </c>
      <c r="Y35" s="1224"/>
      <c r="Z35" s="1224"/>
      <c r="AA35" s="1224"/>
      <c r="AB35" s="1224"/>
      <c r="AC35" s="122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23">
        <f>0.15*X35</f>
        <v>0</v>
      </c>
      <c r="Y36" s="1224"/>
      <c r="Z36" s="1224"/>
      <c r="AA36" s="1224"/>
      <c r="AB36" s="1224"/>
      <c r="AC36" s="122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23">
        <f>0.1*X35</f>
        <v>0</v>
      </c>
      <c r="Y37" s="1224"/>
      <c r="Z37" s="1224"/>
      <c r="AA37" s="1224"/>
      <c r="AB37" s="1224"/>
      <c r="AC37" s="122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23">
        <f>0.05*(X37+X36+X35)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23">
        <f>X38+X37+X36+X35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23">
        <f>X39/F6</f>
        <v>0</v>
      </c>
      <c r="Y40" s="1224"/>
      <c r="Z40" s="1224"/>
      <c r="AA40" s="1224"/>
      <c r="AB40" s="1224"/>
      <c r="AC40" s="1225"/>
      <c r="AD40" s="51">
        <f t="shared" si="1"/>
        <v>0</v>
      </c>
    </row>
  </sheetData>
  <mergeCells count="90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A21:W21"/>
    <mergeCell ref="X21:AC21"/>
    <mergeCell ref="B22:M22"/>
    <mergeCell ref="N22:P22"/>
    <mergeCell ref="Q22:S22"/>
    <mergeCell ref="T22:W22"/>
    <mergeCell ref="X22:AC22"/>
    <mergeCell ref="N25:O25"/>
    <mergeCell ref="Q25:S25"/>
    <mergeCell ref="T25:W25"/>
    <mergeCell ref="X25:AC25"/>
    <mergeCell ref="N26:O26"/>
    <mergeCell ref="Q26:S26"/>
    <mergeCell ref="T26:W26"/>
    <mergeCell ref="X26:AC26"/>
    <mergeCell ref="N27:O27"/>
    <mergeCell ref="Q27:S27"/>
    <mergeCell ref="T27:W27"/>
    <mergeCell ref="X27:AC27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X38:AC38"/>
    <mergeCell ref="X39:AC39"/>
    <mergeCell ref="X40:AC40"/>
    <mergeCell ref="A34:W34"/>
    <mergeCell ref="X34:AC34"/>
    <mergeCell ref="X35:AC35"/>
    <mergeCell ref="X36:AC36"/>
    <mergeCell ref="X37:AC3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40"/>
  <sheetViews>
    <sheetView topLeftCell="A25" workbookViewId="0">
      <selection activeCell="X20" sqref="X20:AC20"/>
    </sheetView>
  </sheetViews>
  <sheetFormatPr defaultColWidth="9" defaultRowHeight="15"/>
  <cols>
    <col min="1" max="1" width="4.140625" customWidth="1"/>
    <col min="2" max="2" width="5.42578125" customWidth="1"/>
    <col min="3" max="3" width="9.140625" hidden="1" customWidth="1"/>
    <col min="4" max="4" width="4" hidden="1" customWidth="1"/>
    <col min="7" max="7" width="15.85546875" customWidth="1"/>
    <col min="8" max="13" width="9.140625" hidden="1" customWidth="1"/>
    <col min="15" max="15" width="4.85546875" customWidth="1"/>
    <col min="16" max="16" width="9.140625" hidden="1" customWidth="1"/>
    <col min="18" max="18" width="6.42578125" customWidth="1"/>
    <col min="19" max="19" width="5.7109375" hidden="1" customWidth="1"/>
    <col min="21" max="21" width="6.140625" customWidth="1"/>
    <col min="22" max="23" width="9.140625" hidden="1" customWidth="1"/>
    <col min="24" max="24" width="7.42578125" customWidth="1"/>
    <col min="25" max="25" width="4.140625" customWidth="1"/>
    <col min="26" max="26" width="2.42578125" hidden="1" customWidth="1"/>
    <col min="27" max="27" width="1.28515625" hidden="1" customWidth="1"/>
    <col min="28" max="28" width="3.5703125" hidden="1" customWidth="1"/>
    <col min="29" max="29" width="7.28515625" customWidth="1"/>
    <col min="30" max="30" width="9" style="1" customWidth="1"/>
  </cols>
  <sheetData>
    <row r="1" spans="1:32">
      <c r="A1" s="1260" t="s">
        <v>1587</v>
      </c>
      <c r="B1" s="1261"/>
      <c r="C1" s="1261"/>
      <c r="D1" s="1261"/>
      <c r="E1" s="1261"/>
      <c r="F1" s="1261"/>
      <c r="G1" s="1261"/>
      <c r="H1" s="1261"/>
      <c r="I1" s="1261"/>
      <c r="J1" s="1261"/>
      <c r="K1" s="1261"/>
      <c r="L1" s="1261"/>
      <c r="M1" s="1261"/>
      <c r="N1" s="1261"/>
      <c r="O1" s="1261"/>
      <c r="P1" s="1261"/>
      <c r="Q1" s="1261"/>
      <c r="R1" s="1261"/>
      <c r="S1" s="1261"/>
      <c r="T1" s="1261"/>
      <c r="U1" s="1261"/>
      <c r="V1" s="1261"/>
      <c r="W1" s="1261"/>
      <c r="X1" s="1261"/>
      <c r="Y1" s="1261"/>
      <c r="Z1" s="1261"/>
      <c r="AA1" s="1261"/>
      <c r="AB1" s="1261"/>
      <c r="AC1" s="1262"/>
    </row>
    <row r="3" spans="1:32" ht="16.5">
      <c r="A3" s="2" t="s">
        <v>1588</v>
      </c>
      <c r="B3" s="2"/>
      <c r="C3" s="2"/>
      <c r="D3" s="2"/>
      <c r="E3" s="3" t="s">
        <v>1589</v>
      </c>
      <c r="F3" s="1263" t="str">
        <f>'POW COVER'!E9</f>
        <v>Construction of Covered Pathway at City hall Entrance/Exit   ( 29 SPAN, 3m length/span)</v>
      </c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4"/>
    </row>
    <row r="4" spans="1:32" ht="16.5">
      <c r="A4" s="2" t="s">
        <v>1590</v>
      </c>
      <c r="B4" s="2"/>
      <c r="C4" s="2"/>
      <c r="D4" s="2"/>
      <c r="E4" s="3" t="s">
        <v>1589</v>
      </c>
      <c r="F4" s="1264" t="str">
        <f>'POW COVER'!B47</f>
        <v>SPL -4</v>
      </c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  <c r="T4" s="1264"/>
      <c r="U4" s="1264"/>
      <c r="V4" s="1264"/>
      <c r="W4" s="1264"/>
      <c r="X4" s="1264"/>
      <c r="Y4" s="1264"/>
      <c r="Z4" s="1264"/>
      <c r="AA4" s="1264"/>
      <c r="AB4" s="1264"/>
      <c r="AC4" s="14"/>
    </row>
    <row r="5" spans="1:32" ht="16.5">
      <c r="A5" s="4" t="s">
        <v>1591</v>
      </c>
      <c r="B5" s="4"/>
      <c r="C5" s="4"/>
      <c r="D5" s="4"/>
      <c r="E5" s="4" t="s">
        <v>1589</v>
      </c>
      <c r="F5" s="1264" t="str">
        <f>'POW COVER'!D47</f>
        <v>Construction of Safety and Health Program</v>
      </c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4"/>
    </row>
    <row r="6" spans="1:32" ht="16.5">
      <c r="A6" s="4" t="s">
        <v>1592</v>
      </c>
      <c r="B6" s="4"/>
      <c r="C6" s="4"/>
      <c r="D6" s="4"/>
      <c r="E6" s="4" t="s">
        <v>1589</v>
      </c>
      <c r="F6" s="5">
        <f>'POW COVER'!M47</f>
        <v>1</v>
      </c>
      <c r="G6" s="3" t="str">
        <f>'POW COVER'!O47</f>
        <v>lot</v>
      </c>
      <c r="H6" s="3"/>
      <c r="I6" s="3" t="s">
        <v>398</v>
      </c>
      <c r="J6" s="3"/>
      <c r="K6" s="3"/>
      <c r="L6" s="7"/>
      <c r="M6" s="14"/>
      <c r="N6" s="14"/>
      <c r="O6" s="14"/>
      <c r="P6" s="14"/>
      <c r="Q6" s="31"/>
      <c r="R6" s="8"/>
      <c r="S6" s="8"/>
      <c r="T6" s="4"/>
      <c r="U6" s="4"/>
      <c r="V6" s="8"/>
      <c r="W6" s="8"/>
      <c r="X6" s="8"/>
      <c r="Y6" s="8"/>
      <c r="Z6" s="8"/>
      <c r="AA6" s="8"/>
      <c r="AB6" s="14"/>
      <c r="AC6" s="14"/>
    </row>
    <row r="7" spans="1:32" ht="16.5">
      <c r="A7" s="1265" t="s">
        <v>1593</v>
      </c>
      <c r="B7" s="1265"/>
      <c r="C7" s="1265"/>
      <c r="D7" s="1265"/>
      <c r="E7" s="1265"/>
      <c r="F7" s="6">
        <v>5</v>
      </c>
      <c r="G7" s="7" t="str">
        <f>""&amp;G6&amp;" per hour"</f>
        <v>lot per hour</v>
      </c>
      <c r="H7" s="7"/>
      <c r="I7" s="7"/>
      <c r="J7" s="7"/>
      <c r="K7" s="7"/>
      <c r="L7" s="7"/>
      <c r="M7" s="14"/>
      <c r="N7" s="14"/>
      <c r="O7" s="14"/>
      <c r="P7" s="14"/>
      <c r="Q7" s="31"/>
      <c r="R7" s="8"/>
      <c r="S7" s="8"/>
      <c r="T7" s="4"/>
      <c r="U7" s="4"/>
      <c r="V7" s="8"/>
      <c r="W7" s="8"/>
      <c r="X7" s="8"/>
      <c r="Y7" s="8"/>
      <c r="Z7" s="8"/>
      <c r="AA7" s="8"/>
      <c r="AB7" s="14"/>
      <c r="AC7" s="14"/>
    </row>
    <row r="8" spans="1:32" ht="16.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/>
      <c r="AC8" s="14"/>
      <c r="AF8" t="s">
        <v>1594</v>
      </c>
    </row>
    <row r="9" spans="1:32">
      <c r="A9" s="9"/>
      <c r="B9" s="1254" t="s">
        <v>1595</v>
      </c>
      <c r="C9" s="1255"/>
      <c r="D9" s="1255"/>
      <c r="E9" s="1255"/>
      <c r="F9" s="1255"/>
      <c r="G9" s="1255"/>
      <c r="H9" s="1255"/>
      <c r="I9" s="1255"/>
      <c r="J9" s="1255"/>
      <c r="K9" s="1255"/>
      <c r="L9" s="1255"/>
      <c r="M9" s="1256"/>
      <c r="N9" s="1257" t="s">
        <v>1596</v>
      </c>
      <c r="O9" s="1258"/>
      <c r="P9" s="1259"/>
      <c r="Q9" s="1254" t="s">
        <v>1597</v>
      </c>
      <c r="R9" s="1255"/>
      <c r="S9" s="1256"/>
      <c r="T9" s="1254" t="s">
        <v>1598</v>
      </c>
      <c r="U9" s="1255"/>
      <c r="V9" s="1255"/>
      <c r="W9" s="1256"/>
      <c r="X9" s="1254" t="s">
        <v>1599</v>
      </c>
      <c r="Y9" s="1255"/>
      <c r="Z9" s="1255"/>
      <c r="AA9" s="1255"/>
      <c r="AB9" s="1255"/>
      <c r="AC9" s="1256"/>
      <c r="AF9" s="49">
        <f>MAX(Q12:S15,Q20:S20)</f>
        <v>0</v>
      </c>
    </row>
    <row r="10" spans="1:32" ht="16.5">
      <c r="A10" s="10" t="s">
        <v>1342</v>
      </c>
      <c r="B10" s="11" t="s">
        <v>1341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5"/>
      <c r="N10" s="11"/>
      <c r="O10" s="25"/>
      <c r="P10" s="25"/>
      <c r="Q10" s="1235"/>
      <c r="R10" s="1236"/>
      <c r="S10" s="1236"/>
      <c r="T10" s="1238"/>
      <c r="U10" s="1239"/>
      <c r="V10" s="1239"/>
      <c r="W10" s="1240"/>
      <c r="X10" s="1241"/>
      <c r="Y10" s="1242"/>
      <c r="Z10" s="1242"/>
      <c r="AA10" s="1242"/>
      <c r="AB10" s="1242"/>
      <c r="AC10" s="25"/>
    </row>
    <row r="11" spans="1:32" ht="16.5">
      <c r="A11" s="10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6"/>
      <c r="N11" s="13"/>
      <c r="O11" s="26"/>
      <c r="P11" s="26"/>
      <c r="Q11" s="38"/>
      <c r="R11" s="39"/>
      <c r="S11" s="39"/>
      <c r="T11" s="40"/>
      <c r="U11" s="41"/>
      <c r="V11" s="41"/>
      <c r="W11" s="42"/>
      <c r="X11" s="43"/>
      <c r="Y11" s="3"/>
      <c r="Z11" s="3"/>
      <c r="AA11" s="3"/>
      <c r="AB11" s="3"/>
      <c r="AC11" s="26"/>
    </row>
    <row r="12" spans="1:32" ht="16.5">
      <c r="A12" s="10"/>
      <c r="B12" s="13" t="s">
        <v>1600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26"/>
      <c r="N12" s="1243"/>
      <c r="O12" s="1244"/>
      <c r="P12" s="27"/>
      <c r="Q12" s="846"/>
      <c r="R12" s="847"/>
      <c r="S12" s="847"/>
      <c r="T12" s="849"/>
      <c r="U12" s="850"/>
      <c r="V12" s="850"/>
      <c r="W12" s="851"/>
      <c r="X12" s="849">
        <f>T12*Q12*N12</f>
        <v>0</v>
      </c>
      <c r="Y12" s="850"/>
      <c r="Z12" s="850"/>
      <c r="AA12" s="850"/>
      <c r="AB12" s="850"/>
      <c r="AC12" s="851"/>
    </row>
    <row r="13" spans="1:32" ht="16.5">
      <c r="A13" s="10"/>
      <c r="B13" s="13" t="s">
        <v>1629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6"/>
      <c r="N13" s="1243"/>
      <c r="O13" s="1244"/>
      <c r="P13" s="27"/>
      <c r="Q13" s="846"/>
      <c r="R13" s="847"/>
      <c r="S13" s="847"/>
      <c r="T13" s="1251"/>
      <c r="U13" s="1252"/>
      <c r="V13" s="1252"/>
      <c r="W13" s="1253"/>
      <c r="X13" s="849">
        <f>T13*Q13*O13</f>
        <v>0</v>
      </c>
      <c r="Y13" s="850"/>
      <c r="Z13" s="850"/>
      <c r="AA13" s="850"/>
      <c r="AB13" s="850"/>
      <c r="AC13" s="851"/>
    </row>
    <row r="14" spans="1:32" ht="16.5">
      <c r="A14" s="10"/>
      <c r="B14" s="13" t="s">
        <v>1602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26"/>
      <c r="N14" s="1243"/>
      <c r="O14" s="1244"/>
      <c r="P14" s="28"/>
      <c r="Q14" s="847"/>
      <c r="R14" s="847"/>
      <c r="S14" s="847"/>
      <c r="T14" s="1248"/>
      <c r="U14" s="1249"/>
      <c r="V14" s="1249"/>
      <c r="W14" s="1250"/>
      <c r="X14" s="849">
        <f>T14*Q14*O14</f>
        <v>0</v>
      </c>
      <c r="Y14" s="850"/>
      <c r="Z14" s="850"/>
      <c r="AA14" s="850"/>
      <c r="AB14" s="850"/>
      <c r="AC14" s="851"/>
    </row>
    <row r="15" spans="1:32" ht="16.5">
      <c r="A15" s="10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6"/>
      <c r="N15" s="1243"/>
      <c r="O15" s="1244"/>
      <c r="P15" s="27"/>
      <c r="Q15" s="847"/>
      <c r="R15" s="847"/>
      <c r="S15" s="847"/>
      <c r="T15" s="1248"/>
      <c r="U15" s="1249"/>
      <c r="V15" s="1249"/>
      <c r="W15" s="1250"/>
      <c r="X15" s="849"/>
      <c r="Y15" s="850"/>
      <c r="Z15" s="850"/>
      <c r="AA15" s="850"/>
      <c r="AB15" s="850"/>
      <c r="AC15" s="851"/>
    </row>
    <row r="16" spans="1:32" ht="16.5">
      <c r="A16" s="1223" t="s">
        <v>1603</v>
      </c>
      <c r="B16" s="1224"/>
      <c r="C16" s="1224"/>
      <c r="D16" s="1224"/>
      <c r="E16" s="1224"/>
      <c r="F16" s="1224"/>
      <c r="G16" s="1224"/>
      <c r="H16" s="1224"/>
      <c r="I16" s="1224"/>
      <c r="J16" s="1224"/>
      <c r="K16" s="1224"/>
      <c r="L16" s="1224"/>
      <c r="M16" s="1224"/>
      <c r="N16" s="1224"/>
      <c r="O16" s="1224"/>
      <c r="P16" s="1224"/>
      <c r="Q16" s="1224"/>
      <c r="R16" s="1224"/>
      <c r="S16" s="1224"/>
      <c r="T16" s="1224"/>
      <c r="U16" s="1224"/>
      <c r="V16" s="1224"/>
      <c r="W16" s="1225"/>
      <c r="X16" s="1223">
        <f>SUM(X12:AC15)</f>
        <v>0</v>
      </c>
      <c r="Y16" s="1224"/>
      <c r="Z16" s="1224"/>
      <c r="AA16" s="1224"/>
      <c r="AB16" s="1224"/>
      <c r="AC16" s="1225"/>
    </row>
    <row r="17" spans="1:29">
      <c r="A17" s="9"/>
      <c r="B17" s="1229" t="s">
        <v>1604</v>
      </c>
      <c r="C17" s="1230"/>
      <c r="D17" s="1230"/>
      <c r="E17" s="1230"/>
      <c r="F17" s="1230"/>
      <c r="G17" s="1230"/>
      <c r="H17" s="1230"/>
      <c r="I17" s="1230"/>
      <c r="J17" s="1230"/>
      <c r="K17" s="1230"/>
      <c r="L17" s="1230"/>
      <c r="M17" s="1231"/>
      <c r="N17" s="1232" t="s">
        <v>1605</v>
      </c>
      <c r="O17" s="1233"/>
      <c r="P17" s="1234"/>
      <c r="Q17" s="1229" t="s">
        <v>1597</v>
      </c>
      <c r="R17" s="1230"/>
      <c r="S17" s="1231"/>
      <c r="T17" s="1229" t="s">
        <v>1598</v>
      </c>
      <c r="U17" s="1230"/>
      <c r="V17" s="1230"/>
      <c r="W17" s="1231"/>
      <c r="X17" s="1229" t="s">
        <v>1599</v>
      </c>
      <c r="Y17" s="1230"/>
      <c r="Z17" s="1230"/>
      <c r="AA17" s="1230"/>
      <c r="AB17" s="1230"/>
      <c r="AC17" s="1231"/>
    </row>
    <row r="18" spans="1:29" ht="16.5">
      <c r="A18" s="15" t="s">
        <v>1346</v>
      </c>
      <c r="B18" s="11" t="s">
        <v>1606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25"/>
      <c r="P18" s="12"/>
      <c r="Q18" s="1235"/>
      <c r="R18" s="1236"/>
      <c r="S18" s="1237"/>
      <c r="T18" s="1238"/>
      <c r="U18" s="1239"/>
      <c r="V18" s="1239"/>
      <c r="W18" s="1240"/>
      <c r="X18" s="1241"/>
      <c r="Y18" s="1242"/>
      <c r="Z18" s="1242"/>
      <c r="AA18" s="1242"/>
      <c r="AB18" s="1242"/>
      <c r="AC18" s="25"/>
    </row>
    <row r="19" spans="1:29" ht="16.5">
      <c r="A19" s="15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/>
      <c r="O19" s="26"/>
      <c r="P19" s="14"/>
      <c r="Q19" s="38"/>
      <c r="R19" s="39"/>
      <c r="S19" s="45"/>
      <c r="T19" s="40"/>
      <c r="U19" s="41"/>
      <c r="V19" s="41"/>
      <c r="W19" s="42"/>
      <c r="X19" s="43"/>
      <c r="Y19" s="3"/>
      <c r="Z19" s="3"/>
      <c r="AA19" s="3"/>
      <c r="AB19" s="3"/>
      <c r="AC19" s="26"/>
    </row>
    <row r="20" spans="1:29" ht="16.5">
      <c r="A20" s="16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66"/>
      <c r="O20" s="1267"/>
      <c r="P20" s="14"/>
      <c r="Q20" s="1268"/>
      <c r="R20" s="1269"/>
      <c r="S20" s="1270"/>
      <c r="T20" s="1274"/>
      <c r="U20" s="1275"/>
      <c r="V20" s="1275"/>
      <c r="W20" s="1276"/>
      <c r="X20" s="1271"/>
      <c r="Y20" s="1272"/>
      <c r="Z20" s="1272"/>
      <c r="AA20" s="1272"/>
      <c r="AB20" s="1272"/>
      <c r="AC20" s="1273"/>
    </row>
    <row r="21" spans="1:29" ht="16.5">
      <c r="A21" s="1223" t="s">
        <v>1607</v>
      </c>
      <c r="B21" s="1224"/>
      <c r="C21" s="1224"/>
      <c r="D21" s="1224"/>
      <c r="E21" s="1224"/>
      <c r="F21" s="1224"/>
      <c r="G21" s="1224"/>
      <c r="H21" s="1224"/>
      <c r="I21" s="1224"/>
      <c r="J21" s="1224"/>
      <c r="K21" s="1224"/>
      <c r="L21" s="1224"/>
      <c r="M21" s="1224"/>
      <c r="N21" s="1224"/>
      <c r="O21" s="1224"/>
      <c r="P21" s="1224"/>
      <c r="Q21" s="1224"/>
      <c r="R21" s="1224"/>
      <c r="S21" s="1224"/>
      <c r="T21" s="1224"/>
      <c r="U21" s="1224"/>
      <c r="V21" s="1224"/>
      <c r="W21" s="1225"/>
      <c r="X21" s="1223">
        <f>SUM(X20:AC20)</f>
        <v>0</v>
      </c>
      <c r="Y21" s="1224"/>
      <c r="Z21" s="1224"/>
      <c r="AA21" s="1224"/>
      <c r="AB21" s="1224"/>
      <c r="AC21" s="1225"/>
    </row>
    <row r="22" spans="1:29">
      <c r="A22" s="9"/>
      <c r="B22" s="1229" t="s">
        <v>1608</v>
      </c>
      <c r="C22" s="1230"/>
      <c r="D22" s="1230"/>
      <c r="E22" s="1230"/>
      <c r="F22" s="1230"/>
      <c r="G22" s="1230"/>
      <c r="H22" s="1230"/>
      <c r="I22" s="1230"/>
      <c r="J22" s="1230"/>
      <c r="K22" s="1230"/>
      <c r="L22" s="1230"/>
      <c r="M22" s="1231"/>
      <c r="N22" s="1232" t="s">
        <v>1609</v>
      </c>
      <c r="O22" s="1233"/>
      <c r="P22" s="1234"/>
      <c r="Q22" s="1229" t="s">
        <v>1592</v>
      </c>
      <c r="R22" s="1230"/>
      <c r="S22" s="1231"/>
      <c r="T22" s="1229" t="s">
        <v>1610</v>
      </c>
      <c r="U22" s="1230"/>
      <c r="V22" s="1230"/>
      <c r="W22" s="1231"/>
      <c r="X22" s="1229" t="s">
        <v>1599</v>
      </c>
      <c r="Y22" s="1230"/>
      <c r="Z22" s="1230"/>
      <c r="AA22" s="1230"/>
      <c r="AB22" s="1230"/>
      <c r="AC22" s="1231"/>
    </row>
    <row r="23" spans="1:29" ht="16.5">
      <c r="A23" s="15" t="s">
        <v>1350</v>
      </c>
      <c r="B23" s="11" t="s">
        <v>1611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25"/>
      <c r="P23" s="12"/>
      <c r="Q23" s="32"/>
      <c r="R23" s="33"/>
      <c r="S23" s="44"/>
      <c r="T23" s="34"/>
      <c r="U23" s="35"/>
      <c r="V23" s="35"/>
      <c r="W23" s="36"/>
      <c r="X23" s="37"/>
      <c r="Y23" s="50"/>
      <c r="Z23" s="50"/>
      <c r="AA23" s="50"/>
      <c r="AB23" s="50"/>
      <c r="AC23" s="25"/>
    </row>
    <row r="24" spans="1:29" ht="16.5">
      <c r="A24" s="15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3"/>
      <c r="O24" s="26"/>
      <c r="P24" s="14"/>
      <c r="Q24" s="38"/>
      <c r="R24" s="39"/>
      <c r="S24" s="45"/>
      <c r="T24" s="40"/>
      <c r="U24" s="41"/>
      <c r="V24" s="41"/>
      <c r="W24" s="42"/>
      <c r="X24" s="43"/>
      <c r="Y24" s="3"/>
      <c r="Z24" s="3"/>
      <c r="AA24" s="3"/>
      <c r="AB24" s="3"/>
      <c r="AC24" s="26"/>
    </row>
    <row r="25" spans="1:29" ht="16.5">
      <c r="A25" s="15"/>
      <c r="B25" s="13" t="s">
        <v>1658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243"/>
      <c r="O25" s="1244"/>
      <c r="P25" s="14"/>
      <c r="Q25" s="849"/>
      <c r="R25" s="850"/>
      <c r="S25" s="851"/>
      <c r="T25" s="849"/>
      <c r="U25" s="850"/>
      <c r="V25" s="850"/>
      <c r="W25" s="851"/>
      <c r="X25" s="849">
        <f t="shared" ref="X25:X32" si="0">T25*Q25</f>
        <v>0</v>
      </c>
      <c r="Y25" s="850"/>
      <c r="Z25" s="850"/>
      <c r="AA25" s="850"/>
      <c r="AB25" s="850"/>
      <c r="AC25" s="851"/>
    </row>
    <row r="26" spans="1:29" ht="16.5">
      <c r="A26" s="15"/>
      <c r="B26" s="17" t="s">
        <v>1659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243"/>
      <c r="O26" s="1244"/>
      <c r="P26" s="14"/>
      <c r="Q26" s="846"/>
      <c r="R26" s="847"/>
      <c r="S26" s="848"/>
      <c r="T26" s="849"/>
      <c r="U26" s="850"/>
      <c r="V26" s="850"/>
      <c r="W26" s="851"/>
      <c r="X26" s="849">
        <f t="shared" si="0"/>
        <v>0</v>
      </c>
      <c r="Y26" s="850"/>
      <c r="Z26" s="850"/>
      <c r="AA26" s="850"/>
      <c r="AB26" s="850"/>
      <c r="AC26" s="851"/>
    </row>
    <row r="27" spans="1:29" ht="16.5">
      <c r="A27" s="15"/>
      <c r="B27" s="17" t="s">
        <v>1660</v>
      </c>
      <c r="N27" s="1243"/>
      <c r="O27" s="1244"/>
      <c r="Q27" s="846"/>
      <c r="R27" s="847"/>
      <c r="S27" s="848"/>
      <c r="T27" s="849"/>
      <c r="U27" s="850"/>
      <c r="V27" s="850"/>
      <c r="W27" s="851"/>
      <c r="X27" s="849">
        <f t="shared" si="0"/>
        <v>0</v>
      </c>
      <c r="Y27" s="850"/>
      <c r="Z27" s="850"/>
      <c r="AA27" s="850"/>
      <c r="AB27" s="850"/>
      <c r="AC27" s="851"/>
    </row>
    <row r="28" spans="1:29" ht="16.5">
      <c r="A28" s="15"/>
      <c r="B28" s="13" t="s">
        <v>1661</v>
      </c>
      <c r="N28" s="1243"/>
      <c r="O28" s="1244"/>
      <c r="Q28" s="846"/>
      <c r="R28" s="847"/>
      <c r="S28" s="848"/>
      <c r="T28" s="849"/>
      <c r="U28" s="850"/>
      <c r="V28" s="850"/>
      <c r="W28" s="851"/>
      <c r="X28" s="849">
        <f t="shared" si="0"/>
        <v>0</v>
      </c>
      <c r="Y28" s="850"/>
      <c r="Z28" s="850"/>
      <c r="AA28" s="850"/>
      <c r="AB28" s="850"/>
      <c r="AC28" s="851"/>
    </row>
    <row r="29" spans="1:29" ht="16.5">
      <c r="A29" s="15"/>
      <c r="B29" s="13" t="s">
        <v>1662</v>
      </c>
      <c r="N29" s="1243"/>
      <c r="O29" s="1244"/>
      <c r="Q29" s="846"/>
      <c r="R29" s="847"/>
      <c r="S29" s="848"/>
      <c r="T29" s="849"/>
      <c r="U29" s="850"/>
      <c r="V29" s="850"/>
      <c r="W29" s="851"/>
      <c r="X29" s="849">
        <f t="shared" si="0"/>
        <v>0</v>
      </c>
      <c r="Y29" s="850"/>
      <c r="Z29" s="850"/>
      <c r="AA29" s="850"/>
      <c r="AB29" s="850"/>
      <c r="AC29" s="851"/>
    </row>
    <row r="30" spans="1:29" ht="16.5">
      <c r="A30" s="15"/>
      <c r="B30" s="13" t="s">
        <v>1663</v>
      </c>
      <c r="N30" s="1243"/>
      <c r="O30" s="1244"/>
      <c r="Q30" s="846"/>
      <c r="R30" s="847"/>
      <c r="S30" s="848"/>
      <c r="T30" s="849"/>
      <c r="U30" s="850"/>
      <c r="V30" s="850"/>
      <c r="W30" s="851"/>
      <c r="X30" s="849">
        <f t="shared" si="0"/>
        <v>0</v>
      </c>
      <c r="Y30" s="850"/>
      <c r="Z30" s="850"/>
      <c r="AA30" s="850"/>
      <c r="AB30" s="850"/>
      <c r="AC30" s="851"/>
    </row>
    <row r="31" spans="1:29" ht="16.5">
      <c r="A31" s="15"/>
      <c r="B31" s="13" t="s">
        <v>1664</v>
      </c>
      <c r="N31" s="1243"/>
      <c r="O31" s="1244"/>
      <c r="Q31" s="846"/>
      <c r="R31" s="847"/>
      <c r="S31" s="848"/>
      <c r="T31" s="849"/>
      <c r="U31" s="850"/>
      <c r="V31" s="850"/>
      <c r="W31" s="851"/>
      <c r="X31" s="849">
        <f t="shared" si="0"/>
        <v>0</v>
      </c>
      <c r="Y31" s="850"/>
      <c r="Z31" s="850"/>
      <c r="AA31" s="850"/>
      <c r="AB31" s="850"/>
      <c r="AC31" s="851"/>
    </row>
    <row r="32" spans="1:29" ht="16.5">
      <c r="A32" s="15"/>
      <c r="B32" s="18"/>
      <c r="N32" s="1243"/>
      <c r="O32" s="1244"/>
      <c r="Q32" s="846"/>
      <c r="R32" s="847"/>
      <c r="S32" s="848"/>
      <c r="T32" s="849"/>
      <c r="U32" s="850"/>
      <c r="V32" s="850"/>
      <c r="W32" s="851"/>
      <c r="X32" s="849">
        <f t="shared" si="0"/>
        <v>0</v>
      </c>
      <c r="Y32" s="850"/>
      <c r="Z32" s="850"/>
      <c r="AA32" s="850"/>
      <c r="AB32" s="850"/>
      <c r="AC32" s="851"/>
    </row>
    <row r="33" spans="1:30" ht="16.5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0"/>
      <c r="O33" s="30"/>
      <c r="P33" s="21"/>
      <c r="Q33" s="20"/>
      <c r="R33" s="21"/>
      <c r="S33" s="30"/>
      <c r="T33" s="20"/>
      <c r="U33" s="21"/>
      <c r="V33" s="21"/>
      <c r="W33" s="30"/>
      <c r="X33" s="20"/>
      <c r="Y33" s="21"/>
      <c r="Z33" s="21"/>
      <c r="AA33" s="21"/>
      <c r="AB33" s="21"/>
      <c r="AC33" s="30"/>
    </row>
    <row r="34" spans="1:30" ht="16.5">
      <c r="A34" s="1223" t="s">
        <v>1612</v>
      </c>
      <c r="B34" s="1226"/>
      <c r="C34" s="1226"/>
      <c r="D34" s="1226"/>
      <c r="E34" s="1226"/>
      <c r="F34" s="1226"/>
      <c r="G34" s="1226"/>
      <c r="H34" s="1226"/>
      <c r="I34" s="1226"/>
      <c r="J34" s="1226"/>
      <c r="K34" s="1226"/>
      <c r="L34" s="1226"/>
      <c r="M34" s="1226"/>
      <c r="N34" s="1226"/>
      <c r="O34" s="1226"/>
      <c r="P34" s="1226"/>
      <c r="Q34" s="1226"/>
      <c r="R34" s="1226"/>
      <c r="S34" s="1226"/>
      <c r="T34" s="1226"/>
      <c r="U34" s="1226"/>
      <c r="V34" s="1226"/>
      <c r="W34" s="1227"/>
      <c r="X34" s="1228">
        <f>SUM(X25:AC33)</f>
        <v>0</v>
      </c>
      <c r="Y34" s="1226"/>
      <c r="Z34" s="1226"/>
      <c r="AA34" s="1226"/>
      <c r="AB34" s="1226"/>
      <c r="AC34" s="1227"/>
    </row>
    <row r="35" spans="1:30" ht="16.5">
      <c r="A35" s="22" t="s">
        <v>1353</v>
      </c>
      <c r="B35" s="23" t="s">
        <v>1613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 t="s">
        <v>1614</v>
      </c>
      <c r="V35" s="23"/>
      <c r="W35" s="46"/>
      <c r="X35" s="1223">
        <f>X34+X21+X16</f>
        <v>0</v>
      </c>
      <c r="Y35" s="1224"/>
      <c r="Z35" s="1224"/>
      <c r="AA35" s="1224"/>
      <c r="AB35" s="1224"/>
      <c r="AC35" s="1225"/>
      <c r="AD35" s="51">
        <f t="shared" ref="AD35:AD40" si="1">X35</f>
        <v>0</v>
      </c>
    </row>
    <row r="36" spans="1:30" ht="16.5">
      <c r="A36" s="22" t="s">
        <v>1357</v>
      </c>
      <c r="B36" s="23" t="s">
        <v>1615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 t="s">
        <v>1616</v>
      </c>
      <c r="P36" s="23"/>
      <c r="Q36" s="23"/>
      <c r="R36" s="23"/>
      <c r="S36" s="23"/>
      <c r="T36" s="23"/>
      <c r="U36" s="23" t="s">
        <v>1617</v>
      </c>
      <c r="V36" s="23"/>
      <c r="W36" s="46"/>
      <c r="X36" s="1223">
        <f>0.15*X35</f>
        <v>0</v>
      </c>
      <c r="Y36" s="1224"/>
      <c r="Z36" s="1224"/>
      <c r="AA36" s="1224"/>
      <c r="AB36" s="1224"/>
      <c r="AC36" s="1225"/>
      <c r="AD36" s="51">
        <f t="shared" si="1"/>
        <v>0</v>
      </c>
    </row>
    <row r="37" spans="1:30" ht="16.5">
      <c r="A37" s="22" t="s">
        <v>1359</v>
      </c>
      <c r="B37" s="23" t="s">
        <v>1618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 t="s">
        <v>1619</v>
      </c>
      <c r="V37" s="23"/>
      <c r="W37" s="46"/>
      <c r="X37" s="1223">
        <f>0.1*X35</f>
        <v>0</v>
      </c>
      <c r="Y37" s="1224"/>
      <c r="Z37" s="1224"/>
      <c r="AA37" s="1224"/>
      <c r="AB37" s="1224"/>
      <c r="AC37" s="1225"/>
      <c r="AD37" s="51">
        <f t="shared" si="1"/>
        <v>0</v>
      </c>
    </row>
    <row r="38" spans="1:30" ht="16.5">
      <c r="A38" s="22" t="s">
        <v>1620</v>
      </c>
      <c r="B38" s="23" t="s">
        <v>1621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47"/>
      <c r="T38" s="23" t="s">
        <v>1622</v>
      </c>
      <c r="U38" s="23"/>
      <c r="V38" s="48"/>
      <c r="W38" s="14"/>
      <c r="X38" s="1223">
        <f>0.05*(X37+X36+X35)</f>
        <v>0</v>
      </c>
      <c r="Y38" s="1224"/>
      <c r="Z38" s="1224"/>
      <c r="AA38" s="1224"/>
      <c r="AB38" s="1224"/>
      <c r="AC38" s="1225"/>
      <c r="AD38" s="51">
        <f t="shared" si="1"/>
        <v>0</v>
      </c>
    </row>
    <row r="39" spans="1:30" ht="16.5">
      <c r="A39" s="22" t="s">
        <v>1623</v>
      </c>
      <c r="B39" s="24" t="s">
        <v>1624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4"/>
      <c r="T39" s="23" t="s">
        <v>1625</v>
      </c>
      <c r="U39" s="23"/>
      <c r="V39" s="23"/>
      <c r="W39" s="46"/>
      <c r="X39" s="1223">
        <f>X38+X37+X36+X35</f>
        <v>0</v>
      </c>
      <c r="Y39" s="1224"/>
      <c r="Z39" s="1224"/>
      <c r="AA39" s="1224"/>
      <c r="AB39" s="1224"/>
      <c r="AC39" s="1225"/>
      <c r="AD39" s="51">
        <f t="shared" si="1"/>
        <v>0</v>
      </c>
    </row>
    <row r="40" spans="1:30" ht="16.5">
      <c r="A40" s="22" t="s">
        <v>1626</v>
      </c>
      <c r="B40" s="24" t="s">
        <v>1627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 t="s">
        <v>1628</v>
      </c>
      <c r="V40" s="23"/>
      <c r="W40" s="46"/>
      <c r="X40" s="1223">
        <f>X39/F6</f>
        <v>0</v>
      </c>
      <c r="Y40" s="1224"/>
      <c r="Z40" s="1224"/>
      <c r="AA40" s="1224"/>
      <c r="AB40" s="1224"/>
      <c r="AC40" s="1225"/>
      <c r="AD40" s="51">
        <f t="shared" si="1"/>
        <v>0</v>
      </c>
    </row>
  </sheetData>
  <mergeCells count="90">
    <mergeCell ref="A1:AC1"/>
    <mergeCell ref="F3:AB3"/>
    <mergeCell ref="F4:AB4"/>
    <mergeCell ref="F5:AB5"/>
    <mergeCell ref="A7:E7"/>
    <mergeCell ref="B9:M9"/>
    <mergeCell ref="N9:P9"/>
    <mergeCell ref="Q9:S9"/>
    <mergeCell ref="T9:W9"/>
    <mergeCell ref="X9:AC9"/>
    <mergeCell ref="Q10:S10"/>
    <mergeCell ref="T10:W10"/>
    <mergeCell ref="X10:AB10"/>
    <mergeCell ref="N12:O12"/>
    <mergeCell ref="Q12:S12"/>
    <mergeCell ref="T12:W12"/>
    <mergeCell ref="X12:AC12"/>
    <mergeCell ref="N13:O13"/>
    <mergeCell ref="Q13:S13"/>
    <mergeCell ref="T13:W13"/>
    <mergeCell ref="X13:AC13"/>
    <mergeCell ref="N14:O14"/>
    <mergeCell ref="Q14:S14"/>
    <mergeCell ref="T14:W14"/>
    <mergeCell ref="X14:AC14"/>
    <mergeCell ref="N15:O15"/>
    <mergeCell ref="Q15:S15"/>
    <mergeCell ref="T15:W15"/>
    <mergeCell ref="X15:AC15"/>
    <mergeCell ref="A16:W16"/>
    <mergeCell ref="X16:AC16"/>
    <mergeCell ref="B17:M17"/>
    <mergeCell ref="N17:P17"/>
    <mergeCell ref="Q17:S17"/>
    <mergeCell ref="T17:W17"/>
    <mergeCell ref="X17:AC17"/>
    <mergeCell ref="Q18:S18"/>
    <mergeCell ref="T18:W18"/>
    <mergeCell ref="X18:AB18"/>
    <mergeCell ref="N20:O20"/>
    <mergeCell ref="Q20:S20"/>
    <mergeCell ref="T20:W20"/>
    <mergeCell ref="X20:AC20"/>
    <mergeCell ref="A21:W21"/>
    <mergeCell ref="X21:AC21"/>
    <mergeCell ref="B22:M22"/>
    <mergeCell ref="N22:P22"/>
    <mergeCell ref="Q22:S22"/>
    <mergeCell ref="T22:W22"/>
    <mergeCell ref="X22:AC22"/>
    <mergeCell ref="N25:O25"/>
    <mergeCell ref="Q25:S25"/>
    <mergeCell ref="T25:W25"/>
    <mergeCell ref="X25:AC25"/>
    <mergeCell ref="N26:O26"/>
    <mergeCell ref="Q26:S26"/>
    <mergeCell ref="T26:W26"/>
    <mergeCell ref="X26:AC26"/>
    <mergeCell ref="N27:O27"/>
    <mergeCell ref="Q27:S27"/>
    <mergeCell ref="T27:W27"/>
    <mergeCell ref="X27:AC27"/>
    <mergeCell ref="N28:O28"/>
    <mergeCell ref="Q28:S28"/>
    <mergeCell ref="T28:W28"/>
    <mergeCell ref="X28:AC28"/>
    <mergeCell ref="N29:O29"/>
    <mergeCell ref="Q29:S29"/>
    <mergeCell ref="T29:W29"/>
    <mergeCell ref="X29:AC29"/>
    <mergeCell ref="N30:O30"/>
    <mergeCell ref="Q30:S30"/>
    <mergeCell ref="T30:W30"/>
    <mergeCell ref="X30:AC30"/>
    <mergeCell ref="N31:O31"/>
    <mergeCell ref="Q31:S31"/>
    <mergeCell ref="T31:W31"/>
    <mergeCell ref="X31:AC31"/>
    <mergeCell ref="N32:O32"/>
    <mergeCell ref="Q32:S32"/>
    <mergeCell ref="T32:W32"/>
    <mergeCell ref="X32:AC32"/>
    <mergeCell ref="X38:AC38"/>
    <mergeCell ref="X39:AC39"/>
    <mergeCell ref="X40:AC40"/>
    <mergeCell ref="A34:W34"/>
    <mergeCell ref="X34:AC34"/>
    <mergeCell ref="X35:AC35"/>
    <mergeCell ref="X36:AC36"/>
    <mergeCell ref="X37:A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PROJECT DETAILS</vt:lpstr>
      <vt:lpstr>ESTIMATES</vt:lpstr>
      <vt:lpstr>SUMMARIZE QUANTITY</vt:lpstr>
      <vt:lpstr>materials</vt:lpstr>
      <vt:lpstr>OBR </vt:lpstr>
      <vt:lpstr>BACKUP</vt:lpstr>
      <vt:lpstr>BOM</vt:lpstr>
      <vt:lpstr>SUMARRY</vt:lpstr>
      <vt:lpstr>PR</vt:lpstr>
      <vt:lpstr>BADAC</vt:lpstr>
      <vt:lpstr>SAN FRAN BO4</vt:lpstr>
      <vt:lpstr>BAGONG LIP.</vt:lpstr>
      <vt:lpstr>MPDP</vt:lpstr>
      <vt:lpstr>POW COVER</vt:lpstr>
      <vt:lpstr>ITEM 1</vt:lpstr>
      <vt:lpstr>ITEM 2</vt:lpstr>
      <vt:lpstr>ITEM 3</vt:lpstr>
      <vt:lpstr>ITEM 4</vt:lpstr>
      <vt:lpstr>ITEM 5</vt:lpstr>
      <vt:lpstr>ITEM 6</vt:lpstr>
      <vt:lpstr>ITEM 7</vt:lpstr>
      <vt:lpstr>ITEM 8</vt:lpstr>
      <vt:lpstr>ITEM 9</vt:lpstr>
      <vt:lpstr>ITEM 10</vt:lpstr>
      <vt:lpstr>ITEM 11</vt:lpstr>
      <vt:lpstr>MPDP!Print_Area</vt:lpstr>
      <vt:lpstr>PR!Print_Area</vt:lpstr>
      <vt:lpstr>SUMARRY!Print_Area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User</cp:lastModifiedBy>
  <cp:lastPrinted>2026-02-16T07:11:19Z</cp:lastPrinted>
  <dcterms:created xsi:type="dcterms:W3CDTF">2018-08-10T11:17:00Z</dcterms:created>
  <dcterms:modified xsi:type="dcterms:W3CDTF">2026-02-16T07:31:59Z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24DC1367B6AE4C90BC1808BB81C999D9_13</vt:lpwstr>
  </property>
  <property fmtid="{D5CDD505-2E9C-101B-9397-08002B2CF9AE}" pid="3" name="KSOProductBuildVer">
    <vt:lpwstr>1033-12.2.0.19805</vt:lpwstr>
  </property>
</Properties>
</file>