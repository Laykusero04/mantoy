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J Usero\PLANNING\"/>
    </mc:Choice>
  </mc:AlternateContent>
  <xr:revisionPtr revIDLastSave="0" documentId="13_ncr:1_{66CA9D2E-F2A8-4EBF-ACD5-344FA0019286}" xr6:coauthVersionLast="47" xr6:coauthVersionMax="47" xr10:uidLastSave="{00000000-0000-0000-0000-000000000000}"/>
  <bookViews>
    <workbookView xWindow="-120" yWindow="-120" windowWidth="29040" windowHeight="15720" xr2:uid="{7B11BB92-5314-4D62-8F4A-8941AE988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7" i="1"/>
  <c r="H65" i="1"/>
  <c r="H64" i="1"/>
  <c r="H63" i="1"/>
  <c r="H62" i="1"/>
  <c r="H68" i="1"/>
  <c r="H50" i="1"/>
  <c r="H51" i="1"/>
  <c r="H52" i="1"/>
  <c r="H53" i="1"/>
  <c r="H54" i="1"/>
  <c r="H55" i="1"/>
  <c r="H56" i="1"/>
  <c r="H57" i="1"/>
  <c r="H58" i="1"/>
  <c r="H59" i="1"/>
  <c r="H60" i="1"/>
  <c r="H61" i="1"/>
  <c r="H49" i="1"/>
  <c r="H30" i="1"/>
  <c r="H48" i="1"/>
  <c r="H31" i="1"/>
  <c r="H15" i="1"/>
  <c r="H16" i="1"/>
  <c r="H17" i="1"/>
  <c r="H21" i="1"/>
  <c r="H22" i="1"/>
  <c r="H23" i="1"/>
  <c r="H24" i="1"/>
  <c r="H25" i="1"/>
  <c r="H33" i="1"/>
  <c r="H34" i="1"/>
  <c r="H35" i="1"/>
  <c r="H36" i="1"/>
  <c r="H37" i="1"/>
  <c r="H38" i="1"/>
  <c r="H39" i="1"/>
  <c r="H40" i="1"/>
  <c r="H44" i="1"/>
  <c r="H42" i="1"/>
  <c r="H47" i="1"/>
  <c r="H18" i="1" l="1"/>
  <c r="H26" i="1" s="1"/>
  <c r="H27" i="1" s="1"/>
  <c r="H41" i="1"/>
  <c r="H69" i="1" s="1"/>
  <c r="H43" i="1"/>
  <c r="H70" i="1" l="1"/>
  <c r="H72" i="1" s="1"/>
  <c r="H71" i="1" l="1"/>
  <c r="H73" i="1" s="1"/>
  <c r="H74" i="1" s="1"/>
  <c r="H75" i="1" s="1"/>
</calcChain>
</file>

<file path=xl/sharedStrings.xml><?xml version="1.0" encoding="utf-8"?>
<sst xmlns="http://schemas.openxmlformats.org/spreadsheetml/2006/main" count="137" uniqueCount="98">
  <si>
    <t>H/Qty.</t>
  </si>
  <si>
    <t>Total Unit Cost</t>
  </si>
  <si>
    <t>I.</t>
  </si>
  <si>
    <t>(D+E+F+G)</t>
  </si>
  <si>
    <t>Total Cost</t>
  </si>
  <si>
    <t>H.</t>
  </si>
  <si>
    <t>5%*(D+E+F)</t>
  </si>
  <si>
    <t>Value Added Tax (VAT)</t>
  </si>
  <si>
    <t>G.</t>
  </si>
  <si>
    <t>10% of D</t>
  </si>
  <si>
    <t>Contractor's Profit (CP)</t>
  </si>
  <si>
    <t>F.</t>
  </si>
  <si>
    <t>15% of D</t>
  </si>
  <si>
    <t>Overhead, Contingencies and Miscellaneous (OCM)</t>
  </si>
  <si>
    <t>E.</t>
  </si>
  <si>
    <t>A+B+C</t>
  </si>
  <si>
    <t>Total Direct Cost</t>
  </si>
  <si>
    <t>D.</t>
  </si>
  <si>
    <t>Sub Total for C</t>
  </si>
  <si>
    <t>Materials</t>
  </si>
  <si>
    <t>Amount</t>
  </si>
  <si>
    <t>Unit Cost</t>
  </si>
  <si>
    <t>Quantity</t>
  </si>
  <si>
    <t>Units</t>
  </si>
  <si>
    <t>Name and Specification</t>
  </si>
  <si>
    <t>C.</t>
  </si>
  <si>
    <t>Sub Total for B</t>
  </si>
  <si>
    <t xml:space="preserve"> Minor tools ( 10% of Labor )</t>
  </si>
  <si>
    <t xml:space="preserve"> Welding Machine</t>
  </si>
  <si>
    <t xml:space="preserve"> Cut - off Machine</t>
  </si>
  <si>
    <t xml:space="preserve"> Angle Grinder</t>
  </si>
  <si>
    <t xml:space="preserve"> Heat Gun</t>
  </si>
  <si>
    <t xml:space="preserve"> Hand Drill</t>
  </si>
  <si>
    <t>Equipment</t>
  </si>
  <si>
    <t>Hourly Rate</t>
  </si>
  <si>
    <t># of Hours</t>
  </si>
  <si>
    <t># of Units</t>
  </si>
  <si>
    <t>Name and Capacity</t>
  </si>
  <si>
    <t>B.</t>
  </si>
  <si>
    <t>Sub Total for A</t>
  </si>
  <si>
    <t>Laborer</t>
  </si>
  <si>
    <t>Skilled Worker</t>
  </si>
  <si>
    <t>Foreman</t>
  </si>
  <si>
    <t>Labor</t>
  </si>
  <si>
    <t># of Person</t>
  </si>
  <si>
    <t>Designation</t>
  </si>
  <si>
    <t>A.</t>
  </si>
  <si>
    <t>Output Per Hour</t>
  </si>
  <si>
    <t>Lot</t>
  </si>
  <si>
    <t>Description</t>
  </si>
  <si>
    <t>Item No.</t>
  </si>
  <si>
    <t>Project</t>
  </si>
  <si>
    <t>OFFICE OF THE CITY ENGINEER</t>
  </si>
  <si>
    <t>City of Koronadal</t>
  </si>
  <si>
    <t>Province of South Cotabato</t>
  </si>
  <si>
    <t>Republic of the Philippines</t>
  </si>
  <si>
    <t>Pieces</t>
  </si>
  <si>
    <t>GI Pipe 2" Schedule 40</t>
  </si>
  <si>
    <t>Meter box, surface-mount, 1-phase, 100A,NEMA3R, complete w/ base plate</t>
  </si>
  <si>
    <t>RSC Pipe, 3/4"</t>
  </si>
  <si>
    <t>Entrance Cap 3/4"</t>
  </si>
  <si>
    <t>Angle Connector 3/4"</t>
  </si>
  <si>
    <t>Hose Clipe  no. 4</t>
  </si>
  <si>
    <t>Bolt</t>
  </si>
  <si>
    <t>Mica tube 1/4"</t>
  </si>
  <si>
    <t>Junction box Upvc w/ cover</t>
  </si>
  <si>
    <t>Spool Insulator</t>
  </si>
  <si>
    <t>Duplex GFCI Outlet Set</t>
  </si>
  <si>
    <t>5/8" Gnd Rod 10 ft w/ Clamp Cu Plated</t>
  </si>
  <si>
    <t>electrical tape 16m</t>
  </si>
  <si>
    <t>20 AT, Bolt-on, 10 kAic</t>
  </si>
  <si>
    <t>15 AT, Bolt-on, 10 kAic</t>
  </si>
  <si>
    <t>Roll</t>
  </si>
  <si>
    <t>60 AT, Bolt-on, 10 kAic</t>
  </si>
  <si>
    <t>Main Panel board 1-main, 11-branches</t>
  </si>
  <si>
    <t>PVC / EMT Conduit</t>
  </si>
  <si>
    <t>IP65 Junction Boxes</t>
  </si>
  <si>
    <t>DMX Splitter / Booster</t>
  </si>
  <si>
    <t>Waterproof Cable Glands</t>
  </si>
  <si>
    <t>Aluminum Glare Shield</t>
  </si>
  <si>
    <t>DMX Terminator XLR-3, 120Ω</t>
  </si>
  <si>
    <t>DMX Cable XLR-3, 120Ω, outdoor rated</t>
  </si>
  <si>
    <t>LED Wall Washer, 50W, RGBW, DMX512, IP65</t>
  </si>
  <si>
    <t>DMX Controller, ≥512 channels</t>
  </si>
  <si>
    <t>Surge Protector, 220V AC</t>
  </si>
  <si>
    <t>Stainless Screws &amp; Anchors Grade 304</t>
  </si>
  <si>
    <t>30 W LED outdoor spotlight, IP66</t>
  </si>
  <si>
    <t>2.0mm2 THHN Copper Wire</t>
  </si>
  <si>
    <t>DMX Controller IP66 Box</t>
  </si>
  <si>
    <t>2 out of 2</t>
  </si>
  <si>
    <t>CONSTRUCTION OF WELCOME ARCH AT BRGY. PARAISO</t>
  </si>
  <si>
    <t>Electrical Works</t>
  </si>
  <si>
    <t>SPL-1</t>
  </si>
  <si>
    <t>60A Magnetic Contactor</t>
  </si>
  <si>
    <t>Photocell Sensor</t>
  </si>
  <si>
    <t>Timer Sensor</t>
  </si>
  <si>
    <t>14.0mm2 THHN Copper Wire</t>
  </si>
  <si>
    <t>14.0mm2 Aluminum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</si>
</sst>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₱&quot;* #,##0.00_-;\-&quot;₱&quot;* #,##0.00_-;_-&quot;₱&quot;* &quot;-&quot;??_-;_-@_-"/>
    <numFmt numFmtId="165" formatCode="_-[$₱-3409]* #,##0.00_-;\-[$₱-3409]* #,##0.00_-;_-[$₱-3409]* &quot;-&quot;??_-;_-@_-"/>
    <numFmt numFmtId="166" formatCode="#,##0.00;[Red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15" xfId="0" applyFont="1" applyBorder="1"/>
    <xf numFmtId="0" fontId="3" fillId="0" borderId="10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0" fontId="3" fillId="0" borderId="6" xfId="0" applyFont="1" applyBorder="1"/>
    <xf numFmtId="0" fontId="3" fillId="0" borderId="14" xfId="0" applyFont="1" applyBorder="1" applyAlignment="1">
      <alignment horizontal="center"/>
    </xf>
    <xf numFmtId="165" fontId="3" fillId="0" borderId="14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3" fillId="0" borderId="10" xfId="0" applyFont="1" applyBorder="1" applyAlignment="1">
      <alignment vertical="top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0" fontId="3" fillId="0" borderId="13" xfId="0" applyFont="1" applyBorder="1"/>
    <xf numFmtId="0" fontId="3" fillId="0" borderId="11" xfId="0" applyFont="1" applyBorder="1"/>
    <xf numFmtId="0" fontId="5" fillId="0" borderId="8" xfId="0" applyFont="1" applyBorder="1" applyAlignment="1">
      <alignment vertical="center"/>
    </xf>
    <xf numFmtId="0" fontId="6" fillId="0" borderId="0" xfId="0" applyFont="1"/>
    <xf numFmtId="0" fontId="5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5" fontId="5" fillId="0" borderId="0" xfId="1" applyNumberFormat="1" applyFont="1" applyBorder="1" applyAlignment="1">
      <alignment vertical="center"/>
    </xf>
    <xf numFmtId="165" fontId="6" fillId="0" borderId="5" xfId="1" applyNumberFormat="1" applyFont="1" applyBorder="1"/>
    <xf numFmtId="165" fontId="5" fillId="0" borderId="0" xfId="1" applyNumberFormat="1" applyFont="1" applyBorder="1" applyAlignment="1"/>
    <xf numFmtId="0" fontId="5" fillId="0" borderId="5" xfId="0" applyFont="1" applyBorder="1" applyAlignment="1">
      <alignment horizontal="center"/>
    </xf>
    <xf numFmtId="2" fontId="5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3" fillId="0" borderId="2" xfId="0" applyFont="1" applyBorder="1"/>
    <xf numFmtId="165" fontId="3" fillId="0" borderId="1" xfId="1" applyNumberFormat="1" applyFont="1" applyBorder="1"/>
    <xf numFmtId="0" fontId="7" fillId="0" borderId="0" xfId="0" applyFont="1" applyAlignment="1">
      <alignment horizontal="right"/>
    </xf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6" xfId="0" applyFont="1" applyBorder="1" applyAlignment="1">
      <alignment vertical="top"/>
    </xf>
    <xf numFmtId="0" fontId="5" fillId="0" borderId="17" xfId="0" applyFont="1" applyBorder="1" applyAlignment="1">
      <alignment vertical="center"/>
    </xf>
    <xf numFmtId="0" fontId="6" fillId="0" borderId="14" xfId="0" applyFont="1" applyBorder="1"/>
    <xf numFmtId="0" fontId="5" fillId="0" borderId="6" xfId="0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14" xfId="1" applyNumberFormat="1" applyFont="1" applyBorder="1" applyAlignment="1"/>
    <xf numFmtId="165" fontId="6" fillId="0" borderId="6" xfId="1" applyNumberFormat="1" applyFont="1" applyBorder="1"/>
    <xf numFmtId="0" fontId="5" fillId="0" borderId="1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2" xfId="0" applyFont="1" applyBorder="1"/>
    <xf numFmtId="0" fontId="5" fillId="0" borderId="10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/>
    </xf>
    <xf numFmtId="165" fontId="5" fillId="0" borderId="12" xfId="1" applyNumberFormat="1" applyFont="1" applyBorder="1" applyAlignment="1"/>
    <xf numFmtId="165" fontId="6" fillId="0" borderId="10" xfId="1" applyNumberFormat="1" applyFont="1" applyBorder="1"/>
    <xf numFmtId="0" fontId="5" fillId="0" borderId="0" xfId="0" applyFont="1" applyBorder="1" applyAlignment="1">
      <alignment vertical="center"/>
    </xf>
    <xf numFmtId="0" fontId="0" fillId="0" borderId="0" xfId="0" applyBorder="1"/>
    <xf numFmtId="165" fontId="6" fillId="0" borderId="14" xfId="1" applyNumberFormat="1" applyFont="1" applyBorder="1"/>
    <xf numFmtId="166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5" fillId="0" borderId="12" xfId="0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4313-8701-4AAB-A47D-E61D218C4CD7}">
  <dimension ref="A1:I90"/>
  <sheetViews>
    <sheetView tabSelected="1" zoomScaleNormal="100" workbookViewId="0">
      <selection activeCell="H90" sqref="H90"/>
    </sheetView>
  </sheetViews>
  <sheetFormatPr defaultRowHeight="15" x14ac:dyDescent="0.25"/>
  <cols>
    <col min="4" max="4" width="12.140625" customWidth="1"/>
    <col min="5" max="5" width="9.85546875" customWidth="1"/>
    <col min="6" max="6" width="9.28515625" customWidth="1"/>
    <col min="7" max="7" width="13.5703125" customWidth="1"/>
    <col min="8" max="8" width="15" customWidth="1"/>
  </cols>
  <sheetData>
    <row r="1" spans="1:8" ht="16.5" x14ac:dyDescent="0.3">
      <c r="A1" s="82" t="s">
        <v>55</v>
      </c>
      <c r="B1" s="82"/>
      <c r="C1" s="82"/>
      <c r="D1" s="82"/>
      <c r="E1" s="82"/>
      <c r="F1" s="82"/>
      <c r="G1" s="82"/>
      <c r="H1" s="82"/>
    </row>
    <row r="2" spans="1:8" ht="16.5" x14ac:dyDescent="0.3">
      <c r="A2" s="82" t="s">
        <v>54</v>
      </c>
      <c r="B2" s="82"/>
      <c r="C2" s="82"/>
      <c r="D2" s="82"/>
      <c r="E2" s="82"/>
      <c r="F2" s="82"/>
      <c r="G2" s="82"/>
      <c r="H2" s="82"/>
    </row>
    <row r="3" spans="1:8" ht="16.5" x14ac:dyDescent="0.3">
      <c r="A3" s="82" t="s">
        <v>53</v>
      </c>
      <c r="B3" s="82"/>
      <c r="C3" s="82"/>
      <c r="D3" s="82"/>
      <c r="E3" s="82"/>
      <c r="F3" s="82"/>
      <c r="G3" s="82"/>
      <c r="H3" s="82"/>
    </row>
    <row r="4" spans="1:8" ht="18" x14ac:dyDescent="0.25">
      <c r="A4" s="83" t="s">
        <v>52</v>
      </c>
      <c r="B4" s="83"/>
      <c r="C4" s="83"/>
      <c r="D4" s="83"/>
      <c r="E4" s="83"/>
      <c r="F4" s="83"/>
      <c r="G4" s="83"/>
      <c r="H4" s="83"/>
    </row>
    <row r="5" spans="1:8" ht="16.5" x14ac:dyDescent="0.3">
      <c r="A5" s="82"/>
      <c r="B5" s="82"/>
      <c r="C5" s="82"/>
      <c r="D5" s="82"/>
      <c r="E5" s="82"/>
      <c r="F5" s="82"/>
      <c r="G5" s="82"/>
      <c r="H5" s="82"/>
    </row>
    <row r="6" spans="1:8" ht="16.5" x14ac:dyDescent="0.3">
      <c r="A6" s="2" t="s">
        <v>51</v>
      </c>
      <c r="B6" s="2"/>
      <c r="C6" s="75" t="s">
        <v>90</v>
      </c>
      <c r="D6" s="75"/>
      <c r="E6" s="75"/>
      <c r="F6" s="75"/>
      <c r="G6" s="75"/>
      <c r="H6" s="75"/>
    </row>
    <row r="7" spans="1:8" ht="16.5" x14ac:dyDescent="0.3">
      <c r="A7" s="2"/>
      <c r="B7" s="2"/>
      <c r="C7" s="2"/>
      <c r="D7" s="2"/>
      <c r="E7" s="2"/>
      <c r="F7" s="2"/>
      <c r="G7" s="2"/>
      <c r="H7" s="2"/>
    </row>
    <row r="8" spans="1:8" ht="16.5" x14ac:dyDescent="0.3">
      <c r="A8" s="2" t="s">
        <v>50</v>
      </c>
      <c r="B8" s="2"/>
      <c r="C8" s="2" t="s">
        <v>92</v>
      </c>
      <c r="D8" s="2"/>
      <c r="E8" s="2"/>
      <c r="F8" s="2"/>
      <c r="G8" s="2"/>
      <c r="H8" s="2"/>
    </row>
    <row r="9" spans="1:8" ht="16.5" x14ac:dyDescent="0.3">
      <c r="A9" s="2" t="s">
        <v>49</v>
      </c>
      <c r="B9" s="2"/>
      <c r="C9" s="2" t="s">
        <v>91</v>
      </c>
      <c r="D9" s="2"/>
      <c r="E9" s="2"/>
      <c r="F9" s="2"/>
      <c r="G9" s="3"/>
      <c r="H9" s="2"/>
    </row>
    <row r="10" spans="1:8" ht="16.5" x14ac:dyDescent="0.3">
      <c r="A10" s="2" t="s">
        <v>22</v>
      </c>
      <c r="B10" s="2"/>
      <c r="C10" s="2">
        <v>1</v>
      </c>
      <c r="D10" s="2" t="s">
        <v>48</v>
      </c>
      <c r="E10" s="2"/>
      <c r="F10" s="2"/>
      <c r="G10" s="2"/>
      <c r="H10" s="2"/>
    </row>
    <row r="11" spans="1:8" ht="16.5" x14ac:dyDescent="0.3">
      <c r="A11" s="2" t="s">
        <v>47</v>
      </c>
      <c r="B11" s="2"/>
      <c r="C11" s="2"/>
      <c r="D11" s="4"/>
      <c r="E11" s="2"/>
      <c r="F11" s="2"/>
      <c r="G11" s="2"/>
      <c r="H11" s="2"/>
    </row>
    <row r="12" spans="1:8" ht="17.25" thickBot="1" x14ac:dyDescent="0.35">
      <c r="A12" s="2"/>
      <c r="B12" s="2"/>
      <c r="C12" s="2"/>
      <c r="D12" s="2"/>
      <c r="E12" s="2"/>
      <c r="F12" s="2"/>
      <c r="G12" s="2"/>
      <c r="H12" s="2"/>
    </row>
    <row r="13" spans="1:8" ht="17.25" thickBot="1" x14ac:dyDescent="0.35">
      <c r="A13" s="5" t="s">
        <v>46</v>
      </c>
      <c r="B13" s="76" t="s">
        <v>45</v>
      </c>
      <c r="C13" s="77"/>
      <c r="D13" s="78"/>
      <c r="E13" s="6" t="s">
        <v>44</v>
      </c>
      <c r="F13" s="6" t="s">
        <v>35</v>
      </c>
      <c r="G13" s="6" t="s">
        <v>34</v>
      </c>
      <c r="H13" s="6" t="s">
        <v>20</v>
      </c>
    </row>
    <row r="14" spans="1:8" ht="16.5" x14ac:dyDescent="0.3">
      <c r="A14" s="7"/>
      <c r="B14" s="44" t="s">
        <v>43</v>
      </c>
      <c r="C14" s="44"/>
      <c r="D14" s="44"/>
      <c r="E14" s="8"/>
      <c r="F14" s="8"/>
      <c r="G14" s="8"/>
      <c r="H14" s="8"/>
    </row>
    <row r="15" spans="1:8" ht="16.5" x14ac:dyDescent="0.3">
      <c r="A15" s="7"/>
      <c r="B15" s="44" t="s">
        <v>42</v>
      </c>
      <c r="C15" s="44"/>
      <c r="D15" s="44"/>
      <c r="E15" s="8">
        <v>1</v>
      </c>
      <c r="F15" s="8">
        <v>840</v>
      </c>
      <c r="G15" s="9">
        <v>60</v>
      </c>
      <c r="H15" s="10">
        <f>E15*F15*G15</f>
        <v>50400</v>
      </c>
    </row>
    <row r="16" spans="1:8" ht="16.5" x14ac:dyDescent="0.3">
      <c r="A16" s="7"/>
      <c r="B16" s="44" t="s">
        <v>41</v>
      </c>
      <c r="C16" s="44"/>
      <c r="D16" s="44"/>
      <c r="E16" s="8">
        <v>3</v>
      </c>
      <c r="F16" s="8">
        <v>840</v>
      </c>
      <c r="G16" s="9">
        <v>47.5</v>
      </c>
      <c r="H16" s="10">
        <f>E16*F16*G16</f>
        <v>119700</v>
      </c>
    </row>
    <row r="17" spans="1:8" ht="17.25" thickBot="1" x14ac:dyDescent="0.35">
      <c r="A17" s="7"/>
      <c r="B17" s="44" t="s">
        <v>40</v>
      </c>
      <c r="C17" s="44"/>
      <c r="D17" s="44"/>
      <c r="E17" s="8">
        <v>6</v>
      </c>
      <c r="F17" s="8">
        <v>840</v>
      </c>
      <c r="G17" s="9">
        <v>40</v>
      </c>
      <c r="H17" s="10">
        <f>E17*F17*G17</f>
        <v>201600</v>
      </c>
    </row>
    <row r="18" spans="1:8" ht="17.25" thickBot="1" x14ac:dyDescent="0.35">
      <c r="A18" s="76" t="s">
        <v>39</v>
      </c>
      <c r="B18" s="77"/>
      <c r="C18" s="77"/>
      <c r="D18" s="77"/>
      <c r="E18" s="77"/>
      <c r="F18" s="77"/>
      <c r="G18" s="78"/>
      <c r="H18" s="11">
        <f>SUM(H15:H17)</f>
        <v>371700</v>
      </c>
    </row>
    <row r="19" spans="1:8" ht="17.25" thickBot="1" x14ac:dyDescent="0.35">
      <c r="A19" s="5" t="s">
        <v>38</v>
      </c>
      <c r="B19" s="77" t="s">
        <v>37</v>
      </c>
      <c r="C19" s="77"/>
      <c r="D19" s="78"/>
      <c r="E19" s="6" t="s">
        <v>36</v>
      </c>
      <c r="F19" s="6" t="s">
        <v>35</v>
      </c>
      <c r="G19" s="6" t="s">
        <v>34</v>
      </c>
      <c r="H19" s="6" t="s">
        <v>20</v>
      </c>
    </row>
    <row r="20" spans="1:8" ht="16.5" x14ac:dyDescent="0.3">
      <c r="A20" s="7"/>
      <c r="B20" s="12" t="s">
        <v>33</v>
      </c>
      <c r="C20" s="12"/>
      <c r="D20" s="12"/>
      <c r="E20" s="13"/>
      <c r="F20" s="13"/>
      <c r="G20" s="13"/>
      <c r="H20" s="14"/>
    </row>
    <row r="21" spans="1:8" ht="16.5" x14ac:dyDescent="0.3">
      <c r="A21" s="7"/>
      <c r="B21" s="45" t="s">
        <v>32</v>
      </c>
      <c r="C21" s="44"/>
      <c r="D21" s="44"/>
      <c r="E21" s="46">
        <v>1</v>
      </c>
      <c r="F21" s="46">
        <v>80</v>
      </c>
      <c r="G21" s="15">
        <v>37.5</v>
      </c>
      <c r="H21" s="10">
        <f>F21*G21</f>
        <v>3000</v>
      </c>
    </row>
    <row r="22" spans="1:8" ht="16.5" x14ac:dyDescent="0.3">
      <c r="A22" s="7"/>
      <c r="B22" s="45" t="s">
        <v>31</v>
      </c>
      <c r="C22" s="44"/>
      <c r="D22" s="44"/>
      <c r="E22" s="46">
        <v>1</v>
      </c>
      <c r="F22" s="46">
        <v>80</v>
      </c>
      <c r="G22" s="15">
        <v>37.5</v>
      </c>
      <c r="H22" s="10">
        <f>F22*G22</f>
        <v>3000</v>
      </c>
    </row>
    <row r="23" spans="1:8" ht="16.5" x14ac:dyDescent="0.3">
      <c r="A23" s="7"/>
      <c r="B23" s="45" t="s">
        <v>30</v>
      </c>
      <c r="C23" s="44"/>
      <c r="D23" s="44"/>
      <c r="E23" s="46">
        <v>1</v>
      </c>
      <c r="F23" s="46">
        <v>80</v>
      </c>
      <c r="G23" s="15">
        <v>37.5</v>
      </c>
      <c r="H23" s="10">
        <f>F23*G23</f>
        <v>3000</v>
      </c>
    </row>
    <row r="24" spans="1:8" ht="16.5" x14ac:dyDescent="0.3">
      <c r="A24" s="7"/>
      <c r="B24" s="45" t="s">
        <v>29</v>
      </c>
      <c r="C24" s="44"/>
      <c r="D24" s="44"/>
      <c r="E24" s="46">
        <v>1</v>
      </c>
      <c r="F24" s="46">
        <v>80</v>
      </c>
      <c r="G24" s="15">
        <v>37.5</v>
      </c>
      <c r="H24" s="10">
        <f>F24*G24</f>
        <v>3000</v>
      </c>
    </row>
    <row r="25" spans="1:8" ht="16.5" x14ac:dyDescent="0.3">
      <c r="A25" s="7"/>
      <c r="B25" s="45" t="s">
        <v>28</v>
      </c>
      <c r="C25" s="44"/>
      <c r="D25" s="44"/>
      <c r="E25" s="46">
        <v>1</v>
      </c>
      <c r="F25" s="46">
        <v>80</v>
      </c>
      <c r="G25" s="15">
        <v>62.5</v>
      </c>
      <c r="H25" s="10">
        <f>F25*G25</f>
        <v>5000</v>
      </c>
    </row>
    <row r="26" spans="1:8" ht="17.25" thickBot="1" x14ac:dyDescent="0.35">
      <c r="A26" s="16"/>
      <c r="B26" s="45" t="s">
        <v>27</v>
      </c>
      <c r="C26" s="44"/>
      <c r="D26" s="44"/>
      <c r="E26" s="17"/>
      <c r="F26" s="17"/>
      <c r="G26" s="18"/>
      <c r="H26" s="19">
        <f>H18*10%</f>
        <v>37170</v>
      </c>
    </row>
    <row r="27" spans="1:8" ht="17.25" thickBot="1" x14ac:dyDescent="0.35">
      <c r="A27" s="76" t="s">
        <v>26</v>
      </c>
      <c r="B27" s="77"/>
      <c r="C27" s="77"/>
      <c r="D27" s="77"/>
      <c r="E27" s="77"/>
      <c r="F27" s="77"/>
      <c r="G27" s="78"/>
      <c r="H27" s="11">
        <f>SUM(H21:H26)</f>
        <v>54170</v>
      </c>
    </row>
    <row r="28" spans="1:8" ht="17.25" thickBot="1" x14ac:dyDescent="0.35">
      <c r="A28" s="20" t="s">
        <v>25</v>
      </c>
      <c r="B28" s="76" t="s">
        <v>24</v>
      </c>
      <c r="C28" s="77"/>
      <c r="D28" s="78"/>
      <c r="E28" s="6" t="s">
        <v>23</v>
      </c>
      <c r="F28" s="6" t="s">
        <v>22</v>
      </c>
      <c r="G28" s="6" t="s">
        <v>21</v>
      </c>
      <c r="H28" s="21" t="s">
        <v>20</v>
      </c>
    </row>
    <row r="29" spans="1:8" ht="16.5" x14ac:dyDescent="0.3">
      <c r="A29" s="22"/>
      <c r="B29" s="23" t="s">
        <v>19</v>
      </c>
      <c r="C29" s="12"/>
      <c r="D29" s="12"/>
      <c r="E29" s="5"/>
      <c r="F29" s="5"/>
      <c r="G29" s="24"/>
      <c r="H29" s="5"/>
    </row>
    <row r="30" spans="1:8" ht="16.5" x14ac:dyDescent="0.25">
      <c r="A30" s="22"/>
      <c r="B30" s="25" t="s">
        <v>57</v>
      </c>
      <c r="C30" s="47"/>
      <c r="D30" s="47"/>
      <c r="E30" s="27" t="s">
        <v>56</v>
      </c>
      <c r="F30" s="28">
        <v>2</v>
      </c>
      <c r="G30" s="29">
        <v>2400</v>
      </c>
      <c r="H30" s="30">
        <f t="shared" ref="H30" si="0">F30*G30</f>
        <v>4800</v>
      </c>
    </row>
    <row r="31" spans="1:8" ht="16.5" x14ac:dyDescent="0.25">
      <c r="A31" s="22"/>
      <c r="B31" s="72" t="s">
        <v>58</v>
      </c>
      <c r="C31" s="73"/>
      <c r="D31" s="74"/>
      <c r="E31" s="79" t="s">
        <v>56</v>
      </c>
      <c r="F31" s="80">
        <v>1</v>
      </c>
      <c r="G31" s="81">
        <v>1000</v>
      </c>
      <c r="H31" s="71">
        <f t="shared" ref="H31:H48" si="1">F31*G31</f>
        <v>1000</v>
      </c>
    </row>
    <row r="32" spans="1:8" ht="16.5" x14ac:dyDescent="0.25">
      <c r="A32" s="22"/>
      <c r="B32" s="72"/>
      <c r="C32" s="73"/>
      <c r="D32" s="74"/>
      <c r="E32" s="79"/>
      <c r="F32" s="80"/>
      <c r="G32" s="81"/>
      <c r="H32" s="71"/>
    </row>
    <row r="33" spans="1:9" ht="16.5" x14ac:dyDescent="0.25">
      <c r="A33" s="22"/>
      <c r="B33" s="25" t="s">
        <v>59</v>
      </c>
      <c r="C33" s="47"/>
      <c r="D33" s="47"/>
      <c r="E33" s="27" t="s">
        <v>56</v>
      </c>
      <c r="F33" s="28">
        <v>1</v>
      </c>
      <c r="G33" s="29">
        <v>600</v>
      </c>
      <c r="H33" s="30">
        <f t="shared" si="1"/>
        <v>600</v>
      </c>
    </row>
    <row r="34" spans="1:9" ht="16.5" x14ac:dyDescent="0.25">
      <c r="A34" s="22"/>
      <c r="B34" s="25" t="s">
        <v>60</v>
      </c>
      <c r="C34" s="47"/>
      <c r="D34" s="47"/>
      <c r="E34" s="27" t="s">
        <v>56</v>
      </c>
      <c r="F34" s="28">
        <v>3</v>
      </c>
      <c r="G34" s="29">
        <v>120</v>
      </c>
      <c r="H34" s="30">
        <f t="shared" si="1"/>
        <v>360</v>
      </c>
    </row>
    <row r="35" spans="1:9" ht="16.5" x14ac:dyDescent="0.25">
      <c r="A35" s="22"/>
      <c r="B35" s="25" t="s">
        <v>61</v>
      </c>
      <c r="C35" s="47"/>
      <c r="D35" s="47"/>
      <c r="E35" s="27" t="s">
        <v>56</v>
      </c>
      <c r="F35" s="28">
        <v>1</v>
      </c>
      <c r="G35" s="29">
        <v>250</v>
      </c>
      <c r="H35" s="30">
        <f t="shared" si="1"/>
        <v>250</v>
      </c>
    </row>
    <row r="36" spans="1:9" ht="16.5" x14ac:dyDescent="0.25">
      <c r="A36" s="22"/>
      <c r="B36" s="25" t="s">
        <v>62</v>
      </c>
      <c r="C36" s="47"/>
      <c r="D36" s="47"/>
      <c r="E36" s="27" t="s">
        <v>56</v>
      </c>
      <c r="F36" s="28">
        <v>5</v>
      </c>
      <c r="G36" s="29">
        <v>25</v>
      </c>
      <c r="H36" s="30">
        <f t="shared" si="1"/>
        <v>125</v>
      </c>
    </row>
    <row r="37" spans="1:9" ht="16.5" x14ac:dyDescent="0.25">
      <c r="A37" s="22"/>
      <c r="B37" s="25" t="s">
        <v>63</v>
      </c>
      <c r="C37" s="47"/>
      <c r="D37" s="47"/>
      <c r="E37" s="27" t="s">
        <v>56</v>
      </c>
      <c r="F37" s="28">
        <v>1</v>
      </c>
      <c r="G37" s="29">
        <v>50</v>
      </c>
      <c r="H37" s="30">
        <f t="shared" si="1"/>
        <v>50</v>
      </c>
    </row>
    <row r="38" spans="1:9" ht="16.5" x14ac:dyDescent="0.25">
      <c r="A38" s="22"/>
      <c r="B38" s="25" t="s">
        <v>64</v>
      </c>
      <c r="C38" s="47"/>
      <c r="D38" s="47"/>
      <c r="E38" s="27" t="s">
        <v>72</v>
      </c>
      <c r="F38" s="28">
        <v>1</v>
      </c>
      <c r="G38" s="29">
        <v>1200</v>
      </c>
      <c r="H38" s="30">
        <f t="shared" si="1"/>
        <v>1200</v>
      </c>
    </row>
    <row r="39" spans="1:9" ht="16.5" x14ac:dyDescent="0.25">
      <c r="A39" s="22"/>
      <c r="B39" s="25" t="s">
        <v>65</v>
      </c>
      <c r="C39" s="47"/>
      <c r="D39" s="47"/>
      <c r="E39" s="27" t="s">
        <v>56</v>
      </c>
      <c r="F39" s="28">
        <v>50</v>
      </c>
      <c r="G39" s="31">
        <v>50</v>
      </c>
      <c r="H39" s="30">
        <f t="shared" si="1"/>
        <v>2500</v>
      </c>
    </row>
    <row r="40" spans="1:9" ht="16.5" x14ac:dyDescent="0.25">
      <c r="A40" s="22"/>
      <c r="B40" s="25" t="s">
        <v>66</v>
      </c>
      <c r="C40" s="47"/>
      <c r="D40" s="47"/>
      <c r="E40" s="27" t="s">
        <v>56</v>
      </c>
      <c r="F40" s="28">
        <v>5</v>
      </c>
      <c r="G40" s="31">
        <v>350</v>
      </c>
      <c r="H40" s="30">
        <f t="shared" si="1"/>
        <v>1750</v>
      </c>
    </row>
    <row r="41" spans="1:9" ht="16.5" x14ac:dyDescent="0.25">
      <c r="A41" s="22"/>
      <c r="B41" s="25" t="s">
        <v>67</v>
      </c>
      <c r="C41" s="47"/>
      <c r="D41" s="47"/>
      <c r="E41" s="27" t="s">
        <v>56</v>
      </c>
      <c r="F41" s="28">
        <v>1</v>
      </c>
      <c r="G41" s="31">
        <v>1500</v>
      </c>
      <c r="H41" s="30">
        <f t="shared" si="1"/>
        <v>1500</v>
      </c>
    </row>
    <row r="42" spans="1:9" ht="16.5" x14ac:dyDescent="0.25">
      <c r="A42" s="22"/>
      <c r="B42" s="25" t="s">
        <v>74</v>
      </c>
      <c r="C42" s="47"/>
      <c r="D42" s="47"/>
      <c r="E42" s="27" t="s">
        <v>56</v>
      </c>
      <c r="F42" s="28">
        <v>1</v>
      </c>
      <c r="G42" s="31">
        <v>2000</v>
      </c>
      <c r="H42" s="30">
        <f t="shared" si="1"/>
        <v>2000</v>
      </c>
    </row>
    <row r="43" spans="1:9" ht="16.5" x14ac:dyDescent="0.25">
      <c r="A43" s="22"/>
      <c r="B43" s="25" t="s">
        <v>73</v>
      </c>
      <c r="C43" s="47"/>
      <c r="D43" s="47"/>
      <c r="E43" s="27" t="s">
        <v>56</v>
      </c>
      <c r="F43" s="28">
        <v>1</v>
      </c>
      <c r="G43" s="31">
        <v>500</v>
      </c>
      <c r="H43" s="30">
        <f t="shared" si="1"/>
        <v>500</v>
      </c>
    </row>
    <row r="44" spans="1:9" ht="17.25" thickBot="1" x14ac:dyDescent="0.3">
      <c r="A44" s="48"/>
      <c r="B44" s="49" t="s">
        <v>70</v>
      </c>
      <c r="C44" s="50"/>
      <c r="D44" s="50"/>
      <c r="E44" s="51" t="s">
        <v>56</v>
      </c>
      <c r="F44" s="52">
        <v>2</v>
      </c>
      <c r="G44" s="53">
        <v>500</v>
      </c>
      <c r="H44" s="54">
        <f t="shared" si="1"/>
        <v>1000</v>
      </c>
    </row>
    <row r="45" spans="1:9" s="1" customFormat="1" ht="16.5" x14ac:dyDescent="0.3">
      <c r="A45" s="68"/>
      <c r="B45" s="56"/>
      <c r="C45" s="26"/>
      <c r="D45" s="26"/>
      <c r="E45" s="69"/>
      <c r="F45" s="70"/>
      <c r="G45" s="31"/>
      <c r="H45" s="43"/>
      <c r="I45" s="63"/>
    </row>
    <row r="46" spans="1:9" s="1" customFormat="1" ht="17.25" thickBot="1" x14ac:dyDescent="0.3">
      <c r="A46" s="67"/>
      <c r="B46" s="62"/>
      <c r="C46" s="26"/>
      <c r="D46" s="26"/>
      <c r="E46" s="66"/>
      <c r="F46" s="65"/>
      <c r="G46" s="31"/>
      <c r="H46" s="64"/>
      <c r="I46" s="63"/>
    </row>
    <row r="47" spans="1:9" ht="16.5" x14ac:dyDescent="0.25">
      <c r="A47" s="20"/>
      <c r="B47" s="55" t="s">
        <v>71</v>
      </c>
      <c r="C47" s="56"/>
      <c r="D47" s="57"/>
      <c r="E47" s="58" t="s">
        <v>56</v>
      </c>
      <c r="F47" s="59">
        <v>9</v>
      </c>
      <c r="G47" s="60">
        <v>500</v>
      </c>
      <c r="H47" s="61">
        <f t="shared" si="1"/>
        <v>4500</v>
      </c>
    </row>
    <row r="48" spans="1:9" ht="16.5" x14ac:dyDescent="0.25">
      <c r="A48" s="22"/>
      <c r="B48" s="25" t="s">
        <v>68</v>
      </c>
      <c r="C48" s="62"/>
      <c r="D48" s="47"/>
      <c r="E48" s="32" t="s">
        <v>56</v>
      </c>
      <c r="F48" s="33">
        <v>2</v>
      </c>
      <c r="G48" s="31">
        <v>4000</v>
      </c>
      <c r="H48" s="30">
        <f t="shared" si="1"/>
        <v>8000</v>
      </c>
    </row>
    <row r="49" spans="1:8" ht="16.5" x14ac:dyDescent="0.25">
      <c r="A49" s="22"/>
      <c r="B49" s="25" t="s">
        <v>69</v>
      </c>
      <c r="C49" s="62"/>
      <c r="D49" s="47"/>
      <c r="E49" s="32" t="s">
        <v>56</v>
      </c>
      <c r="F49" s="33">
        <v>15</v>
      </c>
      <c r="G49" s="31">
        <v>50</v>
      </c>
      <c r="H49" s="30">
        <f t="shared" ref="H49" si="2">F49*G49</f>
        <v>750</v>
      </c>
    </row>
    <row r="50" spans="1:8" ht="16.5" x14ac:dyDescent="0.25">
      <c r="A50" s="22"/>
      <c r="B50" s="25" t="s">
        <v>82</v>
      </c>
      <c r="C50" s="62"/>
      <c r="D50" s="47"/>
      <c r="E50" s="32" t="s">
        <v>56</v>
      </c>
      <c r="F50" s="33">
        <v>90</v>
      </c>
      <c r="G50" s="31">
        <v>7500</v>
      </c>
      <c r="H50" s="30">
        <f t="shared" ref="H50:H60" si="3">F50*G50</f>
        <v>675000</v>
      </c>
    </row>
    <row r="51" spans="1:8" ht="16.5" x14ac:dyDescent="0.25">
      <c r="A51" s="22"/>
      <c r="B51" s="25" t="s">
        <v>87</v>
      </c>
      <c r="C51" s="62"/>
      <c r="D51" s="47"/>
      <c r="E51" s="32" t="s">
        <v>56</v>
      </c>
      <c r="F51" s="33">
        <v>900</v>
      </c>
      <c r="G51" s="31">
        <v>35</v>
      </c>
      <c r="H51" s="30">
        <f t="shared" si="3"/>
        <v>31500</v>
      </c>
    </row>
    <row r="52" spans="1:8" ht="16.5" x14ac:dyDescent="0.25">
      <c r="A52" s="22"/>
      <c r="B52" s="25" t="s">
        <v>75</v>
      </c>
      <c r="C52" s="62"/>
      <c r="D52" s="47"/>
      <c r="E52" s="32" t="s">
        <v>56</v>
      </c>
      <c r="F52" s="33">
        <v>300</v>
      </c>
      <c r="G52" s="31">
        <v>53</v>
      </c>
      <c r="H52" s="30">
        <f t="shared" si="3"/>
        <v>15900</v>
      </c>
    </row>
    <row r="53" spans="1:8" ht="16.5" x14ac:dyDescent="0.25">
      <c r="A53" s="22"/>
      <c r="B53" s="25" t="s">
        <v>76</v>
      </c>
      <c r="C53" s="62"/>
      <c r="D53" s="47"/>
      <c r="E53" s="32" t="s">
        <v>56</v>
      </c>
      <c r="F53" s="33">
        <v>100</v>
      </c>
      <c r="G53" s="31">
        <v>60</v>
      </c>
      <c r="H53" s="30">
        <f t="shared" si="3"/>
        <v>6000</v>
      </c>
    </row>
    <row r="54" spans="1:8" ht="16.5" x14ac:dyDescent="0.25">
      <c r="A54" s="22"/>
      <c r="B54" s="25" t="s">
        <v>83</v>
      </c>
      <c r="C54" s="62"/>
      <c r="D54" s="47"/>
      <c r="E54" s="32" t="s">
        <v>56</v>
      </c>
      <c r="F54" s="33">
        <v>1</v>
      </c>
      <c r="G54" s="31">
        <v>7000</v>
      </c>
      <c r="H54" s="30">
        <f t="shared" si="3"/>
        <v>7000</v>
      </c>
    </row>
    <row r="55" spans="1:8" ht="16.5" x14ac:dyDescent="0.25">
      <c r="A55" s="22"/>
      <c r="B55" s="25" t="s">
        <v>77</v>
      </c>
      <c r="C55" s="62"/>
      <c r="D55" s="47"/>
      <c r="E55" s="32" t="s">
        <v>56</v>
      </c>
      <c r="F55" s="33">
        <v>1</v>
      </c>
      <c r="G55" s="31">
        <v>5000</v>
      </c>
      <c r="H55" s="30">
        <f t="shared" si="3"/>
        <v>5000</v>
      </c>
    </row>
    <row r="56" spans="1:8" ht="16.5" x14ac:dyDescent="0.25">
      <c r="A56" s="22"/>
      <c r="B56" s="25" t="s">
        <v>81</v>
      </c>
      <c r="C56" s="62"/>
      <c r="D56" s="47"/>
      <c r="E56" s="32" t="s">
        <v>56</v>
      </c>
      <c r="F56" s="33">
        <v>300</v>
      </c>
      <c r="G56" s="31">
        <v>250</v>
      </c>
      <c r="H56" s="30">
        <f t="shared" si="3"/>
        <v>75000</v>
      </c>
    </row>
    <row r="57" spans="1:8" ht="16.5" x14ac:dyDescent="0.25">
      <c r="A57" s="22"/>
      <c r="B57" s="25" t="s">
        <v>80</v>
      </c>
      <c r="C57" s="62"/>
      <c r="D57" s="47"/>
      <c r="E57" s="32" t="s">
        <v>56</v>
      </c>
      <c r="F57" s="33">
        <v>20</v>
      </c>
      <c r="G57" s="31">
        <v>400</v>
      </c>
      <c r="H57" s="30">
        <f t="shared" si="3"/>
        <v>8000</v>
      </c>
    </row>
    <row r="58" spans="1:8" ht="16.5" x14ac:dyDescent="0.25">
      <c r="A58" s="22"/>
      <c r="B58" s="25" t="s">
        <v>78</v>
      </c>
      <c r="C58" s="62"/>
      <c r="D58" s="47"/>
      <c r="E58" s="32" t="s">
        <v>56</v>
      </c>
      <c r="F58" s="33">
        <v>24</v>
      </c>
      <c r="G58" s="31">
        <v>50</v>
      </c>
      <c r="H58" s="30">
        <f t="shared" si="3"/>
        <v>1200</v>
      </c>
    </row>
    <row r="59" spans="1:8" ht="16.5" x14ac:dyDescent="0.25">
      <c r="A59" s="22"/>
      <c r="B59" s="25" t="s">
        <v>85</v>
      </c>
      <c r="C59" s="62"/>
      <c r="D59" s="47"/>
      <c r="E59" s="32" t="s">
        <v>56</v>
      </c>
      <c r="F59" s="33">
        <v>25</v>
      </c>
      <c r="G59" s="31">
        <v>20</v>
      </c>
      <c r="H59" s="30">
        <f t="shared" si="3"/>
        <v>500</v>
      </c>
    </row>
    <row r="60" spans="1:8" ht="16.5" x14ac:dyDescent="0.25">
      <c r="A60" s="22"/>
      <c r="B60" s="25" t="s">
        <v>79</v>
      </c>
      <c r="C60" s="62"/>
      <c r="D60" s="47"/>
      <c r="E60" s="32" t="s">
        <v>56</v>
      </c>
      <c r="F60" s="33">
        <v>90</v>
      </c>
      <c r="G60" s="31">
        <v>900</v>
      </c>
      <c r="H60" s="30">
        <f t="shared" si="3"/>
        <v>81000</v>
      </c>
    </row>
    <row r="61" spans="1:8" ht="16.5" x14ac:dyDescent="0.25">
      <c r="A61" s="22"/>
      <c r="B61" s="25" t="s">
        <v>84</v>
      </c>
      <c r="C61" s="62"/>
      <c r="D61" s="47"/>
      <c r="E61" s="32" t="s">
        <v>56</v>
      </c>
      <c r="F61" s="33">
        <v>1</v>
      </c>
      <c r="G61" s="31">
        <v>4000</v>
      </c>
      <c r="H61" s="30">
        <f>F61*G61</f>
        <v>4000</v>
      </c>
    </row>
    <row r="62" spans="1:8" s="1" customFormat="1" ht="16.5" x14ac:dyDescent="0.25">
      <c r="A62" s="22"/>
      <c r="B62" s="72" t="s">
        <v>88</v>
      </c>
      <c r="C62" s="73"/>
      <c r="D62" s="74"/>
      <c r="E62" s="32" t="s">
        <v>56</v>
      </c>
      <c r="F62" s="33">
        <v>1</v>
      </c>
      <c r="G62" s="31">
        <v>5000</v>
      </c>
      <c r="H62" s="30">
        <f>F62*G62</f>
        <v>5000</v>
      </c>
    </row>
    <row r="63" spans="1:8" s="1" customFormat="1" ht="16.5" x14ac:dyDescent="0.25">
      <c r="A63" s="22"/>
      <c r="B63" s="72" t="s">
        <v>93</v>
      </c>
      <c r="C63" s="73"/>
      <c r="D63" s="74"/>
      <c r="E63" s="32" t="s">
        <v>56</v>
      </c>
      <c r="F63" s="33">
        <v>1</v>
      </c>
      <c r="G63" s="31">
        <v>4000</v>
      </c>
      <c r="H63" s="30">
        <f>F63*G63</f>
        <v>4000</v>
      </c>
    </row>
    <row r="64" spans="1:8" s="1" customFormat="1" ht="16.5" x14ac:dyDescent="0.25">
      <c r="A64" s="22"/>
      <c r="B64" s="72" t="s">
        <v>94</v>
      </c>
      <c r="C64" s="73"/>
      <c r="D64" s="74"/>
      <c r="E64" s="32" t="s">
        <v>56</v>
      </c>
      <c r="F64" s="33">
        <v>1</v>
      </c>
      <c r="G64" s="31">
        <v>600</v>
      </c>
      <c r="H64" s="30">
        <f>F64*G64</f>
        <v>600</v>
      </c>
    </row>
    <row r="65" spans="1:8" s="1" customFormat="1" ht="16.5" x14ac:dyDescent="0.25">
      <c r="A65" s="22"/>
      <c r="B65" s="72" t="s">
        <v>95</v>
      </c>
      <c r="C65" s="73"/>
      <c r="D65" s="74"/>
      <c r="E65" s="32" t="s">
        <v>56</v>
      </c>
      <c r="F65" s="33">
        <v>1</v>
      </c>
      <c r="G65" s="31">
        <v>1500</v>
      </c>
      <c r="H65" s="30">
        <f>F65*G65</f>
        <v>1500</v>
      </c>
    </row>
    <row r="66" spans="1:8" s="1" customFormat="1" ht="16.5" x14ac:dyDescent="0.25">
      <c r="A66" s="22"/>
      <c r="B66" s="25" t="s">
        <v>97</v>
      </c>
      <c r="C66" s="62"/>
      <c r="D66" s="47"/>
      <c r="E66" s="32" t="s">
        <v>56</v>
      </c>
      <c r="F66" s="33">
        <v>50</v>
      </c>
      <c r="G66" s="31">
        <v>70</v>
      </c>
      <c r="H66" s="30">
        <f t="shared" ref="H66" si="4">F66*G66</f>
        <v>3500</v>
      </c>
    </row>
    <row r="67" spans="1:8" s="1" customFormat="1" ht="16.5" x14ac:dyDescent="0.25">
      <c r="A67" s="22"/>
      <c r="B67" s="25" t="s">
        <v>96</v>
      </c>
      <c r="C67" s="62"/>
      <c r="D67" s="47"/>
      <c r="E67" s="32" t="s">
        <v>56</v>
      </c>
      <c r="F67" s="33">
        <v>12</v>
      </c>
      <c r="G67" s="31">
        <v>230</v>
      </c>
      <c r="H67" s="30">
        <f t="shared" ref="H67" si="5">F67*G67</f>
        <v>2760</v>
      </c>
    </row>
    <row r="68" spans="1:8" ht="17.25" thickBot="1" x14ac:dyDescent="0.3">
      <c r="A68" s="22"/>
      <c r="B68" s="25" t="s">
        <v>86</v>
      </c>
      <c r="C68" s="62"/>
      <c r="D68" s="47"/>
      <c r="E68" s="32" t="s">
        <v>56</v>
      </c>
      <c r="F68" s="33">
        <v>8</v>
      </c>
      <c r="G68" s="31">
        <v>500</v>
      </c>
      <c r="H68" s="30">
        <f>F68*G68</f>
        <v>4000</v>
      </c>
    </row>
    <row r="69" spans="1:8" ht="17.25" thickBot="1" x14ac:dyDescent="0.35">
      <c r="A69" s="76" t="s">
        <v>18</v>
      </c>
      <c r="B69" s="77"/>
      <c r="C69" s="77"/>
      <c r="D69" s="77"/>
      <c r="E69" s="77"/>
      <c r="F69" s="77"/>
      <c r="G69" s="78"/>
      <c r="H69" s="34">
        <f>SUM(H30:H68)</f>
        <v>962345</v>
      </c>
    </row>
    <row r="70" spans="1:8" ht="17.25" thickBot="1" x14ac:dyDescent="0.35">
      <c r="A70" s="35" t="s">
        <v>17</v>
      </c>
      <c r="B70" s="36" t="s">
        <v>16</v>
      </c>
      <c r="C70" s="37"/>
      <c r="D70" s="37"/>
      <c r="E70" s="38"/>
      <c r="F70" s="38"/>
      <c r="G70" s="39" t="s">
        <v>15</v>
      </c>
      <c r="H70" s="40">
        <f>H18+H27+H69</f>
        <v>1388215</v>
      </c>
    </row>
    <row r="71" spans="1:8" ht="17.25" thickBot="1" x14ac:dyDescent="0.35">
      <c r="A71" s="35" t="s">
        <v>14</v>
      </c>
      <c r="B71" s="36" t="s">
        <v>13</v>
      </c>
      <c r="C71" s="37"/>
      <c r="D71" s="37"/>
      <c r="E71" s="37"/>
      <c r="F71" s="37"/>
      <c r="G71" s="41" t="s">
        <v>12</v>
      </c>
      <c r="H71" s="34">
        <f>H70*15%</f>
        <v>208232.25</v>
      </c>
    </row>
    <row r="72" spans="1:8" ht="17.25" thickBot="1" x14ac:dyDescent="0.35">
      <c r="A72" s="35" t="s">
        <v>11</v>
      </c>
      <c r="B72" s="36" t="s">
        <v>10</v>
      </c>
      <c r="C72" s="37"/>
      <c r="D72" s="37"/>
      <c r="E72" s="37"/>
      <c r="F72" s="37"/>
      <c r="G72" s="41" t="s">
        <v>9</v>
      </c>
      <c r="H72" s="34">
        <f>H70*10%</f>
        <v>138821.5</v>
      </c>
    </row>
    <row r="73" spans="1:8" ht="17.25" thickBot="1" x14ac:dyDescent="0.35">
      <c r="A73" s="35" t="s">
        <v>8</v>
      </c>
      <c r="B73" s="36" t="s">
        <v>7</v>
      </c>
      <c r="C73" s="37"/>
      <c r="D73" s="37"/>
      <c r="E73" s="37"/>
      <c r="F73" s="37"/>
      <c r="G73" s="41" t="s">
        <v>6</v>
      </c>
      <c r="H73" s="34">
        <f>(H70+H71+H72)*5%</f>
        <v>86763.4375</v>
      </c>
    </row>
    <row r="74" spans="1:8" ht="17.25" thickBot="1" x14ac:dyDescent="0.35">
      <c r="A74" s="35" t="s">
        <v>5</v>
      </c>
      <c r="B74" s="36" t="s">
        <v>4</v>
      </c>
      <c r="C74" s="37"/>
      <c r="D74" s="37"/>
      <c r="E74" s="37"/>
      <c r="F74" s="37"/>
      <c r="G74" s="41" t="s">
        <v>3</v>
      </c>
      <c r="H74" s="34">
        <f>H70+H71+H72+H73</f>
        <v>1822032.1875</v>
      </c>
    </row>
    <row r="75" spans="1:8" ht="17.25" thickBot="1" x14ac:dyDescent="0.35">
      <c r="A75" s="35" t="s">
        <v>2</v>
      </c>
      <c r="B75" s="36" t="s">
        <v>1</v>
      </c>
      <c r="C75" s="37"/>
      <c r="D75" s="37"/>
      <c r="E75" s="37"/>
      <c r="F75" s="37"/>
      <c r="G75" s="41" t="s">
        <v>0</v>
      </c>
      <c r="H75" s="42">
        <f>H74/C10</f>
        <v>1822032.1875</v>
      </c>
    </row>
    <row r="76" spans="1:8" ht="16.5" x14ac:dyDescent="0.3">
      <c r="A76" s="2"/>
      <c r="B76" s="2"/>
      <c r="C76" s="2"/>
      <c r="D76" s="2"/>
      <c r="E76" s="2"/>
      <c r="F76" s="2"/>
      <c r="G76" s="2"/>
      <c r="H76" s="2"/>
    </row>
    <row r="77" spans="1:8" ht="16.5" x14ac:dyDescent="0.3">
      <c r="A77" s="2"/>
      <c r="B77" s="2"/>
      <c r="C77" s="2"/>
      <c r="D77" s="2"/>
      <c r="E77" s="2"/>
      <c r="F77" s="2"/>
      <c r="G77" s="2"/>
      <c r="H77" s="2"/>
    </row>
    <row r="78" spans="1:8" ht="16.5" x14ac:dyDescent="0.3">
      <c r="A78" s="2"/>
      <c r="B78" s="2"/>
      <c r="C78" s="2"/>
      <c r="D78" s="2"/>
      <c r="E78" s="2"/>
      <c r="F78" s="2"/>
      <c r="G78" s="2"/>
      <c r="H78" s="2"/>
    </row>
    <row r="79" spans="1:8" ht="16.5" x14ac:dyDescent="0.3">
      <c r="A79" s="2"/>
      <c r="B79" s="2"/>
      <c r="C79" s="2"/>
      <c r="D79" s="2"/>
      <c r="E79" s="2"/>
      <c r="F79" s="2"/>
      <c r="G79" s="2"/>
      <c r="H79" s="2"/>
    </row>
    <row r="80" spans="1:8" ht="16.5" x14ac:dyDescent="0.3">
      <c r="A80" s="2"/>
      <c r="B80" s="2"/>
      <c r="C80" s="2"/>
      <c r="D80" s="2"/>
      <c r="E80" s="2"/>
      <c r="F80" s="2"/>
      <c r="G80" s="2"/>
      <c r="H80" s="2"/>
    </row>
    <row r="81" spans="1:8" ht="16.5" x14ac:dyDescent="0.3">
      <c r="A81" s="2"/>
      <c r="B81" s="2"/>
      <c r="C81" s="2"/>
      <c r="D81" s="2"/>
      <c r="E81" s="2"/>
      <c r="F81" s="2"/>
      <c r="G81" s="2"/>
      <c r="H81" s="2"/>
    </row>
    <row r="82" spans="1:8" ht="16.5" x14ac:dyDescent="0.3">
      <c r="A82" s="2"/>
      <c r="B82" s="2"/>
      <c r="C82" s="2"/>
      <c r="D82" s="2"/>
      <c r="E82" s="2"/>
      <c r="F82" s="2"/>
      <c r="G82" s="2"/>
      <c r="H82" s="2"/>
    </row>
    <row r="83" spans="1:8" ht="16.5" x14ac:dyDescent="0.3">
      <c r="A83" s="2"/>
      <c r="B83" s="2"/>
      <c r="C83" s="2"/>
      <c r="D83" s="2"/>
      <c r="E83" s="2"/>
      <c r="F83" s="2"/>
      <c r="G83" s="2"/>
      <c r="H83" s="2"/>
    </row>
    <row r="84" spans="1:8" ht="16.5" x14ac:dyDescent="0.3">
      <c r="A84" s="2"/>
      <c r="B84" s="2"/>
      <c r="C84" s="2"/>
      <c r="D84" s="2"/>
      <c r="E84" s="2"/>
      <c r="F84" s="2"/>
      <c r="G84" s="2"/>
      <c r="H84" s="2"/>
    </row>
    <row r="85" spans="1:8" ht="16.5" x14ac:dyDescent="0.3">
      <c r="A85" s="2"/>
      <c r="B85" s="2"/>
      <c r="C85" s="2"/>
      <c r="D85" s="2"/>
      <c r="E85" s="2"/>
      <c r="F85" s="2"/>
      <c r="G85" s="2"/>
      <c r="H85" s="2"/>
    </row>
    <row r="86" spans="1:8" s="1" customFormat="1" ht="16.5" x14ac:dyDescent="0.3">
      <c r="A86" s="2"/>
      <c r="B86" s="2"/>
      <c r="C86" s="2"/>
      <c r="D86" s="2"/>
      <c r="E86" s="2"/>
      <c r="F86" s="2"/>
      <c r="G86" s="2"/>
      <c r="H86" s="2"/>
    </row>
    <row r="87" spans="1:8" s="1" customFormat="1" ht="16.5" x14ac:dyDescent="0.3">
      <c r="A87" s="2"/>
      <c r="B87" s="2"/>
      <c r="C87" s="2"/>
      <c r="D87" s="2"/>
      <c r="E87" s="2"/>
      <c r="F87" s="2"/>
      <c r="G87" s="2"/>
      <c r="H87" s="2"/>
    </row>
    <row r="88" spans="1:8" s="1" customFormat="1" ht="16.5" x14ac:dyDescent="0.3">
      <c r="A88" s="2"/>
      <c r="B88" s="2"/>
      <c r="C88" s="2"/>
      <c r="D88" s="2"/>
      <c r="E88" s="2"/>
      <c r="F88" s="2"/>
      <c r="G88" s="2"/>
      <c r="H88" s="2"/>
    </row>
    <row r="89" spans="1:8" ht="16.5" x14ac:dyDescent="0.3">
      <c r="A89" s="2"/>
      <c r="B89" s="2"/>
      <c r="C89" s="2"/>
      <c r="D89" s="2"/>
      <c r="E89" s="2"/>
      <c r="F89" s="2"/>
      <c r="G89" s="2"/>
      <c r="H89" s="2"/>
    </row>
    <row r="90" spans="1:8" ht="16.5" x14ac:dyDescent="0.3">
      <c r="A90" s="2"/>
      <c r="B90" s="2"/>
      <c r="C90" s="2"/>
      <c r="D90" s="2"/>
      <c r="E90" s="2"/>
      <c r="F90" s="2"/>
      <c r="G90" s="2"/>
      <c r="H90" s="43" t="s">
        <v>89</v>
      </c>
    </row>
  </sheetData>
  <mergeCells count="21">
    <mergeCell ref="A1:H1"/>
    <mergeCell ref="A2:H2"/>
    <mergeCell ref="A3:H3"/>
    <mergeCell ref="A4:H4"/>
    <mergeCell ref="A5:H5"/>
    <mergeCell ref="A69:G69"/>
    <mergeCell ref="B31:D32"/>
    <mergeCell ref="E31:E32"/>
    <mergeCell ref="F31:F32"/>
    <mergeCell ref="G31:G32"/>
    <mergeCell ref="B63:D63"/>
    <mergeCell ref="B64:D64"/>
    <mergeCell ref="B65:D65"/>
    <mergeCell ref="H31:H32"/>
    <mergeCell ref="B62:D62"/>
    <mergeCell ref="C6:H6"/>
    <mergeCell ref="B13:D13"/>
    <mergeCell ref="B19:D19"/>
    <mergeCell ref="A27:G27"/>
    <mergeCell ref="B28:D28"/>
    <mergeCell ref="A18:G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2026-02-23T06:22:37Z</cp:lastPrinted>
  <dcterms:created xsi:type="dcterms:W3CDTF">2025-10-15T16:20:29Z</dcterms:created>
  <dcterms:modified xsi:type="dcterms:W3CDTF">2026-02-23T06:25:29Z</dcterms:modified>
</cp:coreProperties>
</file>